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externalLinks/externalLink447.xml" ContentType="application/vnd.openxmlformats-officedocument.spreadsheetml.externalLink+xml"/>
  <Override PartName="/xl/externalLinks/externalLink448.xml" ContentType="application/vnd.openxmlformats-officedocument.spreadsheetml.externalLink+xml"/>
  <Override PartName="/xl/externalLinks/externalLink449.xml" ContentType="application/vnd.openxmlformats-officedocument.spreadsheetml.externalLink+xml"/>
  <Override PartName="/xl/externalLinks/externalLink450.xml" ContentType="application/vnd.openxmlformats-officedocument.spreadsheetml.externalLink+xml"/>
  <Override PartName="/xl/externalLinks/externalLink451.xml" ContentType="application/vnd.openxmlformats-officedocument.spreadsheetml.externalLink+xml"/>
  <Override PartName="/xl/externalLinks/externalLink452.xml" ContentType="application/vnd.openxmlformats-officedocument.spreadsheetml.externalLink+xml"/>
  <Override PartName="/xl/externalLinks/externalLink453.xml" ContentType="application/vnd.openxmlformats-officedocument.spreadsheetml.externalLink+xml"/>
  <Override PartName="/xl/externalLinks/externalLink454.xml" ContentType="application/vnd.openxmlformats-officedocument.spreadsheetml.externalLink+xml"/>
  <Override PartName="/xl/externalLinks/externalLink455.xml" ContentType="application/vnd.openxmlformats-officedocument.spreadsheetml.externalLink+xml"/>
  <Override PartName="/xl/externalLinks/externalLink456.xml" ContentType="application/vnd.openxmlformats-officedocument.spreadsheetml.externalLink+xml"/>
  <Override PartName="/xl/externalLinks/externalLink457.xml" ContentType="application/vnd.openxmlformats-officedocument.spreadsheetml.externalLink+xml"/>
  <Override PartName="/xl/externalLinks/externalLink458.xml" ContentType="application/vnd.openxmlformats-officedocument.spreadsheetml.externalLink+xml"/>
  <Override PartName="/xl/externalLinks/externalLink459.xml" ContentType="application/vnd.openxmlformats-officedocument.spreadsheetml.externalLink+xml"/>
  <Override PartName="/xl/externalLinks/externalLink460.xml" ContentType="application/vnd.openxmlformats-officedocument.spreadsheetml.externalLink+xml"/>
  <Override PartName="/xl/externalLinks/externalLink461.xml" ContentType="application/vnd.openxmlformats-officedocument.spreadsheetml.externalLink+xml"/>
  <Override PartName="/xl/externalLinks/externalLink462.xml" ContentType="application/vnd.openxmlformats-officedocument.spreadsheetml.externalLink+xml"/>
  <Override PartName="/xl/externalLinks/externalLink463.xml" ContentType="application/vnd.openxmlformats-officedocument.spreadsheetml.externalLink+xml"/>
  <Override PartName="/xl/externalLinks/externalLink464.xml" ContentType="application/vnd.openxmlformats-officedocument.spreadsheetml.externalLink+xml"/>
  <Override PartName="/xl/externalLinks/externalLink465.xml" ContentType="application/vnd.openxmlformats-officedocument.spreadsheetml.externalLink+xml"/>
  <Override PartName="/xl/externalLinks/externalLink466.xml" ContentType="application/vnd.openxmlformats-officedocument.spreadsheetml.externalLink+xml"/>
  <Override PartName="/xl/externalLinks/externalLink467.xml" ContentType="application/vnd.openxmlformats-officedocument.spreadsheetml.externalLink+xml"/>
  <Override PartName="/xl/externalLinks/externalLink468.xml" ContentType="application/vnd.openxmlformats-officedocument.spreadsheetml.externalLink+xml"/>
  <Override PartName="/xl/externalLinks/externalLink469.xml" ContentType="application/vnd.openxmlformats-officedocument.spreadsheetml.externalLink+xml"/>
  <Override PartName="/xl/externalLinks/externalLink470.xml" ContentType="application/vnd.openxmlformats-officedocument.spreadsheetml.externalLink+xml"/>
  <Override PartName="/xl/externalLinks/externalLink471.xml" ContentType="application/vnd.openxmlformats-officedocument.spreadsheetml.externalLink+xml"/>
  <Override PartName="/xl/externalLinks/externalLink472.xml" ContentType="application/vnd.openxmlformats-officedocument.spreadsheetml.externalLink+xml"/>
  <Override PartName="/xl/externalLinks/externalLink473.xml" ContentType="application/vnd.openxmlformats-officedocument.spreadsheetml.externalLink+xml"/>
  <Override PartName="/xl/externalLinks/externalLink474.xml" ContentType="application/vnd.openxmlformats-officedocument.spreadsheetml.externalLink+xml"/>
  <Override PartName="/xl/externalLinks/externalLink475.xml" ContentType="application/vnd.openxmlformats-officedocument.spreadsheetml.externalLink+xml"/>
  <Override PartName="/xl/externalLinks/externalLink476.xml" ContentType="application/vnd.openxmlformats-officedocument.spreadsheetml.externalLink+xml"/>
  <Override PartName="/xl/externalLinks/externalLink477.xml" ContentType="application/vnd.openxmlformats-officedocument.spreadsheetml.externalLink+xml"/>
  <Override PartName="/xl/externalLinks/externalLink478.xml" ContentType="application/vnd.openxmlformats-officedocument.spreadsheetml.externalLink+xml"/>
  <Override PartName="/xl/externalLinks/externalLink479.xml" ContentType="application/vnd.openxmlformats-officedocument.spreadsheetml.externalLink+xml"/>
  <Override PartName="/xl/externalLinks/externalLink480.xml" ContentType="application/vnd.openxmlformats-officedocument.spreadsheetml.externalLink+xml"/>
  <Override PartName="/xl/externalLinks/externalLink481.xml" ContentType="application/vnd.openxmlformats-officedocument.spreadsheetml.externalLink+xml"/>
  <Override PartName="/xl/externalLinks/externalLink482.xml" ContentType="application/vnd.openxmlformats-officedocument.spreadsheetml.externalLink+xml"/>
  <Override PartName="/xl/externalLinks/externalLink483.xml" ContentType="application/vnd.openxmlformats-officedocument.spreadsheetml.externalLink+xml"/>
  <Override PartName="/xl/externalLinks/externalLink484.xml" ContentType="application/vnd.openxmlformats-officedocument.spreadsheetml.externalLink+xml"/>
  <Override PartName="/xl/externalLinks/externalLink485.xml" ContentType="application/vnd.openxmlformats-officedocument.spreadsheetml.externalLink+xml"/>
  <Override PartName="/xl/externalLinks/externalLink486.xml" ContentType="application/vnd.openxmlformats-officedocument.spreadsheetml.externalLink+xml"/>
  <Override PartName="/xl/externalLinks/externalLink487.xml" ContentType="application/vnd.openxmlformats-officedocument.spreadsheetml.externalLink+xml"/>
  <Override PartName="/xl/externalLinks/externalLink488.xml" ContentType="application/vnd.openxmlformats-officedocument.spreadsheetml.externalLink+xml"/>
  <Override PartName="/xl/externalLinks/externalLink489.xml" ContentType="application/vnd.openxmlformats-officedocument.spreadsheetml.externalLink+xml"/>
  <Override PartName="/xl/externalLinks/externalLink490.xml" ContentType="application/vnd.openxmlformats-officedocument.spreadsheetml.externalLink+xml"/>
  <Override PartName="/xl/externalLinks/externalLink491.xml" ContentType="application/vnd.openxmlformats-officedocument.spreadsheetml.externalLink+xml"/>
  <Override PartName="/xl/externalLinks/externalLink492.xml" ContentType="application/vnd.openxmlformats-officedocument.spreadsheetml.externalLink+xml"/>
  <Override PartName="/xl/externalLinks/externalLink493.xml" ContentType="application/vnd.openxmlformats-officedocument.spreadsheetml.externalLink+xml"/>
  <Override PartName="/xl/externalLinks/externalLink494.xml" ContentType="application/vnd.openxmlformats-officedocument.spreadsheetml.externalLink+xml"/>
  <Override PartName="/xl/externalLinks/externalLink495.xml" ContentType="application/vnd.openxmlformats-officedocument.spreadsheetml.externalLink+xml"/>
  <Override PartName="/xl/externalLinks/externalLink496.xml" ContentType="application/vnd.openxmlformats-officedocument.spreadsheetml.externalLink+xml"/>
  <Override PartName="/xl/externalLinks/externalLink497.xml" ContentType="application/vnd.openxmlformats-officedocument.spreadsheetml.externalLink+xml"/>
  <Override PartName="/xl/externalLinks/externalLink498.xml" ContentType="application/vnd.openxmlformats-officedocument.spreadsheetml.externalLink+xml"/>
  <Override PartName="/xl/externalLinks/externalLink499.xml" ContentType="application/vnd.openxmlformats-officedocument.spreadsheetml.externalLink+xml"/>
  <Override PartName="/xl/externalLinks/externalLink500.xml" ContentType="application/vnd.openxmlformats-officedocument.spreadsheetml.externalLink+xml"/>
  <Override PartName="/xl/externalLinks/externalLink501.xml" ContentType="application/vnd.openxmlformats-officedocument.spreadsheetml.externalLink+xml"/>
  <Override PartName="/xl/externalLinks/externalLink502.xml" ContentType="application/vnd.openxmlformats-officedocument.spreadsheetml.externalLink+xml"/>
  <Override PartName="/xl/externalLinks/externalLink503.xml" ContentType="application/vnd.openxmlformats-officedocument.spreadsheetml.externalLink+xml"/>
  <Override PartName="/xl/externalLinks/externalLink504.xml" ContentType="application/vnd.openxmlformats-officedocument.spreadsheetml.externalLink+xml"/>
  <Override PartName="/xl/externalLinks/externalLink505.xml" ContentType="application/vnd.openxmlformats-officedocument.spreadsheetml.externalLink+xml"/>
  <Override PartName="/xl/externalLinks/externalLink506.xml" ContentType="application/vnd.openxmlformats-officedocument.spreadsheetml.externalLink+xml"/>
  <Override PartName="/xl/externalLinks/externalLink507.xml" ContentType="application/vnd.openxmlformats-officedocument.spreadsheetml.externalLink+xml"/>
  <Override PartName="/xl/externalLinks/externalLink508.xml" ContentType="application/vnd.openxmlformats-officedocument.spreadsheetml.externalLink+xml"/>
  <Override PartName="/xl/externalLinks/externalLink509.xml" ContentType="application/vnd.openxmlformats-officedocument.spreadsheetml.externalLink+xml"/>
  <Override PartName="/xl/externalLinks/externalLink510.xml" ContentType="application/vnd.openxmlformats-officedocument.spreadsheetml.externalLink+xml"/>
  <Override PartName="/xl/externalLinks/externalLink511.xml" ContentType="application/vnd.openxmlformats-officedocument.spreadsheetml.externalLink+xml"/>
  <Override PartName="/xl/externalLinks/externalLink512.xml" ContentType="application/vnd.openxmlformats-officedocument.spreadsheetml.externalLink+xml"/>
  <Override PartName="/xl/externalLinks/externalLink513.xml" ContentType="application/vnd.openxmlformats-officedocument.spreadsheetml.externalLink+xml"/>
  <Override PartName="/xl/externalLinks/externalLink514.xml" ContentType="application/vnd.openxmlformats-officedocument.spreadsheetml.externalLink+xml"/>
  <Override PartName="/xl/externalLinks/externalLink515.xml" ContentType="application/vnd.openxmlformats-officedocument.spreadsheetml.externalLink+xml"/>
  <Override PartName="/xl/externalLinks/externalLink516.xml" ContentType="application/vnd.openxmlformats-officedocument.spreadsheetml.externalLink+xml"/>
  <Override PartName="/xl/externalLinks/externalLink517.xml" ContentType="application/vnd.openxmlformats-officedocument.spreadsheetml.externalLink+xml"/>
  <Override PartName="/xl/externalLinks/externalLink518.xml" ContentType="application/vnd.openxmlformats-officedocument.spreadsheetml.externalLink+xml"/>
  <Override PartName="/xl/externalLinks/externalLink519.xml" ContentType="application/vnd.openxmlformats-officedocument.spreadsheetml.externalLink+xml"/>
  <Override PartName="/xl/externalLinks/externalLink520.xml" ContentType="application/vnd.openxmlformats-officedocument.spreadsheetml.externalLink+xml"/>
  <Override PartName="/xl/externalLinks/externalLink521.xml" ContentType="application/vnd.openxmlformats-officedocument.spreadsheetml.externalLink+xml"/>
  <Override PartName="/xl/externalLinks/externalLink522.xml" ContentType="application/vnd.openxmlformats-officedocument.spreadsheetml.externalLink+xml"/>
  <Override PartName="/xl/externalLinks/externalLink523.xml" ContentType="application/vnd.openxmlformats-officedocument.spreadsheetml.externalLink+xml"/>
  <Override PartName="/xl/externalLinks/externalLink524.xml" ContentType="application/vnd.openxmlformats-officedocument.spreadsheetml.externalLink+xml"/>
  <Override PartName="/xl/externalLinks/externalLink525.xml" ContentType="application/vnd.openxmlformats-officedocument.spreadsheetml.externalLink+xml"/>
  <Override PartName="/xl/externalLinks/externalLink526.xml" ContentType="application/vnd.openxmlformats-officedocument.spreadsheetml.externalLink+xml"/>
  <Override PartName="/xl/externalLinks/externalLink527.xml" ContentType="application/vnd.openxmlformats-officedocument.spreadsheetml.externalLink+xml"/>
  <Override PartName="/xl/externalLinks/externalLink528.xml" ContentType="application/vnd.openxmlformats-officedocument.spreadsheetml.externalLink+xml"/>
  <Override PartName="/xl/externalLinks/externalLink529.xml" ContentType="application/vnd.openxmlformats-officedocument.spreadsheetml.externalLink+xml"/>
  <Override PartName="/xl/externalLinks/externalLink530.xml" ContentType="application/vnd.openxmlformats-officedocument.spreadsheetml.externalLink+xml"/>
  <Override PartName="/xl/externalLinks/externalLink531.xml" ContentType="application/vnd.openxmlformats-officedocument.spreadsheetml.externalLink+xml"/>
  <Override PartName="/xl/externalLinks/externalLink532.xml" ContentType="application/vnd.openxmlformats-officedocument.spreadsheetml.externalLink+xml"/>
  <Override PartName="/xl/externalLinks/externalLink533.xml" ContentType="application/vnd.openxmlformats-officedocument.spreadsheetml.externalLink+xml"/>
  <Override PartName="/xl/externalLinks/externalLink534.xml" ContentType="application/vnd.openxmlformats-officedocument.spreadsheetml.externalLink+xml"/>
  <Override PartName="/xl/externalLinks/externalLink535.xml" ContentType="application/vnd.openxmlformats-officedocument.spreadsheetml.externalLink+xml"/>
  <Override PartName="/xl/externalLinks/externalLink536.xml" ContentType="application/vnd.openxmlformats-officedocument.spreadsheetml.externalLink+xml"/>
  <Override PartName="/xl/externalLinks/externalLink537.xml" ContentType="application/vnd.openxmlformats-officedocument.spreadsheetml.externalLink+xml"/>
  <Override PartName="/xl/externalLinks/externalLink538.xml" ContentType="application/vnd.openxmlformats-officedocument.spreadsheetml.externalLink+xml"/>
  <Override PartName="/xl/externalLinks/externalLink539.xml" ContentType="application/vnd.openxmlformats-officedocument.spreadsheetml.externalLink+xml"/>
  <Override PartName="/xl/externalLinks/externalLink540.xml" ContentType="application/vnd.openxmlformats-officedocument.spreadsheetml.externalLink+xml"/>
  <Override PartName="/xl/externalLinks/externalLink541.xml" ContentType="application/vnd.openxmlformats-officedocument.spreadsheetml.externalLink+xml"/>
  <Override PartName="/xl/externalLinks/externalLink542.xml" ContentType="application/vnd.openxmlformats-officedocument.spreadsheetml.externalLink+xml"/>
  <Override PartName="/xl/externalLinks/externalLink543.xml" ContentType="application/vnd.openxmlformats-officedocument.spreadsheetml.externalLink+xml"/>
  <Override PartName="/xl/externalLinks/externalLink544.xml" ContentType="application/vnd.openxmlformats-officedocument.spreadsheetml.externalLink+xml"/>
  <Override PartName="/xl/externalLinks/externalLink545.xml" ContentType="application/vnd.openxmlformats-officedocument.spreadsheetml.externalLink+xml"/>
  <Override PartName="/xl/externalLinks/externalLink546.xml" ContentType="application/vnd.openxmlformats-officedocument.spreadsheetml.externalLink+xml"/>
  <Override PartName="/xl/externalLinks/externalLink547.xml" ContentType="application/vnd.openxmlformats-officedocument.spreadsheetml.externalLink+xml"/>
  <Override PartName="/xl/externalLinks/externalLink548.xml" ContentType="application/vnd.openxmlformats-officedocument.spreadsheetml.externalLink+xml"/>
  <Override PartName="/xl/externalLinks/externalLink549.xml" ContentType="application/vnd.openxmlformats-officedocument.spreadsheetml.externalLink+xml"/>
  <Override PartName="/xl/externalLinks/externalLink550.xml" ContentType="application/vnd.openxmlformats-officedocument.spreadsheetml.externalLink+xml"/>
  <Override PartName="/xl/externalLinks/externalLink551.xml" ContentType="application/vnd.openxmlformats-officedocument.spreadsheetml.externalLink+xml"/>
  <Override PartName="/xl/externalLinks/externalLink552.xml" ContentType="application/vnd.openxmlformats-officedocument.spreadsheetml.externalLink+xml"/>
  <Override PartName="/xl/externalLinks/externalLink553.xml" ContentType="application/vnd.openxmlformats-officedocument.spreadsheetml.externalLink+xml"/>
  <Override PartName="/xl/externalLinks/externalLink554.xml" ContentType="application/vnd.openxmlformats-officedocument.spreadsheetml.externalLink+xml"/>
  <Override PartName="/xl/externalLinks/externalLink555.xml" ContentType="application/vnd.openxmlformats-officedocument.spreadsheetml.externalLink+xml"/>
  <Override PartName="/xl/externalLinks/externalLink556.xml" ContentType="application/vnd.openxmlformats-officedocument.spreadsheetml.externalLink+xml"/>
  <Override PartName="/xl/externalLinks/externalLink557.xml" ContentType="application/vnd.openxmlformats-officedocument.spreadsheetml.externalLink+xml"/>
  <Override PartName="/xl/externalLinks/externalLink558.xml" ContentType="application/vnd.openxmlformats-officedocument.spreadsheetml.externalLink+xml"/>
  <Override PartName="/xl/externalLinks/externalLink559.xml" ContentType="application/vnd.openxmlformats-officedocument.spreadsheetml.externalLink+xml"/>
  <Override PartName="/xl/externalLinks/externalLink560.xml" ContentType="application/vnd.openxmlformats-officedocument.spreadsheetml.externalLink+xml"/>
  <Override PartName="/xl/externalLinks/externalLink561.xml" ContentType="application/vnd.openxmlformats-officedocument.spreadsheetml.externalLink+xml"/>
  <Override PartName="/xl/externalLinks/externalLink562.xml" ContentType="application/vnd.openxmlformats-officedocument.spreadsheetml.externalLink+xml"/>
  <Override PartName="/xl/externalLinks/externalLink563.xml" ContentType="application/vnd.openxmlformats-officedocument.spreadsheetml.externalLink+xml"/>
  <Override PartName="/xl/externalLinks/externalLink564.xml" ContentType="application/vnd.openxmlformats-officedocument.spreadsheetml.externalLink+xml"/>
  <Override PartName="/xl/externalLinks/externalLink565.xml" ContentType="application/vnd.openxmlformats-officedocument.spreadsheetml.externalLink+xml"/>
  <Override PartName="/xl/externalLinks/externalLink566.xml" ContentType="application/vnd.openxmlformats-officedocument.spreadsheetml.externalLink+xml"/>
  <Override PartName="/xl/externalLinks/externalLink567.xml" ContentType="application/vnd.openxmlformats-officedocument.spreadsheetml.externalLink+xml"/>
  <Override PartName="/xl/externalLinks/externalLink568.xml" ContentType="application/vnd.openxmlformats-officedocument.spreadsheetml.externalLink+xml"/>
  <Override PartName="/xl/externalLinks/externalLink569.xml" ContentType="application/vnd.openxmlformats-officedocument.spreadsheetml.externalLink+xml"/>
  <Override PartName="/xl/externalLinks/externalLink570.xml" ContentType="application/vnd.openxmlformats-officedocument.spreadsheetml.externalLink+xml"/>
  <Override PartName="/xl/externalLinks/externalLink571.xml" ContentType="application/vnd.openxmlformats-officedocument.spreadsheetml.externalLink+xml"/>
  <Override PartName="/xl/externalLinks/externalLink572.xml" ContentType="application/vnd.openxmlformats-officedocument.spreadsheetml.externalLink+xml"/>
  <Override PartName="/xl/externalLinks/externalLink573.xml" ContentType="application/vnd.openxmlformats-officedocument.spreadsheetml.externalLink+xml"/>
  <Override PartName="/xl/externalLinks/externalLink574.xml" ContentType="application/vnd.openxmlformats-officedocument.spreadsheetml.externalLink+xml"/>
  <Override PartName="/xl/externalLinks/externalLink575.xml" ContentType="application/vnd.openxmlformats-officedocument.spreadsheetml.externalLink+xml"/>
  <Override PartName="/xl/externalLinks/externalLink576.xml" ContentType="application/vnd.openxmlformats-officedocument.spreadsheetml.externalLink+xml"/>
  <Override PartName="/xl/externalLinks/externalLink577.xml" ContentType="application/vnd.openxmlformats-officedocument.spreadsheetml.externalLink+xml"/>
  <Override PartName="/xl/externalLinks/externalLink578.xml" ContentType="application/vnd.openxmlformats-officedocument.spreadsheetml.externalLink+xml"/>
  <Override PartName="/xl/externalLinks/externalLink579.xml" ContentType="application/vnd.openxmlformats-officedocument.spreadsheetml.externalLink+xml"/>
  <Override PartName="/xl/externalLinks/externalLink580.xml" ContentType="application/vnd.openxmlformats-officedocument.spreadsheetml.externalLink+xml"/>
  <Override PartName="/xl/externalLinks/externalLink581.xml" ContentType="application/vnd.openxmlformats-officedocument.spreadsheetml.externalLink+xml"/>
  <Override PartName="/xl/externalLinks/externalLink582.xml" ContentType="application/vnd.openxmlformats-officedocument.spreadsheetml.externalLink+xml"/>
  <Override PartName="/xl/externalLinks/externalLink583.xml" ContentType="application/vnd.openxmlformats-officedocument.spreadsheetml.externalLink+xml"/>
  <Override PartName="/xl/externalLinks/externalLink584.xml" ContentType="application/vnd.openxmlformats-officedocument.spreadsheetml.externalLink+xml"/>
  <Override PartName="/xl/externalLinks/externalLink585.xml" ContentType="application/vnd.openxmlformats-officedocument.spreadsheetml.externalLink+xml"/>
  <Override PartName="/xl/externalLinks/externalLink586.xml" ContentType="application/vnd.openxmlformats-officedocument.spreadsheetml.externalLink+xml"/>
  <Override PartName="/xl/externalLinks/externalLink587.xml" ContentType="application/vnd.openxmlformats-officedocument.spreadsheetml.externalLink+xml"/>
  <Override PartName="/xl/externalLinks/externalLink588.xml" ContentType="application/vnd.openxmlformats-officedocument.spreadsheetml.externalLink+xml"/>
  <Override PartName="/xl/externalLinks/externalLink589.xml" ContentType="application/vnd.openxmlformats-officedocument.spreadsheetml.externalLink+xml"/>
  <Override PartName="/xl/externalLinks/externalLink590.xml" ContentType="application/vnd.openxmlformats-officedocument.spreadsheetml.externalLink+xml"/>
  <Override PartName="/xl/externalLinks/externalLink591.xml" ContentType="application/vnd.openxmlformats-officedocument.spreadsheetml.externalLink+xml"/>
  <Override PartName="/xl/externalLinks/externalLink592.xml" ContentType="application/vnd.openxmlformats-officedocument.spreadsheetml.externalLink+xml"/>
  <Override PartName="/xl/externalLinks/externalLink593.xml" ContentType="application/vnd.openxmlformats-officedocument.spreadsheetml.externalLink+xml"/>
  <Override PartName="/xl/externalLinks/externalLink594.xml" ContentType="application/vnd.openxmlformats-officedocument.spreadsheetml.externalLink+xml"/>
  <Override PartName="/xl/externalLinks/externalLink595.xml" ContentType="application/vnd.openxmlformats-officedocument.spreadsheetml.externalLink+xml"/>
  <Override PartName="/xl/externalLinks/externalLink596.xml" ContentType="application/vnd.openxmlformats-officedocument.spreadsheetml.externalLink+xml"/>
  <Override PartName="/xl/externalLinks/externalLink597.xml" ContentType="application/vnd.openxmlformats-officedocument.spreadsheetml.externalLink+xml"/>
  <Override PartName="/xl/externalLinks/externalLink598.xml" ContentType="application/vnd.openxmlformats-officedocument.spreadsheetml.externalLink+xml"/>
  <Override PartName="/xl/externalLinks/externalLink599.xml" ContentType="application/vnd.openxmlformats-officedocument.spreadsheetml.externalLink+xml"/>
  <Override PartName="/xl/externalLinks/externalLink600.xml" ContentType="application/vnd.openxmlformats-officedocument.spreadsheetml.externalLink+xml"/>
  <Override PartName="/xl/externalLinks/externalLink601.xml" ContentType="application/vnd.openxmlformats-officedocument.spreadsheetml.externalLink+xml"/>
  <Override PartName="/xl/externalLinks/externalLink602.xml" ContentType="application/vnd.openxmlformats-officedocument.spreadsheetml.externalLink+xml"/>
  <Override PartName="/xl/externalLinks/externalLink603.xml" ContentType="application/vnd.openxmlformats-officedocument.spreadsheetml.externalLink+xml"/>
  <Override PartName="/xl/externalLinks/externalLink604.xml" ContentType="application/vnd.openxmlformats-officedocument.spreadsheetml.externalLink+xml"/>
  <Override PartName="/xl/externalLinks/externalLink605.xml" ContentType="application/vnd.openxmlformats-officedocument.spreadsheetml.externalLink+xml"/>
  <Override PartName="/xl/externalLinks/externalLink606.xml" ContentType="application/vnd.openxmlformats-officedocument.spreadsheetml.externalLink+xml"/>
  <Override PartName="/xl/externalLinks/externalLink607.xml" ContentType="application/vnd.openxmlformats-officedocument.spreadsheetml.externalLink+xml"/>
  <Override PartName="/xl/externalLinks/externalLink608.xml" ContentType="application/vnd.openxmlformats-officedocument.spreadsheetml.externalLink+xml"/>
  <Override PartName="/xl/externalLinks/externalLink609.xml" ContentType="application/vnd.openxmlformats-officedocument.spreadsheetml.externalLink+xml"/>
  <Override PartName="/xl/externalLinks/externalLink610.xml" ContentType="application/vnd.openxmlformats-officedocument.spreadsheetml.externalLink+xml"/>
  <Override PartName="/xl/externalLinks/externalLink611.xml" ContentType="application/vnd.openxmlformats-officedocument.spreadsheetml.externalLink+xml"/>
  <Override PartName="/xl/externalLinks/externalLink612.xml" ContentType="application/vnd.openxmlformats-officedocument.spreadsheetml.externalLink+xml"/>
  <Override PartName="/xl/externalLinks/externalLink613.xml" ContentType="application/vnd.openxmlformats-officedocument.spreadsheetml.externalLink+xml"/>
  <Override PartName="/xl/externalLinks/externalLink614.xml" ContentType="application/vnd.openxmlformats-officedocument.spreadsheetml.externalLink+xml"/>
  <Override PartName="/xl/externalLinks/externalLink615.xml" ContentType="application/vnd.openxmlformats-officedocument.spreadsheetml.externalLink+xml"/>
  <Override PartName="/xl/externalLinks/externalLink616.xml" ContentType="application/vnd.openxmlformats-officedocument.spreadsheetml.externalLink+xml"/>
  <Override PartName="/xl/externalLinks/externalLink617.xml" ContentType="application/vnd.openxmlformats-officedocument.spreadsheetml.externalLink+xml"/>
  <Override PartName="/xl/externalLinks/externalLink618.xml" ContentType="application/vnd.openxmlformats-officedocument.spreadsheetml.externalLink+xml"/>
  <Override PartName="/xl/externalLinks/externalLink619.xml" ContentType="application/vnd.openxmlformats-officedocument.spreadsheetml.externalLink+xml"/>
  <Override PartName="/xl/externalLinks/externalLink620.xml" ContentType="application/vnd.openxmlformats-officedocument.spreadsheetml.externalLink+xml"/>
  <Override PartName="/xl/externalLinks/externalLink621.xml" ContentType="application/vnd.openxmlformats-officedocument.spreadsheetml.externalLink+xml"/>
  <Override PartName="/xl/externalLinks/externalLink622.xml" ContentType="application/vnd.openxmlformats-officedocument.spreadsheetml.externalLink+xml"/>
  <Override PartName="/xl/externalLinks/externalLink623.xml" ContentType="application/vnd.openxmlformats-officedocument.spreadsheetml.externalLink+xml"/>
  <Override PartName="/xl/externalLinks/externalLink624.xml" ContentType="application/vnd.openxmlformats-officedocument.spreadsheetml.externalLink+xml"/>
  <Override PartName="/xl/externalLinks/externalLink625.xml" ContentType="application/vnd.openxmlformats-officedocument.spreadsheetml.externalLink+xml"/>
  <Override PartName="/xl/externalLinks/externalLink626.xml" ContentType="application/vnd.openxmlformats-officedocument.spreadsheetml.externalLink+xml"/>
  <Override PartName="/xl/externalLinks/externalLink627.xml" ContentType="application/vnd.openxmlformats-officedocument.spreadsheetml.externalLink+xml"/>
  <Override PartName="/xl/externalLinks/externalLink628.xml" ContentType="application/vnd.openxmlformats-officedocument.spreadsheetml.externalLink+xml"/>
  <Override PartName="/xl/externalLinks/externalLink629.xml" ContentType="application/vnd.openxmlformats-officedocument.spreadsheetml.externalLink+xml"/>
  <Override PartName="/xl/externalLinks/externalLink630.xml" ContentType="application/vnd.openxmlformats-officedocument.spreadsheetml.externalLink+xml"/>
  <Override PartName="/xl/externalLinks/externalLink631.xml" ContentType="application/vnd.openxmlformats-officedocument.spreadsheetml.externalLink+xml"/>
  <Override PartName="/xl/externalLinks/externalLink632.xml" ContentType="application/vnd.openxmlformats-officedocument.spreadsheetml.externalLink+xml"/>
  <Override PartName="/xl/externalLinks/externalLink633.xml" ContentType="application/vnd.openxmlformats-officedocument.spreadsheetml.externalLink+xml"/>
  <Override PartName="/xl/externalLinks/externalLink634.xml" ContentType="application/vnd.openxmlformats-officedocument.spreadsheetml.externalLink+xml"/>
  <Override PartName="/xl/externalLinks/externalLink635.xml" ContentType="application/vnd.openxmlformats-officedocument.spreadsheetml.externalLink+xml"/>
  <Override PartName="/xl/externalLinks/externalLink636.xml" ContentType="application/vnd.openxmlformats-officedocument.spreadsheetml.externalLink+xml"/>
  <Override PartName="/xl/externalLinks/externalLink637.xml" ContentType="application/vnd.openxmlformats-officedocument.spreadsheetml.externalLink+xml"/>
  <Override PartName="/xl/externalLinks/externalLink638.xml" ContentType="application/vnd.openxmlformats-officedocument.spreadsheetml.externalLink+xml"/>
  <Override PartName="/xl/externalLinks/externalLink639.xml" ContentType="application/vnd.openxmlformats-officedocument.spreadsheetml.externalLink+xml"/>
  <Override PartName="/xl/externalLinks/externalLink640.xml" ContentType="application/vnd.openxmlformats-officedocument.spreadsheetml.externalLink+xml"/>
  <Override PartName="/xl/externalLinks/externalLink641.xml" ContentType="application/vnd.openxmlformats-officedocument.spreadsheetml.externalLink+xml"/>
  <Override PartName="/xl/externalLinks/externalLink642.xml" ContentType="application/vnd.openxmlformats-officedocument.spreadsheetml.externalLink+xml"/>
  <Override PartName="/xl/externalLinks/externalLink643.xml" ContentType="application/vnd.openxmlformats-officedocument.spreadsheetml.externalLink+xml"/>
  <Override PartName="/xl/externalLinks/externalLink644.xml" ContentType="application/vnd.openxmlformats-officedocument.spreadsheetml.externalLink+xml"/>
  <Override PartName="/xl/externalLinks/externalLink645.xml" ContentType="application/vnd.openxmlformats-officedocument.spreadsheetml.externalLink+xml"/>
  <Override PartName="/xl/externalLinks/externalLink646.xml" ContentType="application/vnd.openxmlformats-officedocument.spreadsheetml.externalLink+xml"/>
  <Override PartName="/xl/externalLinks/externalLink647.xml" ContentType="application/vnd.openxmlformats-officedocument.spreadsheetml.externalLink+xml"/>
  <Override PartName="/xl/externalLinks/externalLink648.xml" ContentType="application/vnd.openxmlformats-officedocument.spreadsheetml.externalLink+xml"/>
  <Override PartName="/xl/externalLinks/externalLink649.xml" ContentType="application/vnd.openxmlformats-officedocument.spreadsheetml.externalLink+xml"/>
  <Override PartName="/xl/externalLinks/externalLink650.xml" ContentType="application/vnd.openxmlformats-officedocument.spreadsheetml.externalLink+xml"/>
  <Override PartName="/xl/externalLinks/externalLink651.xml" ContentType="application/vnd.openxmlformats-officedocument.spreadsheetml.externalLink+xml"/>
  <Override PartName="/xl/externalLinks/externalLink652.xml" ContentType="application/vnd.openxmlformats-officedocument.spreadsheetml.externalLink+xml"/>
  <Override PartName="/xl/externalLinks/externalLink653.xml" ContentType="application/vnd.openxmlformats-officedocument.spreadsheetml.externalLink+xml"/>
  <Override PartName="/xl/externalLinks/externalLink654.xml" ContentType="application/vnd.openxmlformats-officedocument.spreadsheetml.externalLink+xml"/>
  <Override PartName="/xl/externalLinks/externalLink655.xml" ContentType="application/vnd.openxmlformats-officedocument.spreadsheetml.externalLink+xml"/>
  <Override PartName="/xl/externalLinks/externalLink656.xml" ContentType="application/vnd.openxmlformats-officedocument.spreadsheetml.externalLink+xml"/>
  <Override PartName="/xl/externalLinks/externalLink657.xml" ContentType="application/vnd.openxmlformats-officedocument.spreadsheetml.externalLink+xml"/>
  <Override PartName="/xl/externalLinks/externalLink658.xml" ContentType="application/vnd.openxmlformats-officedocument.spreadsheetml.externalLink+xml"/>
  <Override PartName="/xl/externalLinks/externalLink659.xml" ContentType="application/vnd.openxmlformats-officedocument.spreadsheetml.externalLink+xml"/>
  <Override PartName="/xl/externalLinks/externalLink660.xml" ContentType="application/vnd.openxmlformats-officedocument.spreadsheetml.externalLink+xml"/>
  <Override PartName="/xl/externalLinks/externalLink661.xml" ContentType="application/vnd.openxmlformats-officedocument.spreadsheetml.externalLink+xml"/>
  <Override PartName="/xl/externalLinks/externalLink662.xml" ContentType="application/vnd.openxmlformats-officedocument.spreadsheetml.externalLink+xml"/>
  <Override PartName="/xl/externalLinks/externalLink663.xml" ContentType="application/vnd.openxmlformats-officedocument.spreadsheetml.externalLink+xml"/>
  <Override PartName="/xl/externalLinks/externalLink664.xml" ContentType="application/vnd.openxmlformats-officedocument.spreadsheetml.externalLink+xml"/>
  <Override PartName="/xl/externalLinks/externalLink665.xml" ContentType="application/vnd.openxmlformats-officedocument.spreadsheetml.externalLink+xml"/>
  <Override PartName="/xl/externalLinks/externalLink666.xml" ContentType="application/vnd.openxmlformats-officedocument.spreadsheetml.externalLink+xml"/>
  <Override PartName="/xl/externalLinks/externalLink667.xml" ContentType="application/vnd.openxmlformats-officedocument.spreadsheetml.externalLink+xml"/>
  <Override PartName="/xl/externalLinks/externalLink668.xml" ContentType="application/vnd.openxmlformats-officedocument.spreadsheetml.externalLink+xml"/>
  <Override PartName="/xl/externalLinks/externalLink669.xml" ContentType="application/vnd.openxmlformats-officedocument.spreadsheetml.externalLink+xml"/>
  <Override PartName="/xl/externalLinks/externalLink670.xml" ContentType="application/vnd.openxmlformats-officedocument.spreadsheetml.externalLink+xml"/>
  <Override PartName="/xl/externalLinks/externalLink671.xml" ContentType="application/vnd.openxmlformats-officedocument.spreadsheetml.externalLink+xml"/>
  <Override PartName="/xl/externalLinks/externalLink672.xml" ContentType="application/vnd.openxmlformats-officedocument.spreadsheetml.externalLink+xml"/>
  <Override PartName="/xl/externalLinks/externalLink673.xml" ContentType="application/vnd.openxmlformats-officedocument.spreadsheetml.externalLink+xml"/>
  <Override PartName="/xl/externalLinks/externalLink674.xml" ContentType="application/vnd.openxmlformats-officedocument.spreadsheetml.externalLink+xml"/>
  <Override PartName="/xl/externalLinks/externalLink67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60" yWindow="1960" windowWidth="28040" windowHeight="17160" tabRatio="600" firstSheet="0" activeTab="1" autoFilterDateGrouping="1"/>
  </bookViews>
  <sheets>
    <sheet name="Recommendations" sheetId="1" state="visible" r:id="rId1"/>
    <sheet name="Pharma" sheetId="2" state="visible" r:id="rId2"/>
    <sheet name="Energy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  <externalReference r:id="rId451"/>
    <externalReference r:id="rId452"/>
    <externalReference r:id="rId453"/>
    <externalReference r:id="rId454"/>
    <externalReference r:id="rId455"/>
    <externalReference r:id="rId456"/>
    <externalReference r:id="rId457"/>
    <externalReference r:id="rId458"/>
    <externalReference r:id="rId459"/>
    <externalReference r:id="rId460"/>
    <externalReference r:id="rId461"/>
    <externalReference r:id="rId462"/>
    <externalReference r:id="rId463"/>
    <externalReference r:id="rId464"/>
    <externalReference r:id="rId465"/>
    <externalReference r:id="rId466"/>
    <externalReference r:id="rId467"/>
    <externalReference r:id="rId468"/>
    <externalReference r:id="rId469"/>
    <externalReference r:id="rId470"/>
    <externalReference r:id="rId471"/>
    <externalReference r:id="rId472"/>
    <externalReference r:id="rId473"/>
    <externalReference r:id="rId474"/>
    <externalReference r:id="rId475"/>
    <externalReference r:id="rId476"/>
    <externalReference r:id="rId477"/>
    <externalReference r:id="rId478"/>
    <externalReference r:id="rId479"/>
    <externalReference r:id="rId480"/>
    <externalReference r:id="rId481"/>
    <externalReference r:id="rId482"/>
    <externalReference r:id="rId483"/>
    <externalReference r:id="rId484"/>
    <externalReference r:id="rId485"/>
    <externalReference r:id="rId486"/>
    <externalReference r:id="rId487"/>
    <externalReference r:id="rId488"/>
    <externalReference r:id="rId489"/>
    <externalReference r:id="rId490"/>
    <externalReference r:id="rId491"/>
    <externalReference r:id="rId492"/>
    <externalReference r:id="rId493"/>
    <externalReference r:id="rId494"/>
    <externalReference r:id="rId495"/>
    <externalReference r:id="rId496"/>
    <externalReference r:id="rId497"/>
    <externalReference r:id="rId498"/>
    <externalReference r:id="rId499"/>
    <externalReference r:id="rId500"/>
    <externalReference r:id="rId501"/>
    <externalReference r:id="rId502"/>
    <externalReference r:id="rId503"/>
    <externalReference r:id="rId504"/>
    <externalReference r:id="rId505"/>
    <externalReference r:id="rId506"/>
    <externalReference r:id="rId507"/>
    <externalReference r:id="rId508"/>
    <externalReference r:id="rId509"/>
    <externalReference r:id="rId510"/>
    <externalReference r:id="rId511"/>
    <externalReference r:id="rId512"/>
    <externalReference r:id="rId513"/>
    <externalReference r:id="rId514"/>
    <externalReference r:id="rId515"/>
    <externalReference r:id="rId516"/>
    <externalReference r:id="rId517"/>
    <externalReference r:id="rId518"/>
    <externalReference r:id="rId519"/>
    <externalReference r:id="rId520"/>
    <externalReference r:id="rId521"/>
    <externalReference r:id="rId522"/>
    <externalReference r:id="rId523"/>
    <externalReference r:id="rId524"/>
    <externalReference r:id="rId525"/>
    <externalReference r:id="rId526"/>
    <externalReference r:id="rId527"/>
    <externalReference r:id="rId528"/>
    <externalReference r:id="rId529"/>
    <externalReference r:id="rId530"/>
    <externalReference r:id="rId531"/>
    <externalReference r:id="rId532"/>
    <externalReference r:id="rId533"/>
    <externalReference r:id="rId534"/>
    <externalReference r:id="rId535"/>
    <externalReference r:id="rId536"/>
    <externalReference r:id="rId537"/>
    <externalReference r:id="rId538"/>
    <externalReference r:id="rId539"/>
    <externalReference r:id="rId540"/>
    <externalReference r:id="rId541"/>
    <externalReference r:id="rId542"/>
    <externalReference r:id="rId543"/>
    <externalReference r:id="rId544"/>
    <externalReference r:id="rId545"/>
    <externalReference r:id="rId546"/>
    <externalReference r:id="rId547"/>
    <externalReference r:id="rId548"/>
    <externalReference r:id="rId549"/>
    <externalReference r:id="rId550"/>
    <externalReference r:id="rId551"/>
    <externalReference r:id="rId552"/>
    <externalReference r:id="rId553"/>
    <externalReference r:id="rId554"/>
    <externalReference r:id="rId555"/>
    <externalReference r:id="rId556"/>
    <externalReference r:id="rId557"/>
    <externalReference r:id="rId558"/>
    <externalReference r:id="rId559"/>
    <externalReference r:id="rId560"/>
    <externalReference r:id="rId561"/>
    <externalReference r:id="rId562"/>
    <externalReference r:id="rId563"/>
    <externalReference r:id="rId564"/>
    <externalReference r:id="rId565"/>
    <externalReference r:id="rId566"/>
    <externalReference r:id="rId567"/>
    <externalReference r:id="rId568"/>
    <externalReference r:id="rId569"/>
    <externalReference r:id="rId570"/>
    <externalReference r:id="rId571"/>
    <externalReference r:id="rId572"/>
    <externalReference r:id="rId573"/>
    <externalReference r:id="rId574"/>
    <externalReference r:id="rId575"/>
    <externalReference r:id="rId576"/>
    <externalReference r:id="rId577"/>
    <externalReference r:id="rId578"/>
    <externalReference r:id="rId579"/>
    <externalReference r:id="rId580"/>
    <externalReference r:id="rId581"/>
    <externalReference r:id="rId582"/>
    <externalReference r:id="rId583"/>
    <externalReference r:id="rId584"/>
    <externalReference r:id="rId585"/>
    <externalReference r:id="rId586"/>
    <externalReference r:id="rId587"/>
    <externalReference r:id="rId588"/>
    <externalReference r:id="rId589"/>
    <externalReference r:id="rId590"/>
    <externalReference r:id="rId591"/>
    <externalReference r:id="rId592"/>
    <externalReference r:id="rId593"/>
    <externalReference r:id="rId594"/>
    <externalReference r:id="rId595"/>
    <externalReference r:id="rId596"/>
    <externalReference r:id="rId597"/>
    <externalReference r:id="rId598"/>
    <externalReference r:id="rId599"/>
    <externalReference r:id="rId600"/>
    <externalReference r:id="rId601"/>
    <externalReference r:id="rId602"/>
    <externalReference r:id="rId603"/>
    <externalReference r:id="rId604"/>
    <externalReference r:id="rId605"/>
    <externalReference r:id="rId606"/>
    <externalReference r:id="rId607"/>
    <externalReference r:id="rId608"/>
    <externalReference r:id="rId609"/>
    <externalReference r:id="rId610"/>
    <externalReference r:id="rId611"/>
    <externalReference r:id="rId612"/>
    <externalReference r:id="rId613"/>
    <externalReference r:id="rId614"/>
    <externalReference r:id="rId615"/>
    <externalReference r:id="rId616"/>
    <externalReference r:id="rId617"/>
    <externalReference r:id="rId618"/>
    <externalReference r:id="rId619"/>
    <externalReference r:id="rId620"/>
    <externalReference r:id="rId621"/>
    <externalReference r:id="rId622"/>
    <externalReference r:id="rId623"/>
    <externalReference r:id="rId624"/>
    <externalReference r:id="rId625"/>
    <externalReference r:id="rId626"/>
    <externalReference r:id="rId627"/>
    <externalReference r:id="rId628"/>
    <externalReference r:id="rId629"/>
    <externalReference r:id="rId630"/>
    <externalReference r:id="rId631"/>
    <externalReference r:id="rId632"/>
    <externalReference r:id="rId633"/>
    <externalReference r:id="rId634"/>
    <externalReference r:id="rId635"/>
    <externalReference r:id="rId636"/>
    <externalReference r:id="rId637"/>
    <externalReference r:id="rId638"/>
    <externalReference r:id="rId639"/>
    <externalReference r:id="rId640"/>
    <externalReference r:id="rId641"/>
    <externalReference r:id="rId642"/>
    <externalReference r:id="rId643"/>
    <externalReference r:id="rId644"/>
    <externalReference r:id="rId645"/>
    <externalReference r:id="rId646"/>
    <externalReference r:id="rId647"/>
    <externalReference r:id="rId648"/>
    <externalReference r:id="rId649"/>
    <externalReference r:id="rId650"/>
    <externalReference r:id="rId651"/>
    <externalReference r:id="rId652"/>
    <externalReference r:id="rId653"/>
    <externalReference r:id="rId654"/>
    <externalReference r:id="rId655"/>
    <externalReference r:id="rId656"/>
    <externalReference r:id="rId657"/>
    <externalReference r:id="rId658"/>
    <externalReference r:id="rId659"/>
    <externalReference r:id="rId660"/>
    <externalReference r:id="rId661"/>
    <externalReference r:id="rId662"/>
    <externalReference r:id="rId663"/>
    <externalReference r:id="rId664"/>
    <externalReference r:id="rId665"/>
    <externalReference r:id="rId666"/>
    <externalReference r:id="rId667"/>
    <externalReference r:id="rId668"/>
    <externalReference r:id="rId669"/>
    <externalReference r:id="rId670"/>
    <externalReference r:id="rId671"/>
    <externalReference r:id="rId672"/>
    <externalReference r:id="rId673"/>
    <externalReference r:id="rId674"/>
    <externalReference r:id="rId675"/>
    <externalReference r:id="rId676"/>
    <externalReference r:id="rId677"/>
    <externalReference r:id="rId678"/>
  </externalReferences>
  <definedNames>
    <definedName name="_xlnm._FilterDatabase" localSheetId="1" hidden="1">'Pharma'!$B$2:$N$677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#,##0;\(#,##0\);&quot;-&quot;"/>
    <numFmt numFmtId="165" formatCode="0.0%"/>
    <numFmt numFmtId="166" formatCode="yyyy\-mm\-dd"/>
    <numFmt numFmtId="167" formatCode="0.0%;\-0.0%"/>
    <numFmt numFmtId="168" formatCode="\+0%;\-0%"/>
    <numFmt numFmtId="169" formatCode="\$#,##0.00"/>
    <numFmt numFmtId="170" formatCode="#,##0.0"/>
    <numFmt numFmtId="171" formatCode="0.000"/>
  </numFmts>
  <fonts count="1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i val="1"/>
      <sz val="10"/>
    </font>
    <font>
      <name val="Aptos Narrow"/>
      <b val="1"/>
      <color rgb="FF000000"/>
      <sz val="14"/>
    </font>
    <font>
      <name val="Aptos Narrow"/>
      <i val="1"/>
      <color rgb="FF595959"/>
      <sz val="12"/>
    </font>
    <font>
      <name val="Aptos Narrow"/>
      <b val="1"/>
      <color rgb="FF000000"/>
      <sz val="12"/>
    </font>
    <font>
      <name val="Aptos Narrow"/>
      <color rgb="FF000000"/>
      <sz val="12"/>
    </font>
    <font>
      <name val="Aptos Narrow"/>
      <color rgb="FF595959"/>
      <sz val="12"/>
    </font>
    <font>
      <name val="Aptos Narrow"/>
      <color rgb="FF006100"/>
      <sz val="12"/>
    </font>
    <font>
      <name val="Aptos Narrow"/>
      <b val="1"/>
      <color rgb="FF006100"/>
      <sz val="12"/>
    </font>
    <font>
      <name val="Aptos Narrow"/>
      <color rgb="FF9C0006"/>
      <sz val="12"/>
    </font>
    <font>
      <name val="Aptos Narrow"/>
      <b val="1"/>
      <color rgb="FF9C0006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pivotButton="0" quotePrefix="0" xfId="0"/>
    <xf numFmtId="2" fontId="0" fillId="0" borderId="0" pivotButton="0" quotePrefix="0" xfId="0"/>
    <xf numFmtId="0" fontId="1" fillId="0" borderId="1" pivotButton="0" quotePrefix="0" xfId="0"/>
    <xf numFmtId="0" fontId="2" fillId="0" borderId="0" pivotButton="0" quotePrefix="0" xfId="1"/>
    <xf numFmtId="0" fontId="1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0" pivotButton="0" quotePrefix="0" xfId="0"/>
    <xf numFmtId="164" fontId="0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2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6" fontId="2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8" fillId="0" borderId="0" pivotButton="0" quotePrefix="0" xfId="0"/>
    <xf numFmtId="167" fontId="6" fillId="0" borderId="0" pivotButton="0" quotePrefix="0" xfId="0"/>
    <xf numFmtId="1" fontId="7" fillId="0" borderId="0" pivotButton="0" quotePrefix="0" xfId="0"/>
    <xf numFmtId="168" fontId="7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169" fontId="7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170" fontId="7" fillId="0" borderId="0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171" fontId="7" fillId="0" borderId="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167" fontId="10" fillId="0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167" fontId="12" fillId="0" borderId="5" applyAlignment="1" pivotButton="0" quotePrefix="0" xfId="0">
      <alignment horizontal="center"/>
    </xf>
    <xf numFmtId="0" fontId="7" fillId="0" borderId="0" pivotButton="0" quotePrefix="0" xfId="0"/>
    <xf numFmtId="0" fontId="0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8" fontId="7" fillId="0" borderId="0" pivotButton="0" quotePrefix="0" xfId="0"/>
    <xf numFmtId="167" fontId="10" fillId="0" borderId="0" applyAlignment="1" pivotButton="0" quotePrefix="0" xfId="0">
      <alignment horizontal="center"/>
    </xf>
    <xf numFmtId="169" fontId="7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170" fontId="7" fillId="0" borderId="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167" fontId="10" fillId="0" borderId="5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167" fontId="12" fillId="0" borderId="5" applyAlignment="1" pivotButton="0" quotePrefix="0" xfId="0">
      <alignment horizontal="center"/>
    </xf>
    <xf numFmtId="165" fontId="0" fillId="0" borderId="0" pivotButton="0" quotePrefix="0" xfId="0"/>
    <xf numFmtId="166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left"/>
    </xf>
  </cellXfs>
  <cellStyles count="2">
    <cellStyle name="Normal" xfId="0" builtinId="0"/>
    <cellStyle name="Hyperlink" xfId="1" builtinId="8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externalLink" Target="/xl/externalLinks/externalLink15.xml" Id="rId18" /><Relationship Type="http://schemas.openxmlformats.org/officeDocument/2006/relationships/externalLink" Target="/xl/externalLinks/externalLink16.xml" Id="rId19" /><Relationship Type="http://schemas.openxmlformats.org/officeDocument/2006/relationships/externalLink" Target="/xl/externalLinks/externalLink17.xml" Id="rId20" /><Relationship Type="http://schemas.openxmlformats.org/officeDocument/2006/relationships/externalLink" Target="/xl/externalLinks/externalLink18.xml" Id="rId21" /><Relationship Type="http://schemas.openxmlformats.org/officeDocument/2006/relationships/externalLink" Target="/xl/externalLinks/externalLink19.xml" Id="rId22" /><Relationship Type="http://schemas.openxmlformats.org/officeDocument/2006/relationships/externalLink" Target="/xl/externalLinks/externalLink20.xml" Id="rId23" /><Relationship Type="http://schemas.openxmlformats.org/officeDocument/2006/relationships/externalLink" Target="/xl/externalLinks/externalLink21.xml" Id="rId24" /><Relationship Type="http://schemas.openxmlformats.org/officeDocument/2006/relationships/externalLink" Target="/xl/externalLinks/externalLink22.xml" Id="rId25" /><Relationship Type="http://schemas.openxmlformats.org/officeDocument/2006/relationships/externalLink" Target="/xl/externalLinks/externalLink23.xml" Id="rId26" /><Relationship Type="http://schemas.openxmlformats.org/officeDocument/2006/relationships/externalLink" Target="/xl/externalLinks/externalLink24.xml" Id="rId27" /><Relationship Type="http://schemas.openxmlformats.org/officeDocument/2006/relationships/externalLink" Target="/xl/externalLinks/externalLink25.xml" Id="rId28" /><Relationship Type="http://schemas.openxmlformats.org/officeDocument/2006/relationships/externalLink" Target="/xl/externalLinks/externalLink26.xml" Id="rId29" /><Relationship Type="http://schemas.openxmlformats.org/officeDocument/2006/relationships/externalLink" Target="/xl/externalLinks/externalLink27.xml" Id="rId30" /><Relationship Type="http://schemas.openxmlformats.org/officeDocument/2006/relationships/externalLink" Target="/xl/externalLinks/externalLink28.xml" Id="rId31" /><Relationship Type="http://schemas.openxmlformats.org/officeDocument/2006/relationships/externalLink" Target="/xl/externalLinks/externalLink29.xml" Id="rId32" /><Relationship Type="http://schemas.openxmlformats.org/officeDocument/2006/relationships/externalLink" Target="/xl/externalLinks/externalLink30.xml" Id="rId33" /><Relationship Type="http://schemas.openxmlformats.org/officeDocument/2006/relationships/externalLink" Target="/xl/externalLinks/externalLink31.xml" Id="rId34" /><Relationship Type="http://schemas.openxmlformats.org/officeDocument/2006/relationships/externalLink" Target="/xl/externalLinks/externalLink32.xml" Id="rId35" /><Relationship Type="http://schemas.openxmlformats.org/officeDocument/2006/relationships/externalLink" Target="/xl/externalLinks/externalLink33.xml" Id="rId36" /><Relationship Type="http://schemas.openxmlformats.org/officeDocument/2006/relationships/externalLink" Target="/xl/externalLinks/externalLink34.xml" Id="rId37" /><Relationship Type="http://schemas.openxmlformats.org/officeDocument/2006/relationships/externalLink" Target="/xl/externalLinks/externalLink35.xml" Id="rId38" /><Relationship Type="http://schemas.openxmlformats.org/officeDocument/2006/relationships/externalLink" Target="/xl/externalLinks/externalLink36.xml" Id="rId39" /><Relationship Type="http://schemas.openxmlformats.org/officeDocument/2006/relationships/externalLink" Target="/xl/externalLinks/externalLink37.xml" Id="rId40" /><Relationship Type="http://schemas.openxmlformats.org/officeDocument/2006/relationships/externalLink" Target="/xl/externalLinks/externalLink38.xml" Id="rId41" /><Relationship Type="http://schemas.openxmlformats.org/officeDocument/2006/relationships/externalLink" Target="/xl/externalLinks/externalLink39.xml" Id="rId42" /><Relationship Type="http://schemas.openxmlformats.org/officeDocument/2006/relationships/externalLink" Target="/xl/externalLinks/externalLink40.xml" Id="rId43" /><Relationship Type="http://schemas.openxmlformats.org/officeDocument/2006/relationships/externalLink" Target="/xl/externalLinks/externalLink41.xml" Id="rId44" /><Relationship Type="http://schemas.openxmlformats.org/officeDocument/2006/relationships/externalLink" Target="/xl/externalLinks/externalLink42.xml" Id="rId45" /><Relationship Type="http://schemas.openxmlformats.org/officeDocument/2006/relationships/externalLink" Target="/xl/externalLinks/externalLink43.xml" Id="rId46" /><Relationship Type="http://schemas.openxmlformats.org/officeDocument/2006/relationships/externalLink" Target="/xl/externalLinks/externalLink44.xml" Id="rId47" /><Relationship Type="http://schemas.openxmlformats.org/officeDocument/2006/relationships/externalLink" Target="/xl/externalLinks/externalLink45.xml" Id="rId48" /><Relationship Type="http://schemas.openxmlformats.org/officeDocument/2006/relationships/externalLink" Target="/xl/externalLinks/externalLink46.xml" Id="rId49" /><Relationship Type="http://schemas.openxmlformats.org/officeDocument/2006/relationships/externalLink" Target="/xl/externalLinks/externalLink47.xml" Id="rId50" /><Relationship Type="http://schemas.openxmlformats.org/officeDocument/2006/relationships/externalLink" Target="/xl/externalLinks/externalLink48.xml" Id="rId51" /><Relationship Type="http://schemas.openxmlformats.org/officeDocument/2006/relationships/externalLink" Target="/xl/externalLinks/externalLink49.xml" Id="rId52" /><Relationship Type="http://schemas.openxmlformats.org/officeDocument/2006/relationships/externalLink" Target="/xl/externalLinks/externalLink50.xml" Id="rId53" /><Relationship Type="http://schemas.openxmlformats.org/officeDocument/2006/relationships/externalLink" Target="/xl/externalLinks/externalLink51.xml" Id="rId54" /><Relationship Type="http://schemas.openxmlformats.org/officeDocument/2006/relationships/externalLink" Target="/xl/externalLinks/externalLink52.xml" Id="rId55" /><Relationship Type="http://schemas.openxmlformats.org/officeDocument/2006/relationships/externalLink" Target="/xl/externalLinks/externalLink53.xml" Id="rId56" /><Relationship Type="http://schemas.openxmlformats.org/officeDocument/2006/relationships/externalLink" Target="/xl/externalLinks/externalLink54.xml" Id="rId57" /><Relationship Type="http://schemas.openxmlformats.org/officeDocument/2006/relationships/externalLink" Target="/xl/externalLinks/externalLink55.xml" Id="rId58" /><Relationship Type="http://schemas.openxmlformats.org/officeDocument/2006/relationships/externalLink" Target="/xl/externalLinks/externalLink56.xml" Id="rId59" /><Relationship Type="http://schemas.openxmlformats.org/officeDocument/2006/relationships/externalLink" Target="/xl/externalLinks/externalLink57.xml" Id="rId60" /><Relationship Type="http://schemas.openxmlformats.org/officeDocument/2006/relationships/externalLink" Target="/xl/externalLinks/externalLink58.xml" Id="rId61" /><Relationship Type="http://schemas.openxmlformats.org/officeDocument/2006/relationships/externalLink" Target="/xl/externalLinks/externalLink59.xml" Id="rId62" /><Relationship Type="http://schemas.openxmlformats.org/officeDocument/2006/relationships/externalLink" Target="/xl/externalLinks/externalLink60.xml" Id="rId63" /><Relationship Type="http://schemas.openxmlformats.org/officeDocument/2006/relationships/externalLink" Target="/xl/externalLinks/externalLink61.xml" Id="rId64" /><Relationship Type="http://schemas.openxmlformats.org/officeDocument/2006/relationships/externalLink" Target="/xl/externalLinks/externalLink62.xml" Id="rId65" /><Relationship Type="http://schemas.openxmlformats.org/officeDocument/2006/relationships/externalLink" Target="/xl/externalLinks/externalLink63.xml" Id="rId66" /><Relationship Type="http://schemas.openxmlformats.org/officeDocument/2006/relationships/externalLink" Target="/xl/externalLinks/externalLink64.xml" Id="rId67" /><Relationship Type="http://schemas.openxmlformats.org/officeDocument/2006/relationships/externalLink" Target="/xl/externalLinks/externalLink65.xml" Id="rId68" /><Relationship Type="http://schemas.openxmlformats.org/officeDocument/2006/relationships/externalLink" Target="/xl/externalLinks/externalLink66.xml" Id="rId69" /><Relationship Type="http://schemas.openxmlformats.org/officeDocument/2006/relationships/externalLink" Target="/xl/externalLinks/externalLink67.xml" Id="rId70" /><Relationship Type="http://schemas.openxmlformats.org/officeDocument/2006/relationships/externalLink" Target="/xl/externalLinks/externalLink68.xml" Id="rId71" /><Relationship Type="http://schemas.openxmlformats.org/officeDocument/2006/relationships/externalLink" Target="/xl/externalLinks/externalLink69.xml" Id="rId72" /><Relationship Type="http://schemas.openxmlformats.org/officeDocument/2006/relationships/externalLink" Target="/xl/externalLinks/externalLink70.xml" Id="rId73" /><Relationship Type="http://schemas.openxmlformats.org/officeDocument/2006/relationships/externalLink" Target="/xl/externalLinks/externalLink71.xml" Id="rId74" /><Relationship Type="http://schemas.openxmlformats.org/officeDocument/2006/relationships/externalLink" Target="/xl/externalLinks/externalLink72.xml" Id="rId75" /><Relationship Type="http://schemas.openxmlformats.org/officeDocument/2006/relationships/externalLink" Target="/xl/externalLinks/externalLink73.xml" Id="rId76" /><Relationship Type="http://schemas.openxmlformats.org/officeDocument/2006/relationships/externalLink" Target="/xl/externalLinks/externalLink74.xml" Id="rId77" /><Relationship Type="http://schemas.openxmlformats.org/officeDocument/2006/relationships/externalLink" Target="/xl/externalLinks/externalLink75.xml" Id="rId78" /><Relationship Type="http://schemas.openxmlformats.org/officeDocument/2006/relationships/externalLink" Target="/xl/externalLinks/externalLink76.xml" Id="rId79" /><Relationship Type="http://schemas.openxmlformats.org/officeDocument/2006/relationships/externalLink" Target="/xl/externalLinks/externalLink77.xml" Id="rId80" /><Relationship Type="http://schemas.openxmlformats.org/officeDocument/2006/relationships/externalLink" Target="/xl/externalLinks/externalLink78.xml" Id="rId81" /><Relationship Type="http://schemas.openxmlformats.org/officeDocument/2006/relationships/externalLink" Target="/xl/externalLinks/externalLink79.xml" Id="rId82" /><Relationship Type="http://schemas.openxmlformats.org/officeDocument/2006/relationships/externalLink" Target="/xl/externalLinks/externalLink80.xml" Id="rId83" /><Relationship Type="http://schemas.openxmlformats.org/officeDocument/2006/relationships/externalLink" Target="/xl/externalLinks/externalLink81.xml" Id="rId84" /><Relationship Type="http://schemas.openxmlformats.org/officeDocument/2006/relationships/externalLink" Target="/xl/externalLinks/externalLink82.xml" Id="rId85" /><Relationship Type="http://schemas.openxmlformats.org/officeDocument/2006/relationships/externalLink" Target="/xl/externalLinks/externalLink83.xml" Id="rId86" /><Relationship Type="http://schemas.openxmlformats.org/officeDocument/2006/relationships/externalLink" Target="/xl/externalLinks/externalLink84.xml" Id="rId87" /><Relationship Type="http://schemas.openxmlformats.org/officeDocument/2006/relationships/externalLink" Target="/xl/externalLinks/externalLink85.xml" Id="rId88" /><Relationship Type="http://schemas.openxmlformats.org/officeDocument/2006/relationships/externalLink" Target="/xl/externalLinks/externalLink86.xml" Id="rId89" /><Relationship Type="http://schemas.openxmlformats.org/officeDocument/2006/relationships/externalLink" Target="/xl/externalLinks/externalLink87.xml" Id="rId90" /><Relationship Type="http://schemas.openxmlformats.org/officeDocument/2006/relationships/externalLink" Target="/xl/externalLinks/externalLink88.xml" Id="rId91" /><Relationship Type="http://schemas.openxmlformats.org/officeDocument/2006/relationships/externalLink" Target="/xl/externalLinks/externalLink89.xml" Id="rId92" /><Relationship Type="http://schemas.openxmlformats.org/officeDocument/2006/relationships/externalLink" Target="/xl/externalLinks/externalLink90.xml" Id="rId93" /><Relationship Type="http://schemas.openxmlformats.org/officeDocument/2006/relationships/externalLink" Target="/xl/externalLinks/externalLink91.xml" Id="rId94" /><Relationship Type="http://schemas.openxmlformats.org/officeDocument/2006/relationships/externalLink" Target="/xl/externalLinks/externalLink92.xml" Id="rId95" /><Relationship Type="http://schemas.openxmlformats.org/officeDocument/2006/relationships/externalLink" Target="/xl/externalLinks/externalLink93.xml" Id="rId96" /><Relationship Type="http://schemas.openxmlformats.org/officeDocument/2006/relationships/externalLink" Target="/xl/externalLinks/externalLink94.xml" Id="rId97" /><Relationship Type="http://schemas.openxmlformats.org/officeDocument/2006/relationships/externalLink" Target="/xl/externalLinks/externalLink95.xml" Id="rId98" /><Relationship Type="http://schemas.openxmlformats.org/officeDocument/2006/relationships/externalLink" Target="/xl/externalLinks/externalLink96.xml" Id="rId99" /><Relationship Type="http://schemas.openxmlformats.org/officeDocument/2006/relationships/externalLink" Target="/xl/externalLinks/externalLink97.xml" Id="rId100" /><Relationship Type="http://schemas.openxmlformats.org/officeDocument/2006/relationships/externalLink" Target="/xl/externalLinks/externalLink98.xml" Id="rId101" /><Relationship Type="http://schemas.openxmlformats.org/officeDocument/2006/relationships/externalLink" Target="/xl/externalLinks/externalLink99.xml" Id="rId102" /><Relationship Type="http://schemas.openxmlformats.org/officeDocument/2006/relationships/externalLink" Target="/xl/externalLinks/externalLink100.xml" Id="rId103" /><Relationship Type="http://schemas.openxmlformats.org/officeDocument/2006/relationships/externalLink" Target="/xl/externalLinks/externalLink101.xml" Id="rId104" /><Relationship Type="http://schemas.openxmlformats.org/officeDocument/2006/relationships/externalLink" Target="/xl/externalLinks/externalLink102.xml" Id="rId105" /><Relationship Type="http://schemas.openxmlformats.org/officeDocument/2006/relationships/externalLink" Target="/xl/externalLinks/externalLink103.xml" Id="rId106" /><Relationship Type="http://schemas.openxmlformats.org/officeDocument/2006/relationships/externalLink" Target="/xl/externalLinks/externalLink104.xml" Id="rId107" /><Relationship Type="http://schemas.openxmlformats.org/officeDocument/2006/relationships/externalLink" Target="/xl/externalLinks/externalLink105.xml" Id="rId108" /><Relationship Type="http://schemas.openxmlformats.org/officeDocument/2006/relationships/externalLink" Target="/xl/externalLinks/externalLink106.xml" Id="rId109" /><Relationship Type="http://schemas.openxmlformats.org/officeDocument/2006/relationships/externalLink" Target="/xl/externalLinks/externalLink107.xml" Id="rId110" /><Relationship Type="http://schemas.openxmlformats.org/officeDocument/2006/relationships/externalLink" Target="/xl/externalLinks/externalLink108.xml" Id="rId111" /><Relationship Type="http://schemas.openxmlformats.org/officeDocument/2006/relationships/externalLink" Target="/xl/externalLinks/externalLink109.xml" Id="rId112" /><Relationship Type="http://schemas.openxmlformats.org/officeDocument/2006/relationships/externalLink" Target="/xl/externalLinks/externalLink110.xml" Id="rId113" /><Relationship Type="http://schemas.openxmlformats.org/officeDocument/2006/relationships/externalLink" Target="/xl/externalLinks/externalLink111.xml" Id="rId114" /><Relationship Type="http://schemas.openxmlformats.org/officeDocument/2006/relationships/externalLink" Target="/xl/externalLinks/externalLink112.xml" Id="rId115" /><Relationship Type="http://schemas.openxmlformats.org/officeDocument/2006/relationships/externalLink" Target="/xl/externalLinks/externalLink113.xml" Id="rId116" /><Relationship Type="http://schemas.openxmlformats.org/officeDocument/2006/relationships/externalLink" Target="/xl/externalLinks/externalLink114.xml" Id="rId117" /><Relationship Type="http://schemas.openxmlformats.org/officeDocument/2006/relationships/externalLink" Target="/xl/externalLinks/externalLink115.xml" Id="rId118" /><Relationship Type="http://schemas.openxmlformats.org/officeDocument/2006/relationships/externalLink" Target="/xl/externalLinks/externalLink116.xml" Id="rId119" /><Relationship Type="http://schemas.openxmlformats.org/officeDocument/2006/relationships/externalLink" Target="/xl/externalLinks/externalLink117.xml" Id="rId120" /><Relationship Type="http://schemas.openxmlformats.org/officeDocument/2006/relationships/externalLink" Target="/xl/externalLinks/externalLink118.xml" Id="rId121" /><Relationship Type="http://schemas.openxmlformats.org/officeDocument/2006/relationships/externalLink" Target="/xl/externalLinks/externalLink119.xml" Id="rId122" /><Relationship Type="http://schemas.openxmlformats.org/officeDocument/2006/relationships/externalLink" Target="/xl/externalLinks/externalLink120.xml" Id="rId123" /><Relationship Type="http://schemas.openxmlformats.org/officeDocument/2006/relationships/externalLink" Target="/xl/externalLinks/externalLink121.xml" Id="rId124" /><Relationship Type="http://schemas.openxmlformats.org/officeDocument/2006/relationships/externalLink" Target="/xl/externalLinks/externalLink122.xml" Id="rId125" /><Relationship Type="http://schemas.openxmlformats.org/officeDocument/2006/relationships/externalLink" Target="/xl/externalLinks/externalLink123.xml" Id="rId126" /><Relationship Type="http://schemas.openxmlformats.org/officeDocument/2006/relationships/externalLink" Target="/xl/externalLinks/externalLink124.xml" Id="rId127" /><Relationship Type="http://schemas.openxmlformats.org/officeDocument/2006/relationships/externalLink" Target="/xl/externalLinks/externalLink125.xml" Id="rId128" /><Relationship Type="http://schemas.openxmlformats.org/officeDocument/2006/relationships/externalLink" Target="/xl/externalLinks/externalLink126.xml" Id="rId129" /><Relationship Type="http://schemas.openxmlformats.org/officeDocument/2006/relationships/externalLink" Target="/xl/externalLinks/externalLink127.xml" Id="rId130" /><Relationship Type="http://schemas.openxmlformats.org/officeDocument/2006/relationships/externalLink" Target="/xl/externalLinks/externalLink128.xml" Id="rId131" /><Relationship Type="http://schemas.openxmlformats.org/officeDocument/2006/relationships/externalLink" Target="/xl/externalLinks/externalLink129.xml" Id="rId132" /><Relationship Type="http://schemas.openxmlformats.org/officeDocument/2006/relationships/externalLink" Target="/xl/externalLinks/externalLink130.xml" Id="rId133" /><Relationship Type="http://schemas.openxmlformats.org/officeDocument/2006/relationships/externalLink" Target="/xl/externalLinks/externalLink131.xml" Id="rId134" /><Relationship Type="http://schemas.openxmlformats.org/officeDocument/2006/relationships/externalLink" Target="/xl/externalLinks/externalLink132.xml" Id="rId135" /><Relationship Type="http://schemas.openxmlformats.org/officeDocument/2006/relationships/externalLink" Target="/xl/externalLinks/externalLink133.xml" Id="rId136" /><Relationship Type="http://schemas.openxmlformats.org/officeDocument/2006/relationships/externalLink" Target="/xl/externalLinks/externalLink134.xml" Id="rId137" /><Relationship Type="http://schemas.openxmlformats.org/officeDocument/2006/relationships/externalLink" Target="/xl/externalLinks/externalLink135.xml" Id="rId138" /><Relationship Type="http://schemas.openxmlformats.org/officeDocument/2006/relationships/externalLink" Target="/xl/externalLinks/externalLink136.xml" Id="rId139" /><Relationship Type="http://schemas.openxmlformats.org/officeDocument/2006/relationships/externalLink" Target="/xl/externalLinks/externalLink137.xml" Id="rId140" /><Relationship Type="http://schemas.openxmlformats.org/officeDocument/2006/relationships/externalLink" Target="/xl/externalLinks/externalLink138.xml" Id="rId141" /><Relationship Type="http://schemas.openxmlformats.org/officeDocument/2006/relationships/externalLink" Target="/xl/externalLinks/externalLink139.xml" Id="rId142" /><Relationship Type="http://schemas.openxmlformats.org/officeDocument/2006/relationships/externalLink" Target="/xl/externalLinks/externalLink140.xml" Id="rId143" /><Relationship Type="http://schemas.openxmlformats.org/officeDocument/2006/relationships/externalLink" Target="/xl/externalLinks/externalLink141.xml" Id="rId144" /><Relationship Type="http://schemas.openxmlformats.org/officeDocument/2006/relationships/externalLink" Target="/xl/externalLinks/externalLink142.xml" Id="rId145" /><Relationship Type="http://schemas.openxmlformats.org/officeDocument/2006/relationships/externalLink" Target="/xl/externalLinks/externalLink143.xml" Id="rId146" /><Relationship Type="http://schemas.openxmlformats.org/officeDocument/2006/relationships/externalLink" Target="/xl/externalLinks/externalLink144.xml" Id="rId147" /><Relationship Type="http://schemas.openxmlformats.org/officeDocument/2006/relationships/externalLink" Target="/xl/externalLinks/externalLink145.xml" Id="rId148" /><Relationship Type="http://schemas.openxmlformats.org/officeDocument/2006/relationships/externalLink" Target="/xl/externalLinks/externalLink146.xml" Id="rId149" /><Relationship Type="http://schemas.openxmlformats.org/officeDocument/2006/relationships/externalLink" Target="/xl/externalLinks/externalLink147.xml" Id="rId150" /><Relationship Type="http://schemas.openxmlformats.org/officeDocument/2006/relationships/externalLink" Target="/xl/externalLinks/externalLink148.xml" Id="rId151" /><Relationship Type="http://schemas.openxmlformats.org/officeDocument/2006/relationships/externalLink" Target="/xl/externalLinks/externalLink149.xml" Id="rId152" /><Relationship Type="http://schemas.openxmlformats.org/officeDocument/2006/relationships/externalLink" Target="/xl/externalLinks/externalLink150.xml" Id="rId153" /><Relationship Type="http://schemas.openxmlformats.org/officeDocument/2006/relationships/externalLink" Target="/xl/externalLinks/externalLink151.xml" Id="rId154" /><Relationship Type="http://schemas.openxmlformats.org/officeDocument/2006/relationships/externalLink" Target="/xl/externalLinks/externalLink152.xml" Id="rId155" /><Relationship Type="http://schemas.openxmlformats.org/officeDocument/2006/relationships/externalLink" Target="/xl/externalLinks/externalLink153.xml" Id="rId156" /><Relationship Type="http://schemas.openxmlformats.org/officeDocument/2006/relationships/externalLink" Target="/xl/externalLinks/externalLink154.xml" Id="rId157" /><Relationship Type="http://schemas.openxmlformats.org/officeDocument/2006/relationships/externalLink" Target="/xl/externalLinks/externalLink155.xml" Id="rId158" /><Relationship Type="http://schemas.openxmlformats.org/officeDocument/2006/relationships/externalLink" Target="/xl/externalLinks/externalLink156.xml" Id="rId159" /><Relationship Type="http://schemas.openxmlformats.org/officeDocument/2006/relationships/externalLink" Target="/xl/externalLinks/externalLink157.xml" Id="rId160" /><Relationship Type="http://schemas.openxmlformats.org/officeDocument/2006/relationships/externalLink" Target="/xl/externalLinks/externalLink158.xml" Id="rId161" /><Relationship Type="http://schemas.openxmlformats.org/officeDocument/2006/relationships/externalLink" Target="/xl/externalLinks/externalLink159.xml" Id="rId162" /><Relationship Type="http://schemas.openxmlformats.org/officeDocument/2006/relationships/externalLink" Target="/xl/externalLinks/externalLink160.xml" Id="rId163" /><Relationship Type="http://schemas.openxmlformats.org/officeDocument/2006/relationships/externalLink" Target="/xl/externalLinks/externalLink161.xml" Id="rId164" /><Relationship Type="http://schemas.openxmlformats.org/officeDocument/2006/relationships/externalLink" Target="/xl/externalLinks/externalLink162.xml" Id="rId165" /><Relationship Type="http://schemas.openxmlformats.org/officeDocument/2006/relationships/externalLink" Target="/xl/externalLinks/externalLink163.xml" Id="rId166" /><Relationship Type="http://schemas.openxmlformats.org/officeDocument/2006/relationships/externalLink" Target="/xl/externalLinks/externalLink164.xml" Id="rId167" /><Relationship Type="http://schemas.openxmlformats.org/officeDocument/2006/relationships/externalLink" Target="/xl/externalLinks/externalLink165.xml" Id="rId168" /><Relationship Type="http://schemas.openxmlformats.org/officeDocument/2006/relationships/externalLink" Target="/xl/externalLinks/externalLink166.xml" Id="rId169" /><Relationship Type="http://schemas.openxmlformats.org/officeDocument/2006/relationships/externalLink" Target="/xl/externalLinks/externalLink167.xml" Id="rId170" /><Relationship Type="http://schemas.openxmlformats.org/officeDocument/2006/relationships/externalLink" Target="/xl/externalLinks/externalLink168.xml" Id="rId171" /><Relationship Type="http://schemas.openxmlformats.org/officeDocument/2006/relationships/externalLink" Target="/xl/externalLinks/externalLink169.xml" Id="rId172" /><Relationship Type="http://schemas.openxmlformats.org/officeDocument/2006/relationships/externalLink" Target="/xl/externalLinks/externalLink170.xml" Id="rId173" /><Relationship Type="http://schemas.openxmlformats.org/officeDocument/2006/relationships/externalLink" Target="/xl/externalLinks/externalLink171.xml" Id="rId174" /><Relationship Type="http://schemas.openxmlformats.org/officeDocument/2006/relationships/externalLink" Target="/xl/externalLinks/externalLink172.xml" Id="rId175" /><Relationship Type="http://schemas.openxmlformats.org/officeDocument/2006/relationships/externalLink" Target="/xl/externalLinks/externalLink173.xml" Id="rId176" /><Relationship Type="http://schemas.openxmlformats.org/officeDocument/2006/relationships/externalLink" Target="/xl/externalLinks/externalLink174.xml" Id="rId177" /><Relationship Type="http://schemas.openxmlformats.org/officeDocument/2006/relationships/externalLink" Target="/xl/externalLinks/externalLink175.xml" Id="rId178" /><Relationship Type="http://schemas.openxmlformats.org/officeDocument/2006/relationships/externalLink" Target="/xl/externalLinks/externalLink176.xml" Id="rId179" /><Relationship Type="http://schemas.openxmlformats.org/officeDocument/2006/relationships/externalLink" Target="/xl/externalLinks/externalLink177.xml" Id="rId180" /><Relationship Type="http://schemas.openxmlformats.org/officeDocument/2006/relationships/externalLink" Target="/xl/externalLinks/externalLink178.xml" Id="rId181" /><Relationship Type="http://schemas.openxmlformats.org/officeDocument/2006/relationships/externalLink" Target="/xl/externalLinks/externalLink179.xml" Id="rId182" /><Relationship Type="http://schemas.openxmlformats.org/officeDocument/2006/relationships/externalLink" Target="/xl/externalLinks/externalLink180.xml" Id="rId183" /><Relationship Type="http://schemas.openxmlformats.org/officeDocument/2006/relationships/externalLink" Target="/xl/externalLinks/externalLink181.xml" Id="rId184" /><Relationship Type="http://schemas.openxmlformats.org/officeDocument/2006/relationships/externalLink" Target="/xl/externalLinks/externalLink182.xml" Id="rId185" /><Relationship Type="http://schemas.openxmlformats.org/officeDocument/2006/relationships/externalLink" Target="/xl/externalLinks/externalLink183.xml" Id="rId186" /><Relationship Type="http://schemas.openxmlformats.org/officeDocument/2006/relationships/externalLink" Target="/xl/externalLinks/externalLink184.xml" Id="rId187" /><Relationship Type="http://schemas.openxmlformats.org/officeDocument/2006/relationships/externalLink" Target="/xl/externalLinks/externalLink185.xml" Id="rId188" /><Relationship Type="http://schemas.openxmlformats.org/officeDocument/2006/relationships/externalLink" Target="/xl/externalLinks/externalLink186.xml" Id="rId189" /><Relationship Type="http://schemas.openxmlformats.org/officeDocument/2006/relationships/externalLink" Target="/xl/externalLinks/externalLink187.xml" Id="rId190" /><Relationship Type="http://schemas.openxmlformats.org/officeDocument/2006/relationships/externalLink" Target="/xl/externalLinks/externalLink188.xml" Id="rId191" /><Relationship Type="http://schemas.openxmlformats.org/officeDocument/2006/relationships/externalLink" Target="/xl/externalLinks/externalLink189.xml" Id="rId192" /><Relationship Type="http://schemas.openxmlformats.org/officeDocument/2006/relationships/externalLink" Target="/xl/externalLinks/externalLink190.xml" Id="rId193" /><Relationship Type="http://schemas.openxmlformats.org/officeDocument/2006/relationships/externalLink" Target="/xl/externalLinks/externalLink191.xml" Id="rId194" /><Relationship Type="http://schemas.openxmlformats.org/officeDocument/2006/relationships/externalLink" Target="/xl/externalLinks/externalLink192.xml" Id="rId195" /><Relationship Type="http://schemas.openxmlformats.org/officeDocument/2006/relationships/externalLink" Target="/xl/externalLinks/externalLink193.xml" Id="rId196" /><Relationship Type="http://schemas.openxmlformats.org/officeDocument/2006/relationships/externalLink" Target="/xl/externalLinks/externalLink194.xml" Id="rId197" /><Relationship Type="http://schemas.openxmlformats.org/officeDocument/2006/relationships/externalLink" Target="/xl/externalLinks/externalLink195.xml" Id="rId198" /><Relationship Type="http://schemas.openxmlformats.org/officeDocument/2006/relationships/externalLink" Target="/xl/externalLinks/externalLink196.xml" Id="rId199" /><Relationship Type="http://schemas.openxmlformats.org/officeDocument/2006/relationships/externalLink" Target="/xl/externalLinks/externalLink197.xml" Id="rId200" /><Relationship Type="http://schemas.openxmlformats.org/officeDocument/2006/relationships/externalLink" Target="/xl/externalLinks/externalLink198.xml" Id="rId201" /><Relationship Type="http://schemas.openxmlformats.org/officeDocument/2006/relationships/externalLink" Target="/xl/externalLinks/externalLink199.xml" Id="rId202" /><Relationship Type="http://schemas.openxmlformats.org/officeDocument/2006/relationships/externalLink" Target="/xl/externalLinks/externalLink200.xml" Id="rId203" /><Relationship Type="http://schemas.openxmlformats.org/officeDocument/2006/relationships/externalLink" Target="/xl/externalLinks/externalLink201.xml" Id="rId204" /><Relationship Type="http://schemas.openxmlformats.org/officeDocument/2006/relationships/externalLink" Target="/xl/externalLinks/externalLink202.xml" Id="rId205" /><Relationship Type="http://schemas.openxmlformats.org/officeDocument/2006/relationships/externalLink" Target="/xl/externalLinks/externalLink203.xml" Id="rId206" /><Relationship Type="http://schemas.openxmlformats.org/officeDocument/2006/relationships/externalLink" Target="/xl/externalLinks/externalLink204.xml" Id="rId207" /><Relationship Type="http://schemas.openxmlformats.org/officeDocument/2006/relationships/externalLink" Target="/xl/externalLinks/externalLink205.xml" Id="rId208" /><Relationship Type="http://schemas.openxmlformats.org/officeDocument/2006/relationships/externalLink" Target="/xl/externalLinks/externalLink206.xml" Id="rId209" /><Relationship Type="http://schemas.openxmlformats.org/officeDocument/2006/relationships/externalLink" Target="/xl/externalLinks/externalLink207.xml" Id="rId210" /><Relationship Type="http://schemas.openxmlformats.org/officeDocument/2006/relationships/externalLink" Target="/xl/externalLinks/externalLink208.xml" Id="rId211" /><Relationship Type="http://schemas.openxmlformats.org/officeDocument/2006/relationships/externalLink" Target="/xl/externalLinks/externalLink209.xml" Id="rId212" /><Relationship Type="http://schemas.openxmlformats.org/officeDocument/2006/relationships/externalLink" Target="/xl/externalLinks/externalLink210.xml" Id="rId213" /><Relationship Type="http://schemas.openxmlformats.org/officeDocument/2006/relationships/externalLink" Target="/xl/externalLinks/externalLink211.xml" Id="rId214" /><Relationship Type="http://schemas.openxmlformats.org/officeDocument/2006/relationships/externalLink" Target="/xl/externalLinks/externalLink212.xml" Id="rId215" /><Relationship Type="http://schemas.openxmlformats.org/officeDocument/2006/relationships/externalLink" Target="/xl/externalLinks/externalLink213.xml" Id="rId216" /><Relationship Type="http://schemas.openxmlformats.org/officeDocument/2006/relationships/externalLink" Target="/xl/externalLinks/externalLink214.xml" Id="rId217" /><Relationship Type="http://schemas.openxmlformats.org/officeDocument/2006/relationships/externalLink" Target="/xl/externalLinks/externalLink215.xml" Id="rId218" /><Relationship Type="http://schemas.openxmlformats.org/officeDocument/2006/relationships/externalLink" Target="/xl/externalLinks/externalLink216.xml" Id="rId219" /><Relationship Type="http://schemas.openxmlformats.org/officeDocument/2006/relationships/externalLink" Target="/xl/externalLinks/externalLink217.xml" Id="rId220" /><Relationship Type="http://schemas.openxmlformats.org/officeDocument/2006/relationships/externalLink" Target="/xl/externalLinks/externalLink218.xml" Id="rId221" /><Relationship Type="http://schemas.openxmlformats.org/officeDocument/2006/relationships/externalLink" Target="/xl/externalLinks/externalLink219.xml" Id="rId222" /><Relationship Type="http://schemas.openxmlformats.org/officeDocument/2006/relationships/externalLink" Target="/xl/externalLinks/externalLink220.xml" Id="rId223" /><Relationship Type="http://schemas.openxmlformats.org/officeDocument/2006/relationships/externalLink" Target="/xl/externalLinks/externalLink221.xml" Id="rId224" /><Relationship Type="http://schemas.openxmlformats.org/officeDocument/2006/relationships/externalLink" Target="/xl/externalLinks/externalLink222.xml" Id="rId225" /><Relationship Type="http://schemas.openxmlformats.org/officeDocument/2006/relationships/externalLink" Target="/xl/externalLinks/externalLink223.xml" Id="rId226" /><Relationship Type="http://schemas.openxmlformats.org/officeDocument/2006/relationships/externalLink" Target="/xl/externalLinks/externalLink224.xml" Id="rId227" /><Relationship Type="http://schemas.openxmlformats.org/officeDocument/2006/relationships/externalLink" Target="/xl/externalLinks/externalLink225.xml" Id="rId228" /><Relationship Type="http://schemas.openxmlformats.org/officeDocument/2006/relationships/externalLink" Target="/xl/externalLinks/externalLink226.xml" Id="rId229" /><Relationship Type="http://schemas.openxmlformats.org/officeDocument/2006/relationships/externalLink" Target="/xl/externalLinks/externalLink227.xml" Id="rId230" /><Relationship Type="http://schemas.openxmlformats.org/officeDocument/2006/relationships/externalLink" Target="/xl/externalLinks/externalLink228.xml" Id="rId231" /><Relationship Type="http://schemas.openxmlformats.org/officeDocument/2006/relationships/externalLink" Target="/xl/externalLinks/externalLink229.xml" Id="rId232" /><Relationship Type="http://schemas.openxmlformats.org/officeDocument/2006/relationships/externalLink" Target="/xl/externalLinks/externalLink230.xml" Id="rId233" /><Relationship Type="http://schemas.openxmlformats.org/officeDocument/2006/relationships/externalLink" Target="/xl/externalLinks/externalLink231.xml" Id="rId234" /><Relationship Type="http://schemas.openxmlformats.org/officeDocument/2006/relationships/externalLink" Target="/xl/externalLinks/externalLink232.xml" Id="rId235" /><Relationship Type="http://schemas.openxmlformats.org/officeDocument/2006/relationships/externalLink" Target="/xl/externalLinks/externalLink233.xml" Id="rId236" /><Relationship Type="http://schemas.openxmlformats.org/officeDocument/2006/relationships/externalLink" Target="/xl/externalLinks/externalLink234.xml" Id="rId237" /><Relationship Type="http://schemas.openxmlformats.org/officeDocument/2006/relationships/externalLink" Target="/xl/externalLinks/externalLink235.xml" Id="rId238" /><Relationship Type="http://schemas.openxmlformats.org/officeDocument/2006/relationships/externalLink" Target="/xl/externalLinks/externalLink236.xml" Id="rId239" /><Relationship Type="http://schemas.openxmlformats.org/officeDocument/2006/relationships/externalLink" Target="/xl/externalLinks/externalLink237.xml" Id="rId240" /><Relationship Type="http://schemas.openxmlformats.org/officeDocument/2006/relationships/externalLink" Target="/xl/externalLinks/externalLink238.xml" Id="rId241" /><Relationship Type="http://schemas.openxmlformats.org/officeDocument/2006/relationships/externalLink" Target="/xl/externalLinks/externalLink239.xml" Id="rId242" /><Relationship Type="http://schemas.openxmlformats.org/officeDocument/2006/relationships/externalLink" Target="/xl/externalLinks/externalLink240.xml" Id="rId243" /><Relationship Type="http://schemas.openxmlformats.org/officeDocument/2006/relationships/externalLink" Target="/xl/externalLinks/externalLink241.xml" Id="rId244" /><Relationship Type="http://schemas.openxmlformats.org/officeDocument/2006/relationships/externalLink" Target="/xl/externalLinks/externalLink242.xml" Id="rId245" /><Relationship Type="http://schemas.openxmlformats.org/officeDocument/2006/relationships/externalLink" Target="/xl/externalLinks/externalLink243.xml" Id="rId246" /><Relationship Type="http://schemas.openxmlformats.org/officeDocument/2006/relationships/externalLink" Target="/xl/externalLinks/externalLink244.xml" Id="rId247" /><Relationship Type="http://schemas.openxmlformats.org/officeDocument/2006/relationships/externalLink" Target="/xl/externalLinks/externalLink245.xml" Id="rId248" /><Relationship Type="http://schemas.openxmlformats.org/officeDocument/2006/relationships/externalLink" Target="/xl/externalLinks/externalLink246.xml" Id="rId249" /><Relationship Type="http://schemas.openxmlformats.org/officeDocument/2006/relationships/externalLink" Target="/xl/externalLinks/externalLink247.xml" Id="rId250" /><Relationship Type="http://schemas.openxmlformats.org/officeDocument/2006/relationships/externalLink" Target="/xl/externalLinks/externalLink248.xml" Id="rId251" /><Relationship Type="http://schemas.openxmlformats.org/officeDocument/2006/relationships/externalLink" Target="/xl/externalLinks/externalLink249.xml" Id="rId252" /><Relationship Type="http://schemas.openxmlformats.org/officeDocument/2006/relationships/externalLink" Target="/xl/externalLinks/externalLink250.xml" Id="rId253" /><Relationship Type="http://schemas.openxmlformats.org/officeDocument/2006/relationships/externalLink" Target="/xl/externalLinks/externalLink251.xml" Id="rId254" /><Relationship Type="http://schemas.openxmlformats.org/officeDocument/2006/relationships/externalLink" Target="/xl/externalLinks/externalLink252.xml" Id="rId255" /><Relationship Type="http://schemas.openxmlformats.org/officeDocument/2006/relationships/externalLink" Target="/xl/externalLinks/externalLink253.xml" Id="rId256" /><Relationship Type="http://schemas.openxmlformats.org/officeDocument/2006/relationships/externalLink" Target="/xl/externalLinks/externalLink254.xml" Id="rId257" /><Relationship Type="http://schemas.openxmlformats.org/officeDocument/2006/relationships/externalLink" Target="/xl/externalLinks/externalLink255.xml" Id="rId258" /><Relationship Type="http://schemas.openxmlformats.org/officeDocument/2006/relationships/externalLink" Target="/xl/externalLinks/externalLink256.xml" Id="rId259" /><Relationship Type="http://schemas.openxmlformats.org/officeDocument/2006/relationships/externalLink" Target="/xl/externalLinks/externalLink257.xml" Id="rId260" /><Relationship Type="http://schemas.openxmlformats.org/officeDocument/2006/relationships/externalLink" Target="/xl/externalLinks/externalLink258.xml" Id="rId261" /><Relationship Type="http://schemas.openxmlformats.org/officeDocument/2006/relationships/externalLink" Target="/xl/externalLinks/externalLink259.xml" Id="rId262" /><Relationship Type="http://schemas.openxmlformats.org/officeDocument/2006/relationships/externalLink" Target="/xl/externalLinks/externalLink260.xml" Id="rId263" /><Relationship Type="http://schemas.openxmlformats.org/officeDocument/2006/relationships/externalLink" Target="/xl/externalLinks/externalLink261.xml" Id="rId264" /><Relationship Type="http://schemas.openxmlformats.org/officeDocument/2006/relationships/externalLink" Target="/xl/externalLinks/externalLink262.xml" Id="rId265" /><Relationship Type="http://schemas.openxmlformats.org/officeDocument/2006/relationships/externalLink" Target="/xl/externalLinks/externalLink263.xml" Id="rId266" /><Relationship Type="http://schemas.openxmlformats.org/officeDocument/2006/relationships/externalLink" Target="/xl/externalLinks/externalLink264.xml" Id="rId267" /><Relationship Type="http://schemas.openxmlformats.org/officeDocument/2006/relationships/externalLink" Target="/xl/externalLinks/externalLink265.xml" Id="rId268" /><Relationship Type="http://schemas.openxmlformats.org/officeDocument/2006/relationships/externalLink" Target="/xl/externalLinks/externalLink266.xml" Id="rId269" /><Relationship Type="http://schemas.openxmlformats.org/officeDocument/2006/relationships/externalLink" Target="/xl/externalLinks/externalLink267.xml" Id="rId270" /><Relationship Type="http://schemas.openxmlformats.org/officeDocument/2006/relationships/externalLink" Target="/xl/externalLinks/externalLink268.xml" Id="rId271" /><Relationship Type="http://schemas.openxmlformats.org/officeDocument/2006/relationships/externalLink" Target="/xl/externalLinks/externalLink269.xml" Id="rId272" /><Relationship Type="http://schemas.openxmlformats.org/officeDocument/2006/relationships/externalLink" Target="/xl/externalLinks/externalLink270.xml" Id="rId273" /><Relationship Type="http://schemas.openxmlformats.org/officeDocument/2006/relationships/externalLink" Target="/xl/externalLinks/externalLink271.xml" Id="rId274" /><Relationship Type="http://schemas.openxmlformats.org/officeDocument/2006/relationships/externalLink" Target="/xl/externalLinks/externalLink272.xml" Id="rId275" /><Relationship Type="http://schemas.openxmlformats.org/officeDocument/2006/relationships/externalLink" Target="/xl/externalLinks/externalLink273.xml" Id="rId276" /><Relationship Type="http://schemas.openxmlformats.org/officeDocument/2006/relationships/externalLink" Target="/xl/externalLinks/externalLink274.xml" Id="rId277" /><Relationship Type="http://schemas.openxmlformats.org/officeDocument/2006/relationships/externalLink" Target="/xl/externalLinks/externalLink275.xml" Id="rId278" /><Relationship Type="http://schemas.openxmlformats.org/officeDocument/2006/relationships/externalLink" Target="/xl/externalLinks/externalLink276.xml" Id="rId279" /><Relationship Type="http://schemas.openxmlformats.org/officeDocument/2006/relationships/externalLink" Target="/xl/externalLinks/externalLink277.xml" Id="rId280" /><Relationship Type="http://schemas.openxmlformats.org/officeDocument/2006/relationships/externalLink" Target="/xl/externalLinks/externalLink278.xml" Id="rId281" /><Relationship Type="http://schemas.openxmlformats.org/officeDocument/2006/relationships/externalLink" Target="/xl/externalLinks/externalLink279.xml" Id="rId282" /><Relationship Type="http://schemas.openxmlformats.org/officeDocument/2006/relationships/externalLink" Target="/xl/externalLinks/externalLink280.xml" Id="rId283" /><Relationship Type="http://schemas.openxmlformats.org/officeDocument/2006/relationships/externalLink" Target="/xl/externalLinks/externalLink281.xml" Id="rId284" /><Relationship Type="http://schemas.openxmlformats.org/officeDocument/2006/relationships/externalLink" Target="/xl/externalLinks/externalLink282.xml" Id="rId285" /><Relationship Type="http://schemas.openxmlformats.org/officeDocument/2006/relationships/externalLink" Target="/xl/externalLinks/externalLink283.xml" Id="rId286" /><Relationship Type="http://schemas.openxmlformats.org/officeDocument/2006/relationships/externalLink" Target="/xl/externalLinks/externalLink284.xml" Id="rId287" /><Relationship Type="http://schemas.openxmlformats.org/officeDocument/2006/relationships/externalLink" Target="/xl/externalLinks/externalLink285.xml" Id="rId288" /><Relationship Type="http://schemas.openxmlformats.org/officeDocument/2006/relationships/externalLink" Target="/xl/externalLinks/externalLink286.xml" Id="rId289" /><Relationship Type="http://schemas.openxmlformats.org/officeDocument/2006/relationships/externalLink" Target="/xl/externalLinks/externalLink287.xml" Id="rId290" /><Relationship Type="http://schemas.openxmlformats.org/officeDocument/2006/relationships/externalLink" Target="/xl/externalLinks/externalLink288.xml" Id="rId291" /><Relationship Type="http://schemas.openxmlformats.org/officeDocument/2006/relationships/externalLink" Target="/xl/externalLinks/externalLink289.xml" Id="rId292" /><Relationship Type="http://schemas.openxmlformats.org/officeDocument/2006/relationships/externalLink" Target="/xl/externalLinks/externalLink290.xml" Id="rId293" /><Relationship Type="http://schemas.openxmlformats.org/officeDocument/2006/relationships/externalLink" Target="/xl/externalLinks/externalLink291.xml" Id="rId294" /><Relationship Type="http://schemas.openxmlformats.org/officeDocument/2006/relationships/externalLink" Target="/xl/externalLinks/externalLink292.xml" Id="rId295" /><Relationship Type="http://schemas.openxmlformats.org/officeDocument/2006/relationships/externalLink" Target="/xl/externalLinks/externalLink293.xml" Id="rId296" /><Relationship Type="http://schemas.openxmlformats.org/officeDocument/2006/relationships/externalLink" Target="/xl/externalLinks/externalLink294.xml" Id="rId297" /><Relationship Type="http://schemas.openxmlformats.org/officeDocument/2006/relationships/externalLink" Target="/xl/externalLinks/externalLink295.xml" Id="rId298" /><Relationship Type="http://schemas.openxmlformats.org/officeDocument/2006/relationships/externalLink" Target="/xl/externalLinks/externalLink296.xml" Id="rId299" /><Relationship Type="http://schemas.openxmlformats.org/officeDocument/2006/relationships/externalLink" Target="/xl/externalLinks/externalLink297.xml" Id="rId300" /><Relationship Type="http://schemas.openxmlformats.org/officeDocument/2006/relationships/externalLink" Target="/xl/externalLinks/externalLink298.xml" Id="rId301" /><Relationship Type="http://schemas.openxmlformats.org/officeDocument/2006/relationships/externalLink" Target="/xl/externalLinks/externalLink299.xml" Id="rId302" /><Relationship Type="http://schemas.openxmlformats.org/officeDocument/2006/relationships/externalLink" Target="/xl/externalLinks/externalLink300.xml" Id="rId303" /><Relationship Type="http://schemas.openxmlformats.org/officeDocument/2006/relationships/externalLink" Target="/xl/externalLinks/externalLink301.xml" Id="rId304" /><Relationship Type="http://schemas.openxmlformats.org/officeDocument/2006/relationships/externalLink" Target="/xl/externalLinks/externalLink302.xml" Id="rId305" /><Relationship Type="http://schemas.openxmlformats.org/officeDocument/2006/relationships/externalLink" Target="/xl/externalLinks/externalLink303.xml" Id="rId306" /><Relationship Type="http://schemas.openxmlformats.org/officeDocument/2006/relationships/externalLink" Target="/xl/externalLinks/externalLink304.xml" Id="rId307" /><Relationship Type="http://schemas.openxmlformats.org/officeDocument/2006/relationships/externalLink" Target="/xl/externalLinks/externalLink305.xml" Id="rId308" /><Relationship Type="http://schemas.openxmlformats.org/officeDocument/2006/relationships/externalLink" Target="/xl/externalLinks/externalLink306.xml" Id="rId309" /><Relationship Type="http://schemas.openxmlformats.org/officeDocument/2006/relationships/externalLink" Target="/xl/externalLinks/externalLink307.xml" Id="rId310" /><Relationship Type="http://schemas.openxmlformats.org/officeDocument/2006/relationships/externalLink" Target="/xl/externalLinks/externalLink308.xml" Id="rId311" /><Relationship Type="http://schemas.openxmlformats.org/officeDocument/2006/relationships/externalLink" Target="/xl/externalLinks/externalLink309.xml" Id="rId312" /><Relationship Type="http://schemas.openxmlformats.org/officeDocument/2006/relationships/externalLink" Target="/xl/externalLinks/externalLink310.xml" Id="rId313" /><Relationship Type="http://schemas.openxmlformats.org/officeDocument/2006/relationships/externalLink" Target="/xl/externalLinks/externalLink311.xml" Id="rId314" /><Relationship Type="http://schemas.openxmlformats.org/officeDocument/2006/relationships/externalLink" Target="/xl/externalLinks/externalLink312.xml" Id="rId315" /><Relationship Type="http://schemas.openxmlformats.org/officeDocument/2006/relationships/externalLink" Target="/xl/externalLinks/externalLink313.xml" Id="rId316" /><Relationship Type="http://schemas.openxmlformats.org/officeDocument/2006/relationships/externalLink" Target="/xl/externalLinks/externalLink314.xml" Id="rId317" /><Relationship Type="http://schemas.openxmlformats.org/officeDocument/2006/relationships/externalLink" Target="/xl/externalLinks/externalLink315.xml" Id="rId318" /><Relationship Type="http://schemas.openxmlformats.org/officeDocument/2006/relationships/externalLink" Target="/xl/externalLinks/externalLink316.xml" Id="rId319" /><Relationship Type="http://schemas.openxmlformats.org/officeDocument/2006/relationships/externalLink" Target="/xl/externalLinks/externalLink317.xml" Id="rId320" /><Relationship Type="http://schemas.openxmlformats.org/officeDocument/2006/relationships/externalLink" Target="/xl/externalLinks/externalLink318.xml" Id="rId321" /><Relationship Type="http://schemas.openxmlformats.org/officeDocument/2006/relationships/externalLink" Target="/xl/externalLinks/externalLink319.xml" Id="rId322" /><Relationship Type="http://schemas.openxmlformats.org/officeDocument/2006/relationships/externalLink" Target="/xl/externalLinks/externalLink320.xml" Id="rId323" /><Relationship Type="http://schemas.openxmlformats.org/officeDocument/2006/relationships/externalLink" Target="/xl/externalLinks/externalLink321.xml" Id="rId324" /><Relationship Type="http://schemas.openxmlformats.org/officeDocument/2006/relationships/externalLink" Target="/xl/externalLinks/externalLink322.xml" Id="rId325" /><Relationship Type="http://schemas.openxmlformats.org/officeDocument/2006/relationships/externalLink" Target="/xl/externalLinks/externalLink323.xml" Id="rId326" /><Relationship Type="http://schemas.openxmlformats.org/officeDocument/2006/relationships/externalLink" Target="/xl/externalLinks/externalLink324.xml" Id="rId327" /><Relationship Type="http://schemas.openxmlformats.org/officeDocument/2006/relationships/externalLink" Target="/xl/externalLinks/externalLink325.xml" Id="rId328" /><Relationship Type="http://schemas.openxmlformats.org/officeDocument/2006/relationships/externalLink" Target="/xl/externalLinks/externalLink326.xml" Id="rId329" /><Relationship Type="http://schemas.openxmlformats.org/officeDocument/2006/relationships/externalLink" Target="/xl/externalLinks/externalLink327.xml" Id="rId330" /><Relationship Type="http://schemas.openxmlformats.org/officeDocument/2006/relationships/externalLink" Target="/xl/externalLinks/externalLink328.xml" Id="rId331" /><Relationship Type="http://schemas.openxmlformats.org/officeDocument/2006/relationships/externalLink" Target="/xl/externalLinks/externalLink329.xml" Id="rId332" /><Relationship Type="http://schemas.openxmlformats.org/officeDocument/2006/relationships/externalLink" Target="/xl/externalLinks/externalLink330.xml" Id="rId333" /><Relationship Type="http://schemas.openxmlformats.org/officeDocument/2006/relationships/externalLink" Target="/xl/externalLinks/externalLink331.xml" Id="rId334" /><Relationship Type="http://schemas.openxmlformats.org/officeDocument/2006/relationships/externalLink" Target="/xl/externalLinks/externalLink332.xml" Id="rId335" /><Relationship Type="http://schemas.openxmlformats.org/officeDocument/2006/relationships/externalLink" Target="/xl/externalLinks/externalLink333.xml" Id="rId336" /><Relationship Type="http://schemas.openxmlformats.org/officeDocument/2006/relationships/externalLink" Target="/xl/externalLinks/externalLink334.xml" Id="rId337" /><Relationship Type="http://schemas.openxmlformats.org/officeDocument/2006/relationships/externalLink" Target="/xl/externalLinks/externalLink335.xml" Id="rId338" /><Relationship Type="http://schemas.openxmlformats.org/officeDocument/2006/relationships/externalLink" Target="/xl/externalLinks/externalLink336.xml" Id="rId339" /><Relationship Type="http://schemas.openxmlformats.org/officeDocument/2006/relationships/externalLink" Target="/xl/externalLinks/externalLink337.xml" Id="rId340" /><Relationship Type="http://schemas.openxmlformats.org/officeDocument/2006/relationships/externalLink" Target="/xl/externalLinks/externalLink338.xml" Id="rId341" /><Relationship Type="http://schemas.openxmlformats.org/officeDocument/2006/relationships/externalLink" Target="/xl/externalLinks/externalLink339.xml" Id="rId342" /><Relationship Type="http://schemas.openxmlformats.org/officeDocument/2006/relationships/externalLink" Target="/xl/externalLinks/externalLink340.xml" Id="rId343" /><Relationship Type="http://schemas.openxmlformats.org/officeDocument/2006/relationships/externalLink" Target="/xl/externalLinks/externalLink341.xml" Id="rId344" /><Relationship Type="http://schemas.openxmlformats.org/officeDocument/2006/relationships/externalLink" Target="/xl/externalLinks/externalLink342.xml" Id="rId345" /><Relationship Type="http://schemas.openxmlformats.org/officeDocument/2006/relationships/externalLink" Target="/xl/externalLinks/externalLink343.xml" Id="rId346" /><Relationship Type="http://schemas.openxmlformats.org/officeDocument/2006/relationships/externalLink" Target="/xl/externalLinks/externalLink344.xml" Id="rId347" /><Relationship Type="http://schemas.openxmlformats.org/officeDocument/2006/relationships/externalLink" Target="/xl/externalLinks/externalLink345.xml" Id="rId348" /><Relationship Type="http://schemas.openxmlformats.org/officeDocument/2006/relationships/externalLink" Target="/xl/externalLinks/externalLink346.xml" Id="rId349" /><Relationship Type="http://schemas.openxmlformats.org/officeDocument/2006/relationships/externalLink" Target="/xl/externalLinks/externalLink347.xml" Id="rId350" /><Relationship Type="http://schemas.openxmlformats.org/officeDocument/2006/relationships/externalLink" Target="/xl/externalLinks/externalLink348.xml" Id="rId351" /><Relationship Type="http://schemas.openxmlformats.org/officeDocument/2006/relationships/externalLink" Target="/xl/externalLinks/externalLink349.xml" Id="rId352" /><Relationship Type="http://schemas.openxmlformats.org/officeDocument/2006/relationships/externalLink" Target="/xl/externalLinks/externalLink350.xml" Id="rId353" /><Relationship Type="http://schemas.openxmlformats.org/officeDocument/2006/relationships/externalLink" Target="/xl/externalLinks/externalLink351.xml" Id="rId354" /><Relationship Type="http://schemas.openxmlformats.org/officeDocument/2006/relationships/externalLink" Target="/xl/externalLinks/externalLink352.xml" Id="rId355" /><Relationship Type="http://schemas.openxmlformats.org/officeDocument/2006/relationships/externalLink" Target="/xl/externalLinks/externalLink353.xml" Id="rId356" /><Relationship Type="http://schemas.openxmlformats.org/officeDocument/2006/relationships/externalLink" Target="/xl/externalLinks/externalLink354.xml" Id="rId357" /><Relationship Type="http://schemas.openxmlformats.org/officeDocument/2006/relationships/externalLink" Target="/xl/externalLinks/externalLink355.xml" Id="rId358" /><Relationship Type="http://schemas.openxmlformats.org/officeDocument/2006/relationships/externalLink" Target="/xl/externalLinks/externalLink356.xml" Id="rId359" /><Relationship Type="http://schemas.openxmlformats.org/officeDocument/2006/relationships/externalLink" Target="/xl/externalLinks/externalLink357.xml" Id="rId360" /><Relationship Type="http://schemas.openxmlformats.org/officeDocument/2006/relationships/externalLink" Target="/xl/externalLinks/externalLink358.xml" Id="rId361" /><Relationship Type="http://schemas.openxmlformats.org/officeDocument/2006/relationships/externalLink" Target="/xl/externalLinks/externalLink359.xml" Id="rId362" /><Relationship Type="http://schemas.openxmlformats.org/officeDocument/2006/relationships/externalLink" Target="/xl/externalLinks/externalLink360.xml" Id="rId363" /><Relationship Type="http://schemas.openxmlformats.org/officeDocument/2006/relationships/externalLink" Target="/xl/externalLinks/externalLink361.xml" Id="rId364" /><Relationship Type="http://schemas.openxmlformats.org/officeDocument/2006/relationships/externalLink" Target="/xl/externalLinks/externalLink362.xml" Id="rId365" /><Relationship Type="http://schemas.openxmlformats.org/officeDocument/2006/relationships/externalLink" Target="/xl/externalLinks/externalLink363.xml" Id="rId366" /><Relationship Type="http://schemas.openxmlformats.org/officeDocument/2006/relationships/externalLink" Target="/xl/externalLinks/externalLink364.xml" Id="rId367" /><Relationship Type="http://schemas.openxmlformats.org/officeDocument/2006/relationships/externalLink" Target="/xl/externalLinks/externalLink365.xml" Id="rId368" /><Relationship Type="http://schemas.openxmlformats.org/officeDocument/2006/relationships/externalLink" Target="/xl/externalLinks/externalLink366.xml" Id="rId369" /><Relationship Type="http://schemas.openxmlformats.org/officeDocument/2006/relationships/externalLink" Target="/xl/externalLinks/externalLink367.xml" Id="rId370" /><Relationship Type="http://schemas.openxmlformats.org/officeDocument/2006/relationships/externalLink" Target="/xl/externalLinks/externalLink368.xml" Id="rId371" /><Relationship Type="http://schemas.openxmlformats.org/officeDocument/2006/relationships/externalLink" Target="/xl/externalLinks/externalLink369.xml" Id="rId372" /><Relationship Type="http://schemas.openxmlformats.org/officeDocument/2006/relationships/externalLink" Target="/xl/externalLinks/externalLink370.xml" Id="rId373" /><Relationship Type="http://schemas.openxmlformats.org/officeDocument/2006/relationships/externalLink" Target="/xl/externalLinks/externalLink371.xml" Id="rId374" /><Relationship Type="http://schemas.openxmlformats.org/officeDocument/2006/relationships/externalLink" Target="/xl/externalLinks/externalLink372.xml" Id="rId375" /><Relationship Type="http://schemas.openxmlformats.org/officeDocument/2006/relationships/externalLink" Target="/xl/externalLinks/externalLink373.xml" Id="rId376" /><Relationship Type="http://schemas.openxmlformats.org/officeDocument/2006/relationships/externalLink" Target="/xl/externalLinks/externalLink374.xml" Id="rId377" /><Relationship Type="http://schemas.openxmlformats.org/officeDocument/2006/relationships/externalLink" Target="/xl/externalLinks/externalLink375.xml" Id="rId378" /><Relationship Type="http://schemas.openxmlformats.org/officeDocument/2006/relationships/externalLink" Target="/xl/externalLinks/externalLink376.xml" Id="rId379" /><Relationship Type="http://schemas.openxmlformats.org/officeDocument/2006/relationships/externalLink" Target="/xl/externalLinks/externalLink377.xml" Id="rId380" /><Relationship Type="http://schemas.openxmlformats.org/officeDocument/2006/relationships/externalLink" Target="/xl/externalLinks/externalLink378.xml" Id="rId381" /><Relationship Type="http://schemas.openxmlformats.org/officeDocument/2006/relationships/externalLink" Target="/xl/externalLinks/externalLink379.xml" Id="rId382" /><Relationship Type="http://schemas.openxmlformats.org/officeDocument/2006/relationships/externalLink" Target="/xl/externalLinks/externalLink380.xml" Id="rId383" /><Relationship Type="http://schemas.openxmlformats.org/officeDocument/2006/relationships/externalLink" Target="/xl/externalLinks/externalLink381.xml" Id="rId384" /><Relationship Type="http://schemas.openxmlformats.org/officeDocument/2006/relationships/externalLink" Target="/xl/externalLinks/externalLink382.xml" Id="rId385" /><Relationship Type="http://schemas.openxmlformats.org/officeDocument/2006/relationships/externalLink" Target="/xl/externalLinks/externalLink383.xml" Id="rId386" /><Relationship Type="http://schemas.openxmlformats.org/officeDocument/2006/relationships/externalLink" Target="/xl/externalLinks/externalLink384.xml" Id="rId387" /><Relationship Type="http://schemas.openxmlformats.org/officeDocument/2006/relationships/externalLink" Target="/xl/externalLinks/externalLink385.xml" Id="rId388" /><Relationship Type="http://schemas.openxmlformats.org/officeDocument/2006/relationships/externalLink" Target="/xl/externalLinks/externalLink386.xml" Id="rId389" /><Relationship Type="http://schemas.openxmlformats.org/officeDocument/2006/relationships/externalLink" Target="/xl/externalLinks/externalLink387.xml" Id="rId390" /><Relationship Type="http://schemas.openxmlformats.org/officeDocument/2006/relationships/externalLink" Target="/xl/externalLinks/externalLink388.xml" Id="rId391" /><Relationship Type="http://schemas.openxmlformats.org/officeDocument/2006/relationships/externalLink" Target="/xl/externalLinks/externalLink389.xml" Id="rId392" /><Relationship Type="http://schemas.openxmlformats.org/officeDocument/2006/relationships/externalLink" Target="/xl/externalLinks/externalLink390.xml" Id="rId393" /><Relationship Type="http://schemas.openxmlformats.org/officeDocument/2006/relationships/externalLink" Target="/xl/externalLinks/externalLink391.xml" Id="rId394" /><Relationship Type="http://schemas.openxmlformats.org/officeDocument/2006/relationships/externalLink" Target="/xl/externalLinks/externalLink392.xml" Id="rId395" /><Relationship Type="http://schemas.openxmlformats.org/officeDocument/2006/relationships/externalLink" Target="/xl/externalLinks/externalLink393.xml" Id="rId396" /><Relationship Type="http://schemas.openxmlformats.org/officeDocument/2006/relationships/externalLink" Target="/xl/externalLinks/externalLink394.xml" Id="rId397" /><Relationship Type="http://schemas.openxmlformats.org/officeDocument/2006/relationships/externalLink" Target="/xl/externalLinks/externalLink395.xml" Id="rId398" /><Relationship Type="http://schemas.openxmlformats.org/officeDocument/2006/relationships/externalLink" Target="/xl/externalLinks/externalLink396.xml" Id="rId399" /><Relationship Type="http://schemas.openxmlformats.org/officeDocument/2006/relationships/externalLink" Target="/xl/externalLinks/externalLink397.xml" Id="rId400" /><Relationship Type="http://schemas.openxmlformats.org/officeDocument/2006/relationships/externalLink" Target="/xl/externalLinks/externalLink398.xml" Id="rId401" /><Relationship Type="http://schemas.openxmlformats.org/officeDocument/2006/relationships/externalLink" Target="/xl/externalLinks/externalLink399.xml" Id="rId402" /><Relationship Type="http://schemas.openxmlformats.org/officeDocument/2006/relationships/externalLink" Target="/xl/externalLinks/externalLink400.xml" Id="rId403" /><Relationship Type="http://schemas.openxmlformats.org/officeDocument/2006/relationships/externalLink" Target="/xl/externalLinks/externalLink401.xml" Id="rId404" /><Relationship Type="http://schemas.openxmlformats.org/officeDocument/2006/relationships/externalLink" Target="/xl/externalLinks/externalLink402.xml" Id="rId405" /><Relationship Type="http://schemas.openxmlformats.org/officeDocument/2006/relationships/externalLink" Target="/xl/externalLinks/externalLink403.xml" Id="rId406" /><Relationship Type="http://schemas.openxmlformats.org/officeDocument/2006/relationships/externalLink" Target="/xl/externalLinks/externalLink404.xml" Id="rId407" /><Relationship Type="http://schemas.openxmlformats.org/officeDocument/2006/relationships/externalLink" Target="/xl/externalLinks/externalLink405.xml" Id="rId408" /><Relationship Type="http://schemas.openxmlformats.org/officeDocument/2006/relationships/externalLink" Target="/xl/externalLinks/externalLink406.xml" Id="rId409" /><Relationship Type="http://schemas.openxmlformats.org/officeDocument/2006/relationships/externalLink" Target="/xl/externalLinks/externalLink407.xml" Id="rId410" /><Relationship Type="http://schemas.openxmlformats.org/officeDocument/2006/relationships/externalLink" Target="/xl/externalLinks/externalLink408.xml" Id="rId411" /><Relationship Type="http://schemas.openxmlformats.org/officeDocument/2006/relationships/externalLink" Target="/xl/externalLinks/externalLink409.xml" Id="rId412" /><Relationship Type="http://schemas.openxmlformats.org/officeDocument/2006/relationships/externalLink" Target="/xl/externalLinks/externalLink410.xml" Id="rId413" /><Relationship Type="http://schemas.openxmlformats.org/officeDocument/2006/relationships/externalLink" Target="/xl/externalLinks/externalLink411.xml" Id="rId414" /><Relationship Type="http://schemas.openxmlformats.org/officeDocument/2006/relationships/externalLink" Target="/xl/externalLinks/externalLink412.xml" Id="rId415" /><Relationship Type="http://schemas.openxmlformats.org/officeDocument/2006/relationships/externalLink" Target="/xl/externalLinks/externalLink413.xml" Id="rId416" /><Relationship Type="http://schemas.openxmlformats.org/officeDocument/2006/relationships/externalLink" Target="/xl/externalLinks/externalLink414.xml" Id="rId417" /><Relationship Type="http://schemas.openxmlformats.org/officeDocument/2006/relationships/externalLink" Target="/xl/externalLinks/externalLink415.xml" Id="rId418" /><Relationship Type="http://schemas.openxmlformats.org/officeDocument/2006/relationships/externalLink" Target="/xl/externalLinks/externalLink416.xml" Id="rId419" /><Relationship Type="http://schemas.openxmlformats.org/officeDocument/2006/relationships/externalLink" Target="/xl/externalLinks/externalLink417.xml" Id="rId420" /><Relationship Type="http://schemas.openxmlformats.org/officeDocument/2006/relationships/externalLink" Target="/xl/externalLinks/externalLink418.xml" Id="rId421" /><Relationship Type="http://schemas.openxmlformats.org/officeDocument/2006/relationships/externalLink" Target="/xl/externalLinks/externalLink419.xml" Id="rId422" /><Relationship Type="http://schemas.openxmlformats.org/officeDocument/2006/relationships/externalLink" Target="/xl/externalLinks/externalLink420.xml" Id="rId423" /><Relationship Type="http://schemas.openxmlformats.org/officeDocument/2006/relationships/externalLink" Target="/xl/externalLinks/externalLink421.xml" Id="rId424" /><Relationship Type="http://schemas.openxmlformats.org/officeDocument/2006/relationships/externalLink" Target="/xl/externalLinks/externalLink422.xml" Id="rId425" /><Relationship Type="http://schemas.openxmlformats.org/officeDocument/2006/relationships/externalLink" Target="/xl/externalLinks/externalLink423.xml" Id="rId426" /><Relationship Type="http://schemas.openxmlformats.org/officeDocument/2006/relationships/externalLink" Target="/xl/externalLinks/externalLink424.xml" Id="rId427" /><Relationship Type="http://schemas.openxmlformats.org/officeDocument/2006/relationships/externalLink" Target="/xl/externalLinks/externalLink425.xml" Id="rId428" /><Relationship Type="http://schemas.openxmlformats.org/officeDocument/2006/relationships/externalLink" Target="/xl/externalLinks/externalLink426.xml" Id="rId429" /><Relationship Type="http://schemas.openxmlformats.org/officeDocument/2006/relationships/externalLink" Target="/xl/externalLinks/externalLink427.xml" Id="rId430" /><Relationship Type="http://schemas.openxmlformats.org/officeDocument/2006/relationships/externalLink" Target="/xl/externalLinks/externalLink428.xml" Id="rId431" /><Relationship Type="http://schemas.openxmlformats.org/officeDocument/2006/relationships/externalLink" Target="/xl/externalLinks/externalLink429.xml" Id="rId432" /><Relationship Type="http://schemas.openxmlformats.org/officeDocument/2006/relationships/externalLink" Target="/xl/externalLinks/externalLink430.xml" Id="rId433" /><Relationship Type="http://schemas.openxmlformats.org/officeDocument/2006/relationships/externalLink" Target="/xl/externalLinks/externalLink431.xml" Id="rId434" /><Relationship Type="http://schemas.openxmlformats.org/officeDocument/2006/relationships/externalLink" Target="/xl/externalLinks/externalLink432.xml" Id="rId435" /><Relationship Type="http://schemas.openxmlformats.org/officeDocument/2006/relationships/externalLink" Target="/xl/externalLinks/externalLink433.xml" Id="rId436" /><Relationship Type="http://schemas.openxmlformats.org/officeDocument/2006/relationships/externalLink" Target="/xl/externalLinks/externalLink434.xml" Id="rId437" /><Relationship Type="http://schemas.openxmlformats.org/officeDocument/2006/relationships/externalLink" Target="/xl/externalLinks/externalLink435.xml" Id="rId438" /><Relationship Type="http://schemas.openxmlformats.org/officeDocument/2006/relationships/externalLink" Target="/xl/externalLinks/externalLink436.xml" Id="rId439" /><Relationship Type="http://schemas.openxmlformats.org/officeDocument/2006/relationships/externalLink" Target="/xl/externalLinks/externalLink437.xml" Id="rId440" /><Relationship Type="http://schemas.openxmlformats.org/officeDocument/2006/relationships/externalLink" Target="/xl/externalLinks/externalLink438.xml" Id="rId441" /><Relationship Type="http://schemas.openxmlformats.org/officeDocument/2006/relationships/externalLink" Target="/xl/externalLinks/externalLink439.xml" Id="rId442" /><Relationship Type="http://schemas.openxmlformats.org/officeDocument/2006/relationships/externalLink" Target="/xl/externalLinks/externalLink440.xml" Id="rId443" /><Relationship Type="http://schemas.openxmlformats.org/officeDocument/2006/relationships/externalLink" Target="/xl/externalLinks/externalLink441.xml" Id="rId444" /><Relationship Type="http://schemas.openxmlformats.org/officeDocument/2006/relationships/externalLink" Target="/xl/externalLinks/externalLink442.xml" Id="rId445" /><Relationship Type="http://schemas.openxmlformats.org/officeDocument/2006/relationships/externalLink" Target="/xl/externalLinks/externalLink443.xml" Id="rId446" /><Relationship Type="http://schemas.openxmlformats.org/officeDocument/2006/relationships/externalLink" Target="/xl/externalLinks/externalLink444.xml" Id="rId447" /><Relationship Type="http://schemas.openxmlformats.org/officeDocument/2006/relationships/externalLink" Target="/xl/externalLinks/externalLink445.xml" Id="rId448" /><Relationship Type="http://schemas.openxmlformats.org/officeDocument/2006/relationships/externalLink" Target="/xl/externalLinks/externalLink446.xml" Id="rId449" /><Relationship Type="http://schemas.openxmlformats.org/officeDocument/2006/relationships/externalLink" Target="/xl/externalLinks/externalLink447.xml" Id="rId450" /><Relationship Type="http://schemas.openxmlformats.org/officeDocument/2006/relationships/externalLink" Target="/xl/externalLinks/externalLink448.xml" Id="rId451" /><Relationship Type="http://schemas.openxmlformats.org/officeDocument/2006/relationships/externalLink" Target="/xl/externalLinks/externalLink449.xml" Id="rId452" /><Relationship Type="http://schemas.openxmlformats.org/officeDocument/2006/relationships/externalLink" Target="/xl/externalLinks/externalLink450.xml" Id="rId453" /><Relationship Type="http://schemas.openxmlformats.org/officeDocument/2006/relationships/externalLink" Target="/xl/externalLinks/externalLink451.xml" Id="rId454" /><Relationship Type="http://schemas.openxmlformats.org/officeDocument/2006/relationships/externalLink" Target="/xl/externalLinks/externalLink452.xml" Id="rId455" /><Relationship Type="http://schemas.openxmlformats.org/officeDocument/2006/relationships/externalLink" Target="/xl/externalLinks/externalLink453.xml" Id="rId456" /><Relationship Type="http://schemas.openxmlformats.org/officeDocument/2006/relationships/externalLink" Target="/xl/externalLinks/externalLink454.xml" Id="rId457" /><Relationship Type="http://schemas.openxmlformats.org/officeDocument/2006/relationships/externalLink" Target="/xl/externalLinks/externalLink455.xml" Id="rId458" /><Relationship Type="http://schemas.openxmlformats.org/officeDocument/2006/relationships/externalLink" Target="/xl/externalLinks/externalLink456.xml" Id="rId459" /><Relationship Type="http://schemas.openxmlformats.org/officeDocument/2006/relationships/externalLink" Target="/xl/externalLinks/externalLink457.xml" Id="rId460" /><Relationship Type="http://schemas.openxmlformats.org/officeDocument/2006/relationships/externalLink" Target="/xl/externalLinks/externalLink458.xml" Id="rId461" /><Relationship Type="http://schemas.openxmlformats.org/officeDocument/2006/relationships/externalLink" Target="/xl/externalLinks/externalLink459.xml" Id="rId462" /><Relationship Type="http://schemas.openxmlformats.org/officeDocument/2006/relationships/externalLink" Target="/xl/externalLinks/externalLink460.xml" Id="rId463" /><Relationship Type="http://schemas.openxmlformats.org/officeDocument/2006/relationships/externalLink" Target="/xl/externalLinks/externalLink461.xml" Id="rId464" /><Relationship Type="http://schemas.openxmlformats.org/officeDocument/2006/relationships/externalLink" Target="/xl/externalLinks/externalLink462.xml" Id="rId465" /><Relationship Type="http://schemas.openxmlformats.org/officeDocument/2006/relationships/externalLink" Target="/xl/externalLinks/externalLink463.xml" Id="rId466" /><Relationship Type="http://schemas.openxmlformats.org/officeDocument/2006/relationships/externalLink" Target="/xl/externalLinks/externalLink464.xml" Id="rId467" /><Relationship Type="http://schemas.openxmlformats.org/officeDocument/2006/relationships/externalLink" Target="/xl/externalLinks/externalLink465.xml" Id="rId468" /><Relationship Type="http://schemas.openxmlformats.org/officeDocument/2006/relationships/externalLink" Target="/xl/externalLinks/externalLink466.xml" Id="rId469" /><Relationship Type="http://schemas.openxmlformats.org/officeDocument/2006/relationships/externalLink" Target="/xl/externalLinks/externalLink467.xml" Id="rId470" /><Relationship Type="http://schemas.openxmlformats.org/officeDocument/2006/relationships/externalLink" Target="/xl/externalLinks/externalLink468.xml" Id="rId471" /><Relationship Type="http://schemas.openxmlformats.org/officeDocument/2006/relationships/externalLink" Target="/xl/externalLinks/externalLink469.xml" Id="rId472" /><Relationship Type="http://schemas.openxmlformats.org/officeDocument/2006/relationships/externalLink" Target="/xl/externalLinks/externalLink470.xml" Id="rId473" /><Relationship Type="http://schemas.openxmlformats.org/officeDocument/2006/relationships/externalLink" Target="/xl/externalLinks/externalLink471.xml" Id="rId474" /><Relationship Type="http://schemas.openxmlformats.org/officeDocument/2006/relationships/externalLink" Target="/xl/externalLinks/externalLink472.xml" Id="rId475" /><Relationship Type="http://schemas.openxmlformats.org/officeDocument/2006/relationships/externalLink" Target="/xl/externalLinks/externalLink473.xml" Id="rId476" /><Relationship Type="http://schemas.openxmlformats.org/officeDocument/2006/relationships/externalLink" Target="/xl/externalLinks/externalLink474.xml" Id="rId477" /><Relationship Type="http://schemas.openxmlformats.org/officeDocument/2006/relationships/externalLink" Target="/xl/externalLinks/externalLink475.xml" Id="rId478" /><Relationship Type="http://schemas.openxmlformats.org/officeDocument/2006/relationships/externalLink" Target="/xl/externalLinks/externalLink476.xml" Id="rId479" /><Relationship Type="http://schemas.openxmlformats.org/officeDocument/2006/relationships/externalLink" Target="/xl/externalLinks/externalLink477.xml" Id="rId480" /><Relationship Type="http://schemas.openxmlformats.org/officeDocument/2006/relationships/externalLink" Target="/xl/externalLinks/externalLink478.xml" Id="rId481" /><Relationship Type="http://schemas.openxmlformats.org/officeDocument/2006/relationships/externalLink" Target="/xl/externalLinks/externalLink479.xml" Id="rId482" /><Relationship Type="http://schemas.openxmlformats.org/officeDocument/2006/relationships/externalLink" Target="/xl/externalLinks/externalLink480.xml" Id="rId483" /><Relationship Type="http://schemas.openxmlformats.org/officeDocument/2006/relationships/externalLink" Target="/xl/externalLinks/externalLink481.xml" Id="rId484" /><Relationship Type="http://schemas.openxmlformats.org/officeDocument/2006/relationships/externalLink" Target="/xl/externalLinks/externalLink482.xml" Id="rId485" /><Relationship Type="http://schemas.openxmlformats.org/officeDocument/2006/relationships/externalLink" Target="/xl/externalLinks/externalLink483.xml" Id="rId486" /><Relationship Type="http://schemas.openxmlformats.org/officeDocument/2006/relationships/externalLink" Target="/xl/externalLinks/externalLink484.xml" Id="rId487" /><Relationship Type="http://schemas.openxmlformats.org/officeDocument/2006/relationships/externalLink" Target="/xl/externalLinks/externalLink485.xml" Id="rId488" /><Relationship Type="http://schemas.openxmlformats.org/officeDocument/2006/relationships/externalLink" Target="/xl/externalLinks/externalLink486.xml" Id="rId489" /><Relationship Type="http://schemas.openxmlformats.org/officeDocument/2006/relationships/externalLink" Target="/xl/externalLinks/externalLink487.xml" Id="rId490" /><Relationship Type="http://schemas.openxmlformats.org/officeDocument/2006/relationships/externalLink" Target="/xl/externalLinks/externalLink488.xml" Id="rId491" /><Relationship Type="http://schemas.openxmlformats.org/officeDocument/2006/relationships/externalLink" Target="/xl/externalLinks/externalLink489.xml" Id="rId492" /><Relationship Type="http://schemas.openxmlformats.org/officeDocument/2006/relationships/externalLink" Target="/xl/externalLinks/externalLink490.xml" Id="rId493" /><Relationship Type="http://schemas.openxmlformats.org/officeDocument/2006/relationships/externalLink" Target="/xl/externalLinks/externalLink491.xml" Id="rId494" /><Relationship Type="http://schemas.openxmlformats.org/officeDocument/2006/relationships/externalLink" Target="/xl/externalLinks/externalLink492.xml" Id="rId495" /><Relationship Type="http://schemas.openxmlformats.org/officeDocument/2006/relationships/externalLink" Target="/xl/externalLinks/externalLink493.xml" Id="rId496" /><Relationship Type="http://schemas.openxmlformats.org/officeDocument/2006/relationships/externalLink" Target="/xl/externalLinks/externalLink494.xml" Id="rId497" /><Relationship Type="http://schemas.openxmlformats.org/officeDocument/2006/relationships/externalLink" Target="/xl/externalLinks/externalLink495.xml" Id="rId498" /><Relationship Type="http://schemas.openxmlformats.org/officeDocument/2006/relationships/externalLink" Target="/xl/externalLinks/externalLink496.xml" Id="rId499" /><Relationship Type="http://schemas.openxmlformats.org/officeDocument/2006/relationships/externalLink" Target="/xl/externalLinks/externalLink497.xml" Id="rId500" /><Relationship Type="http://schemas.openxmlformats.org/officeDocument/2006/relationships/externalLink" Target="/xl/externalLinks/externalLink498.xml" Id="rId501" /><Relationship Type="http://schemas.openxmlformats.org/officeDocument/2006/relationships/externalLink" Target="/xl/externalLinks/externalLink499.xml" Id="rId502" /><Relationship Type="http://schemas.openxmlformats.org/officeDocument/2006/relationships/externalLink" Target="/xl/externalLinks/externalLink500.xml" Id="rId503" /><Relationship Type="http://schemas.openxmlformats.org/officeDocument/2006/relationships/externalLink" Target="/xl/externalLinks/externalLink501.xml" Id="rId504" /><Relationship Type="http://schemas.openxmlformats.org/officeDocument/2006/relationships/externalLink" Target="/xl/externalLinks/externalLink502.xml" Id="rId505" /><Relationship Type="http://schemas.openxmlformats.org/officeDocument/2006/relationships/externalLink" Target="/xl/externalLinks/externalLink503.xml" Id="rId506" /><Relationship Type="http://schemas.openxmlformats.org/officeDocument/2006/relationships/externalLink" Target="/xl/externalLinks/externalLink504.xml" Id="rId507" /><Relationship Type="http://schemas.openxmlformats.org/officeDocument/2006/relationships/externalLink" Target="/xl/externalLinks/externalLink505.xml" Id="rId508" /><Relationship Type="http://schemas.openxmlformats.org/officeDocument/2006/relationships/externalLink" Target="/xl/externalLinks/externalLink506.xml" Id="rId509" /><Relationship Type="http://schemas.openxmlformats.org/officeDocument/2006/relationships/externalLink" Target="/xl/externalLinks/externalLink507.xml" Id="rId510" /><Relationship Type="http://schemas.openxmlformats.org/officeDocument/2006/relationships/externalLink" Target="/xl/externalLinks/externalLink508.xml" Id="rId511" /><Relationship Type="http://schemas.openxmlformats.org/officeDocument/2006/relationships/externalLink" Target="/xl/externalLinks/externalLink509.xml" Id="rId512" /><Relationship Type="http://schemas.openxmlformats.org/officeDocument/2006/relationships/externalLink" Target="/xl/externalLinks/externalLink510.xml" Id="rId513" /><Relationship Type="http://schemas.openxmlformats.org/officeDocument/2006/relationships/externalLink" Target="/xl/externalLinks/externalLink511.xml" Id="rId514" /><Relationship Type="http://schemas.openxmlformats.org/officeDocument/2006/relationships/externalLink" Target="/xl/externalLinks/externalLink512.xml" Id="rId515" /><Relationship Type="http://schemas.openxmlformats.org/officeDocument/2006/relationships/externalLink" Target="/xl/externalLinks/externalLink513.xml" Id="rId516" /><Relationship Type="http://schemas.openxmlformats.org/officeDocument/2006/relationships/externalLink" Target="/xl/externalLinks/externalLink514.xml" Id="rId517" /><Relationship Type="http://schemas.openxmlformats.org/officeDocument/2006/relationships/externalLink" Target="/xl/externalLinks/externalLink515.xml" Id="rId518" /><Relationship Type="http://schemas.openxmlformats.org/officeDocument/2006/relationships/externalLink" Target="/xl/externalLinks/externalLink516.xml" Id="rId519" /><Relationship Type="http://schemas.openxmlformats.org/officeDocument/2006/relationships/externalLink" Target="/xl/externalLinks/externalLink517.xml" Id="rId520" /><Relationship Type="http://schemas.openxmlformats.org/officeDocument/2006/relationships/externalLink" Target="/xl/externalLinks/externalLink518.xml" Id="rId521" /><Relationship Type="http://schemas.openxmlformats.org/officeDocument/2006/relationships/externalLink" Target="/xl/externalLinks/externalLink519.xml" Id="rId522" /><Relationship Type="http://schemas.openxmlformats.org/officeDocument/2006/relationships/externalLink" Target="/xl/externalLinks/externalLink520.xml" Id="rId523" /><Relationship Type="http://schemas.openxmlformats.org/officeDocument/2006/relationships/externalLink" Target="/xl/externalLinks/externalLink521.xml" Id="rId524" /><Relationship Type="http://schemas.openxmlformats.org/officeDocument/2006/relationships/externalLink" Target="/xl/externalLinks/externalLink522.xml" Id="rId525" /><Relationship Type="http://schemas.openxmlformats.org/officeDocument/2006/relationships/externalLink" Target="/xl/externalLinks/externalLink523.xml" Id="rId526" /><Relationship Type="http://schemas.openxmlformats.org/officeDocument/2006/relationships/externalLink" Target="/xl/externalLinks/externalLink524.xml" Id="rId527" /><Relationship Type="http://schemas.openxmlformats.org/officeDocument/2006/relationships/externalLink" Target="/xl/externalLinks/externalLink525.xml" Id="rId528" /><Relationship Type="http://schemas.openxmlformats.org/officeDocument/2006/relationships/externalLink" Target="/xl/externalLinks/externalLink526.xml" Id="rId529" /><Relationship Type="http://schemas.openxmlformats.org/officeDocument/2006/relationships/externalLink" Target="/xl/externalLinks/externalLink527.xml" Id="rId530" /><Relationship Type="http://schemas.openxmlformats.org/officeDocument/2006/relationships/externalLink" Target="/xl/externalLinks/externalLink528.xml" Id="rId531" /><Relationship Type="http://schemas.openxmlformats.org/officeDocument/2006/relationships/externalLink" Target="/xl/externalLinks/externalLink529.xml" Id="rId532" /><Relationship Type="http://schemas.openxmlformats.org/officeDocument/2006/relationships/externalLink" Target="/xl/externalLinks/externalLink530.xml" Id="rId533" /><Relationship Type="http://schemas.openxmlformats.org/officeDocument/2006/relationships/externalLink" Target="/xl/externalLinks/externalLink531.xml" Id="rId534" /><Relationship Type="http://schemas.openxmlformats.org/officeDocument/2006/relationships/externalLink" Target="/xl/externalLinks/externalLink532.xml" Id="rId535" /><Relationship Type="http://schemas.openxmlformats.org/officeDocument/2006/relationships/externalLink" Target="/xl/externalLinks/externalLink533.xml" Id="rId536" /><Relationship Type="http://schemas.openxmlformats.org/officeDocument/2006/relationships/externalLink" Target="/xl/externalLinks/externalLink534.xml" Id="rId537" /><Relationship Type="http://schemas.openxmlformats.org/officeDocument/2006/relationships/externalLink" Target="/xl/externalLinks/externalLink535.xml" Id="rId538" /><Relationship Type="http://schemas.openxmlformats.org/officeDocument/2006/relationships/externalLink" Target="/xl/externalLinks/externalLink536.xml" Id="rId539" /><Relationship Type="http://schemas.openxmlformats.org/officeDocument/2006/relationships/externalLink" Target="/xl/externalLinks/externalLink537.xml" Id="rId540" /><Relationship Type="http://schemas.openxmlformats.org/officeDocument/2006/relationships/externalLink" Target="/xl/externalLinks/externalLink538.xml" Id="rId541" /><Relationship Type="http://schemas.openxmlformats.org/officeDocument/2006/relationships/externalLink" Target="/xl/externalLinks/externalLink539.xml" Id="rId542" /><Relationship Type="http://schemas.openxmlformats.org/officeDocument/2006/relationships/externalLink" Target="/xl/externalLinks/externalLink540.xml" Id="rId543" /><Relationship Type="http://schemas.openxmlformats.org/officeDocument/2006/relationships/externalLink" Target="/xl/externalLinks/externalLink541.xml" Id="rId544" /><Relationship Type="http://schemas.openxmlformats.org/officeDocument/2006/relationships/externalLink" Target="/xl/externalLinks/externalLink542.xml" Id="rId545" /><Relationship Type="http://schemas.openxmlformats.org/officeDocument/2006/relationships/externalLink" Target="/xl/externalLinks/externalLink543.xml" Id="rId546" /><Relationship Type="http://schemas.openxmlformats.org/officeDocument/2006/relationships/externalLink" Target="/xl/externalLinks/externalLink544.xml" Id="rId547" /><Relationship Type="http://schemas.openxmlformats.org/officeDocument/2006/relationships/externalLink" Target="/xl/externalLinks/externalLink545.xml" Id="rId548" /><Relationship Type="http://schemas.openxmlformats.org/officeDocument/2006/relationships/externalLink" Target="/xl/externalLinks/externalLink546.xml" Id="rId549" /><Relationship Type="http://schemas.openxmlformats.org/officeDocument/2006/relationships/externalLink" Target="/xl/externalLinks/externalLink547.xml" Id="rId550" /><Relationship Type="http://schemas.openxmlformats.org/officeDocument/2006/relationships/externalLink" Target="/xl/externalLinks/externalLink548.xml" Id="rId551" /><Relationship Type="http://schemas.openxmlformats.org/officeDocument/2006/relationships/externalLink" Target="/xl/externalLinks/externalLink549.xml" Id="rId552" /><Relationship Type="http://schemas.openxmlformats.org/officeDocument/2006/relationships/externalLink" Target="/xl/externalLinks/externalLink550.xml" Id="rId553" /><Relationship Type="http://schemas.openxmlformats.org/officeDocument/2006/relationships/externalLink" Target="/xl/externalLinks/externalLink551.xml" Id="rId554" /><Relationship Type="http://schemas.openxmlformats.org/officeDocument/2006/relationships/externalLink" Target="/xl/externalLinks/externalLink552.xml" Id="rId555" /><Relationship Type="http://schemas.openxmlformats.org/officeDocument/2006/relationships/externalLink" Target="/xl/externalLinks/externalLink553.xml" Id="rId556" /><Relationship Type="http://schemas.openxmlformats.org/officeDocument/2006/relationships/externalLink" Target="/xl/externalLinks/externalLink554.xml" Id="rId557" /><Relationship Type="http://schemas.openxmlformats.org/officeDocument/2006/relationships/externalLink" Target="/xl/externalLinks/externalLink555.xml" Id="rId558" /><Relationship Type="http://schemas.openxmlformats.org/officeDocument/2006/relationships/externalLink" Target="/xl/externalLinks/externalLink556.xml" Id="rId559" /><Relationship Type="http://schemas.openxmlformats.org/officeDocument/2006/relationships/externalLink" Target="/xl/externalLinks/externalLink557.xml" Id="rId560" /><Relationship Type="http://schemas.openxmlformats.org/officeDocument/2006/relationships/externalLink" Target="/xl/externalLinks/externalLink558.xml" Id="rId561" /><Relationship Type="http://schemas.openxmlformats.org/officeDocument/2006/relationships/externalLink" Target="/xl/externalLinks/externalLink559.xml" Id="rId562" /><Relationship Type="http://schemas.openxmlformats.org/officeDocument/2006/relationships/externalLink" Target="/xl/externalLinks/externalLink560.xml" Id="rId563" /><Relationship Type="http://schemas.openxmlformats.org/officeDocument/2006/relationships/externalLink" Target="/xl/externalLinks/externalLink561.xml" Id="rId564" /><Relationship Type="http://schemas.openxmlformats.org/officeDocument/2006/relationships/externalLink" Target="/xl/externalLinks/externalLink562.xml" Id="rId565" /><Relationship Type="http://schemas.openxmlformats.org/officeDocument/2006/relationships/externalLink" Target="/xl/externalLinks/externalLink563.xml" Id="rId566" /><Relationship Type="http://schemas.openxmlformats.org/officeDocument/2006/relationships/externalLink" Target="/xl/externalLinks/externalLink564.xml" Id="rId567" /><Relationship Type="http://schemas.openxmlformats.org/officeDocument/2006/relationships/externalLink" Target="/xl/externalLinks/externalLink565.xml" Id="rId568" /><Relationship Type="http://schemas.openxmlformats.org/officeDocument/2006/relationships/externalLink" Target="/xl/externalLinks/externalLink566.xml" Id="rId569" /><Relationship Type="http://schemas.openxmlformats.org/officeDocument/2006/relationships/externalLink" Target="/xl/externalLinks/externalLink567.xml" Id="rId570" /><Relationship Type="http://schemas.openxmlformats.org/officeDocument/2006/relationships/externalLink" Target="/xl/externalLinks/externalLink568.xml" Id="rId571" /><Relationship Type="http://schemas.openxmlformats.org/officeDocument/2006/relationships/externalLink" Target="/xl/externalLinks/externalLink569.xml" Id="rId572" /><Relationship Type="http://schemas.openxmlformats.org/officeDocument/2006/relationships/externalLink" Target="/xl/externalLinks/externalLink570.xml" Id="rId573" /><Relationship Type="http://schemas.openxmlformats.org/officeDocument/2006/relationships/externalLink" Target="/xl/externalLinks/externalLink571.xml" Id="rId574" /><Relationship Type="http://schemas.openxmlformats.org/officeDocument/2006/relationships/externalLink" Target="/xl/externalLinks/externalLink572.xml" Id="rId575" /><Relationship Type="http://schemas.openxmlformats.org/officeDocument/2006/relationships/externalLink" Target="/xl/externalLinks/externalLink573.xml" Id="rId576" /><Relationship Type="http://schemas.openxmlformats.org/officeDocument/2006/relationships/externalLink" Target="/xl/externalLinks/externalLink574.xml" Id="rId577" /><Relationship Type="http://schemas.openxmlformats.org/officeDocument/2006/relationships/externalLink" Target="/xl/externalLinks/externalLink575.xml" Id="rId578" /><Relationship Type="http://schemas.openxmlformats.org/officeDocument/2006/relationships/externalLink" Target="/xl/externalLinks/externalLink576.xml" Id="rId579" /><Relationship Type="http://schemas.openxmlformats.org/officeDocument/2006/relationships/externalLink" Target="/xl/externalLinks/externalLink577.xml" Id="rId580" /><Relationship Type="http://schemas.openxmlformats.org/officeDocument/2006/relationships/externalLink" Target="/xl/externalLinks/externalLink578.xml" Id="rId581" /><Relationship Type="http://schemas.openxmlformats.org/officeDocument/2006/relationships/externalLink" Target="/xl/externalLinks/externalLink579.xml" Id="rId582" /><Relationship Type="http://schemas.openxmlformats.org/officeDocument/2006/relationships/externalLink" Target="/xl/externalLinks/externalLink580.xml" Id="rId583" /><Relationship Type="http://schemas.openxmlformats.org/officeDocument/2006/relationships/externalLink" Target="/xl/externalLinks/externalLink581.xml" Id="rId584" /><Relationship Type="http://schemas.openxmlformats.org/officeDocument/2006/relationships/externalLink" Target="/xl/externalLinks/externalLink582.xml" Id="rId585" /><Relationship Type="http://schemas.openxmlformats.org/officeDocument/2006/relationships/externalLink" Target="/xl/externalLinks/externalLink583.xml" Id="rId586" /><Relationship Type="http://schemas.openxmlformats.org/officeDocument/2006/relationships/externalLink" Target="/xl/externalLinks/externalLink584.xml" Id="rId587" /><Relationship Type="http://schemas.openxmlformats.org/officeDocument/2006/relationships/externalLink" Target="/xl/externalLinks/externalLink585.xml" Id="rId588" /><Relationship Type="http://schemas.openxmlformats.org/officeDocument/2006/relationships/externalLink" Target="/xl/externalLinks/externalLink586.xml" Id="rId589" /><Relationship Type="http://schemas.openxmlformats.org/officeDocument/2006/relationships/externalLink" Target="/xl/externalLinks/externalLink587.xml" Id="rId590" /><Relationship Type="http://schemas.openxmlformats.org/officeDocument/2006/relationships/externalLink" Target="/xl/externalLinks/externalLink588.xml" Id="rId591" /><Relationship Type="http://schemas.openxmlformats.org/officeDocument/2006/relationships/externalLink" Target="/xl/externalLinks/externalLink589.xml" Id="rId592" /><Relationship Type="http://schemas.openxmlformats.org/officeDocument/2006/relationships/externalLink" Target="/xl/externalLinks/externalLink590.xml" Id="rId593" /><Relationship Type="http://schemas.openxmlformats.org/officeDocument/2006/relationships/externalLink" Target="/xl/externalLinks/externalLink591.xml" Id="rId594" /><Relationship Type="http://schemas.openxmlformats.org/officeDocument/2006/relationships/externalLink" Target="/xl/externalLinks/externalLink592.xml" Id="rId595" /><Relationship Type="http://schemas.openxmlformats.org/officeDocument/2006/relationships/externalLink" Target="/xl/externalLinks/externalLink593.xml" Id="rId596" /><Relationship Type="http://schemas.openxmlformats.org/officeDocument/2006/relationships/externalLink" Target="/xl/externalLinks/externalLink594.xml" Id="rId597" /><Relationship Type="http://schemas.openxmlformats.org/officeDocument/2006/relationships/externalLink" Target="/xl/externalLinks/externalLink595.xml" Id="rId598" /><Relationship Type="http://schemas.openxmlformats.org/officeDocument/2006/relationships/externalLink" Target="/xl/externalLinks/externalLink596.xml" Id="rId599" /><Relationship Type="http://schemas.openxmlformats.org/officeDocument/2006/relationships/externalLink" Target="/xl/externalLinks/externalLink597.xml" Id="rId600" /><Relationship Type="http://schemas.openxmlformats.org/officeDocument/2006/relationships/externalLink" Target="/xl/externalLinks/externalLink598.xml" Id="rId601" /><Relationship Type="http://schemas.openxmlformats.org/officeDocument/2006/relationships/externalLink" Target="/xl/externalLinks/externalLink599.xml" Id="rId602" /><Relationship Type="http://schemas.openxmlformats.org/officeDocument/2006/relationships/externalLink" Target="/xl/externalLinks/externalLink600.xml" Id="rId603" /><Relationship Type="http://schemas.openxmlformats.org/officeDocument/2006/relationships/externalLink" Target="/xl/externalLinks/externalLink601.xml" Id="rId604" /><Relationship Type="http://schemas.openxmlformats.org/officeDocument/2006/relationships/externalLink" Target="/xl/externalLinks/externalLink602.xml" Id="rId605" /><Relationship Type="http://schemas.openxmlformats.org/officeDocument/2006/relationships/externalLink" Target="/xl/externalLinks/externalLink603.xml" Id="rId606" /><Relationship Type="http://schemas.openxmlformats.org/officeDocument/2006/relationships/externalLink" Target="/xl/externalLinks/externalLink604.xml" Id="rId607" /><Relationship Type="http://schemas.openxmlformats.org/officeDocument/2006/relationships/externalLink" Target="/xl/externalLinks/externalLink605.xml" Id="rId608" /><Relationship Type="http://schemas.openxmlformats.org/officeDocument/2006/relationships/externalLink" Target="/xl/externalLinks/externalLink606.xml" Id="rId609" /><Relationship Type="http://schemas.openxmlformats.org/officeDocument/2006/relationships/externalLink" Target="/xl/externalLinks/externalLink607.xml" Id="rId610" /><Relationship Type="http://schemas.openxmlformats.org/officeDocument/2006/relationships/externalLink" Target="/xl/externalLinks/externalLink608.xml" Id="rId611" /><Relationship Type="http://schemas.openxmlformats.org/officeDocument/2006/relationships/externalLink" Target="/xl/externalLinks/externalLink609.xml" Id="rId612" /><Relationship Type="http://schemas.openxmlformats.org/officeDocument/2006/relationships/externalLink" Target="/xl/externalLinks/externalLink610.xml" Id="rId613" /><Relationship Type="http://schemas.openxmlformats.org/officeDocument/2006/relationships/externalLink" Target="/xl/externalLinks/externalLink611.xml" Id="rId614" /><Relationship Type="http://schemas.openxmlformats.org/officeDocument/2006/relationships/externalLink" Target="/xl/externalLinks/externalLink612.xml" Id="rId615" /><Relationship Type="http://schemas.openxmlformats.org/officeDocument/2006/relationships/externalLink" Target="/xl/externalLinks/externalLink613.xml" Id="rId616" /><Relationship Type="http://schemas.openxmlformats.org/officeDocument/2006/relationships/externalLink" Target="/xl/externalLinks/externalLink614.xml" Id="rId617" /><Relationship Type="http://schemas.openxmlformats.org/officeDocument/2006/relationships/externalLink" Target="/xl/externalLinks/externalLink615.xml" Id="rId618" /><Relationship Type="http://schemas.openxmlformats.org/officeDocument/2006/relationships/externalLink" Target="/xl/externalLinks/externalLink616.xml" Id="rId619" /><Relationship Type="http://schemas.openxmlformats.org/officeDocument/2006/relationships/externalLink" Target="/xl/externalLinks/externalLink617.xml" Id="rId620" /><Relationship Type="http://schemas.openxmlformats.org/officeDocument/2006/relationships/externalLink" Target="/xl/externalLinks/externalLink618.xml" Id="rId621" /><Relationship Type="http://schemas.openxmlformats.org/officeDocument/2006/relationships/externalLink" Target="/xl/externalLinks/externalLink619.xml" Id="rId622" /><Relationship Type="http://schemas.openxmlformats.org/officeDocument/2006/relationships/externalLink" Target="/xl/externalLinks/externalLink620.xml" Id="rId623" /><Relationship Type="http://schemas.openxmlformats.org/officeDocument/2006/relationships/externalLink" Target="/xl/externalLinks/externalLink621.xml" Id="rId624" /><Relationship Type="http://schemas.openxmlformats.org/officeDocument/2006/relationships/externalLink" Target="/xl/externalLinks/externalLink622.xml" Id="rId625" /><Relationship Type="http://schemas.openxmlformats.org/officeDocument/2006/relationships/externalLink" Target="/xl/externalLinks/externalLink623.xml" Id="rId626" /><Relationship Type="http://schemas.openxmlformats.org/officeDocument/2006/relationships/externalLink" Target="/xl/externalLinks/externalLink624.xml" Id="rId627" /><Relationship Type="http://schemas.openxmlformats.org/officeDocument/2006/relationships/externalLink" Target="/xl/externalLinks/externalLink625.xml" Id="rId628" /><Relationship Type="http://schemas.openxmlformats.org/officeDocument/2006/relationships/externalLink" Target="/xl/externalLinks/externalLink626.xml" Id="rId629" /><Relationship Type="http://schemas.openxmlformats.org/officeDocument/2006/relationships/externalLink" Target="/xl/externalLinks/externalLink627.xml" Id="rId630" /><Relationship Type="http://schemas.openxmlformats.org/officeDocument/2006/relationships/externalLink" Target="/xl/externalLinks/externalLink628.xml" Id="rId631" /><Relationship Type="http://schemas.openxmlformats.org/officeDocument/2006/relationships/externalLink" Target="/xl/externalLinks/externalLink629.xml" Id="rId632" /><Relationship Type="http://schemas.openxmlformats.org/officeDocument/2006/relationships/externalLink" Target="/xl/externalLinks/externalLink630.xml" Id="rId633" /><Relationship Type="http://schemas.openxmlformats.org/officeDocument/2006/relationships/externalLink" Target="/xl/externalLinks/externalLink631.xml" Id="rId634" /><Relationship Type="http://schemas.openxmlformats.org/officeDocument/2006/relationships/externalLink" Target="/xl/externalLinks/externalLink632.xml" Id="rId635" /><Relationship Type="http://schemas.openxmlformats.org/officeDocument/2006/relationships/externalLink" Target="/xl/externalLinks/externalLink633.xml" Id="rId636" /><Relationship Type="http://schemas.openxmlformats.org/officeDocument/2006/relationships/externalLink" Target="/xl/externalLinks/externalLink634.xml" Id="rId637" /><Relationship Type="http://schemas.openxmlformats.org/officeDocument/2006/relationships/externalLink" Target="/xl/externalLinks/externalLink635.xml" Id="rId638" /><Relationship Type="http://schemas.openxmlformats.org/officeDocument/2006/relationships/externalLink" Target="/xl/externalLinks/externalLink636.xml" Id="rId639" /><Relationship Type="http://schemas.openxmlformats.org/officeDocument/2006/relationships/externalLink" Target="/xl/externalLinks/externalLink637.xml" Id="rId640" /><Relationship Type="http://schemas.openxmlformats.org/officeDocument/2006/relationships/externalLink" Target="/xl/externalLinks/externalLink638.xml" Id="rId641" /><Relationship Type="http://schemas.openxmlformats.org/officeDocument/2006/relationships/externalLink" Target="/xl/externalLinks/externalLink639.xml" Id="rId642" /><Relationship Type="http://schemas.openxmlformats.org/officeDocument/2006/relationships/externalLink" Target="/xl/externalLinks/externalLink640.xml" Id="rId643" /><Relationship Type="http://schemas.openxmlformats.org/officeDocument/2006/relationships/externalLink" Target="/xl/externalLinks/externalLink641.xml" Id="rId644" /><Relationship Type="http://schemas.openxmlformats.org/officeDocument/2006/relationships/externalLink" Target="/xl/externalLinks/externalLink642.xml" Id="rId645" /><Relationship Type="http://schemas.openxmlformats.org/officeDocument/2006/relationships/externalLink" Target="/xl/externalLinks/externalLink643.xml" Id="rId646" /><Relationship Type="http://schemas.openxmlformats.org/officeDocument/2006/relationships/externalLink" Target="/xl/externalLinks/externalLink644.xml" Id="rId647" /><Relationship Type="http://schemas.openxmlformats.org/officeDocument/2006/relationships/externalLink" Target="/xl/externalLinks/externalLink645.xml" Id="rId648" /><Relationship Type="http://schemas.openxmlformats.org/officeDocument/2006/relationships/externalLink" Target="/xl/externalLinks/externalLink646.xml" Id="rId649" /><Relationship Type="http://schemas.openxmlformats.org/officeDocument/2006/relationships/externalLink" Target="/xl/externalLinks/externalLink647.xml" Id="rId650" /><Relationship Type="http://schemas.openxmlformats.org/officeDocument/2006/relationships/externalLink" Target="/xl/externalLinks/externalLink648.xml" Id="rId651" /><Relationship Type="http://schemas.openxmlformats.org/officeDocument/2006/relationships/externalLink" Target="/xl/externalLinks/externalLink649.xml" Id="rId652" /><Relationship Type="http://schemas.openxmlformats.org/officeDocument/2006/relationships/externalLink" Target="/xl/externalLinks/externalLink650.xml" Id="rId653" /><Relationship Type="http://schemas.openxmlformats.org/officeDocument/2006/relationships/externalLink" Target="/xl/externalLinks/externalLink651.xml" Id="rId654" /><Relationship Type="http://schemas.openxmlformats.org/officeDocument/2006/relationships/externalLink" Target="/xl/externalLinks/externalLink652.xml" Id="rId655" /><Relationship Type="http://schemas.openxmlformats.org/officeDocument/2006/relationships/externalLink" Target="/xl/externalLinks/externalLink653.xml" Id="rId656" /><Relationship Type="http://schemas.openxmlformats.org/officeDocument/2006/relationships/externalLink" Target="/xl/externalLinks/externalLink654.xml" Id="rId657" /><Relationship Type="http://schemas.openxmlformats.org/officeDocument/2006/relationships/externalLink" Target="/xl/externalLinks/externalLink655.xml" Id="rId658" /><Relationship Type="http://schemas.openxmlformats.org/officeDocument/2006/relationships/externalLink" Target="/xl/externalLinks/externalLink656.xml" Id="rId659" /><Relationship Type="http://schemas.openxmlformats.org/officeDocument/2006/relationships/externalLink" Target="/xl/externalLinks/externalLink657.xml" Id="rId660" /><Relationship Type="http://schemas.openxmlformats.org/officeDocument/2006/relationships/externalLink" Target="/xl/externalLinks/externalLink658.xml" Id="rId661" /><Relationship Type="http://schemas.openxmlformats.org/officeDocument/2006/relationships/externalLink" Target="/xl/externalLinks/externalLink659.xml" Id="rId662" /><Relationship Type="http://schemas.openxmlformats.org/officeDocument/2006/relationships/externalLink" Target="/xl/externalLinks/externalLink660.xml" Id="rId663" /><Relationship Type="http://schemas.openxmlformats.org/officeDocument/2006/relationships/externalLink" Target="/xl/externalLinks/externalLink661.xml" Id="rId664" /><Relationship Type="http://schemas.openxmlformats.org/officeDocument/2006/relationships/externalLink" Target="/xl/externalLinks/externalLink662.xml" Id="rId665" /><Relationship Type="http://schemas.openxmlformats.org/officeDocument/2006/relationships/externalLink" Target="/xl/externalLinks/externalLink663.xml" Id="rId666" /><Relationship Type="http://schemas.openxmlformats.org/officeDocument/2006/relationships/externalLink" Target="/xl/externalLinks/externalLink664.xml" Id="rId667" /><Relationship Type="http://schemas.openxmlformats.org/officeDocument/2006/relationships/externalLink" Target="/xl/externalLinks/externalLink665.xml" Id="rId668" /><Relationship Type="http://schemas.openxmlformats.org/officeDocument/2006/relationships/externalLink" Target="/xl/externalLinks/externalLink666.xml" Id="rId669" /><Relationship Type="http://schemas.openxmlformats.org/officeDocument/2006/relationships/externalLink" Target="/xl/externalLinks/externalLink667.xml" Id="rId670" /><Relationship Type="http://schemas.openxmlformats.org/officeDocument/2006/relationships/externalLink" Target="/xl/externalLinks/externalLink668.xml" Id="rId671" /><Relationship Type="http://schemas.openxmlformats.org/officeDocument/2006/relationships/externalLink" Target="/xl/externalLinks/externalLink669.xml" Id="rId672" /><Relationship Type="http://schemas.openxmlformats.org/officeDocument/2006/relationships/externalLink" Target="/xl/externalLinks/externalLink670.xml" Id="rId673" /><Relationship Type="http://schemas.openxmlformats.org/officeDocument/2006/relationships/externalLink" Target="/xl/externalLinks/externalLink671.xml" Id="rId674" /><Relationship Type="http://schemas.openxmlformats.org/officeDocument/2006/relationships/externalLink" Target="/xl/externalLinks/externalLink672.xml" Id="rId675" /><Relationship Type="http://schemas.openxmlformats.org/officeDocument/2006/relationships/externalLink" Target="/xl/externalLinks/externalLink673.xml" Id="rId676" /><Relationship Type="http://schemas.openxmlformats.org/officeDocument/2006/relationships/externalLink" Target="/xl/externalLinks/externalLink674.xml" Id="rId677" /><Relationship Type="http://schemas.openxmlformats.org/officeDocument/2006/relationships/externalLink" Target="/xl/externalLinks/externalLink675.xml" Id="rId678" /><Relationship Type="http://schemas.openxmlformats.org/officeDocument/2006/relationships/styles" Target="styles.xml" Id="rId679" /><Relationship Type="http://schemas.openxmlformats.org/officeDocument/2006/relationships/theme" Target="theme/theme1.xml" Id="rId680" /></Relationships>
</file>

<file path=xl/comments/comment1.xml><?xml version="1.0" encoding="utf-8"?>
<comments xmlns="http://schemas.openxmlformats.org/spreadsheetml/2006/main">
  <authors>
    <author>Claude</author>
  </authors>
  <commentList>
    <comment ref="G2" authorId="0" shapeId="0">
      <text>
        <t>Market Cap = Price × Shares; EV = Market Cap − Cash + Debt ($mm). Shares, cash and debt come from each ticker's workbook (Main!C4/C7/C8); price is the daily close in column F.</t>
      </text>
    </comment>
    <comment ref="M2" authorId="0" shapeId="0">
      <text>
        <t>Filled only for tickers with a completed valuation model (currently EVMN). rNPV/share links to the ticker's Main!C11; Upside is vs. the close in column F.</t>
      </text>
    </comment>
    <comment ref="F531" authorId="0" shapeId="0">
      <text>
        <t>No quote returned for QNCX on 2026-10-16; price not updated.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eric/Documents/Stock%20Models/Pharma/LLY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eric/Documents/Stock%20Models/Pharma/JNJ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eric/Documents/Stock%20Models/Pharma/ABBV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eric/Documents/Stock%20Models/Pharma/MRK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Users/eric/Documents/Stock%20Models/Pharma/NVS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Users/eric/Documents/Stock%20Models/Pharma/AZN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Users/eric/Documents/Stock%20Models/Pharma/AMGN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Users/eric/Documents/Stock%20Models/Pharma/GILD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Users/eric/Documents/Stock%20Models/Pharma/NVO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Users/eric/Documents/Stock%20Models/Pharma/PFE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Users/eric/Documents/Stock%20Models/Pharma/VRTX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Users/eric/Documents/Stock%20Models/Pharma/BMY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Users/eric/Documents/Stock%20Models/Pharma/GSK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Users/eric/Documents/Stock%20Models/Pharma/SNY.xlsx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/Users/eric/Documents/Stock%20Models/Pharma/MRNA.xlsx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/Users/eric/Documents/Stock%20Models/Pharma/REGN.xlsx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/Users/eric/Documents/Stock%20Models/Pharma/TAK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/Users/eric/Documents/Stock%20Models/Pharma/NTRA.xlsx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Users/eric/Documents/Stock%20Models/Pharma/ARGX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Users/eric/Documents/Stock%20Models/Pharma/TEVA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/Users/eric/Documents/Stock%20Models/Pharma/HLN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/Users/eric/Documents/Stock%20Models/Pharma/ONC.xlsx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/Users/eric/Documents/Stock%20Models/Pharma/RVMD.xlsx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/Users/eric/Documents/Stock%20Models/Pharma/RPRX.xlsx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/Users/eric/Documents/Stock%20Models/Pharma/BIIB.xlsx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/Users/eric/Documents/Stock%20Models/Pharma/ZTS.xlsx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/Users/eric/Documents/Stock%20Models/Pharma/ALNY.xlsx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/Users/eric/Documents/Stock%20Models/Pharma/ROIV.xlsx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/Users/eric/Documents/Stock%20Models/Pharma/GMAB.xlsx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/Users/eric/Documents/Stock%20Models/Pharma/UTHR.xlsx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/Users/eric/Documents/Stock%20Models/Pharma/INCY.xlsx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/Users/eric/Documents/Stock%20Models/Pharma/BNTX.xlsx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/Users/eric/Documents/Stock%20Models/Pharma/VTRS.xlsx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/Users/eric/Documents/Stock%20Models/Pharma/INSM.xlsx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/Users/eric/Documents/Stock%20Models/Pharma/EXEL.xlsx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/Users/eric/Documents/Stock%20Models/Pharma/ASND.xlsx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/Users/eric/Documents/Stock%20Models/Pharma/HALO.xlsx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/Users/eric/Documents/Stock%20Models/Pharma/NBIX.xlsx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/Users/eric/Documents/Stock%20Models/Pharma/JAZZ.xlsx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/Users/eric/Documents/Stock%20Models/Pharma/SMMT.xlsx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/Users/eric/Documents/Stock%20Models/Pharma/BBIO.xlsx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/Users/eric/Documents/Stock%20Models/Pharma/KNSA.xlsx" TargetMode="External" Id="rId1" 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/Users/eric/Documents/Stock%20Models/Pharma/CORT.xlsx" TargetMode="External" Id="rId1" 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/Users/eric/Documents/Stock%20Models/Pharma/ELAN.xlsx" TargetMode="External" Id="rId1" 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/Users/eric/Documents/Stock%20Models/Pharma/RDY.xlsx" TargetMode="External" Id="rId1" 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/Users/eric/Documents/Stock%20Models/Pharma/BMRN.xlsx" TargetMode="External" Id="rId1" 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/Users/eric/Documents/Stock%20Models/Pharma/MDGL.xlsx" TargetMode="External" Id="rId1" 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/Users/eric/Documents/Stock%20Models/Pharma/IBRX.xlsx" TargetMode="External" Id="rId1" 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/Users/eric/Documents/Stock%20Models/Pharma/PCVX.xlsx" TargetMode="External" Id="rId1" 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/Users/eric/Documents/Stock%20Models/Pharma/KRYS.xlsx" TargetMode="External" Id="rId1" 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/Users/eric/Documents/Stock%20Models/Pharma/KYMR.xlsx" TargetMode="External" Id="rId1" 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/Users/eric/Documents/Stock%20Models/Pharma/CAI.xlsx" TargetMode="External" Id="rId1" 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/Users/eric/Documents/Stock%20Models/Pharma/CYTK.xlsx" TargetMode="External" Id="rId1" 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/Users/eric/Documents/Stock%20Models/Pharma/AXSM.xlsx" TargetMode="External" Id="rId1" 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/Users/eric/Documents/Stock%20Models/Pharma/PTGX.xlsx" TargetMode="External" Id="rId1" 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/Users/eric/Documents/Stock%20Models/Pharma/TWST.xlsx" TargetMode="External" Id="rId1" 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/Users/eric/Documents/Stock%20Models/Pharma/TGTX.xlsx" TargetMode="External" Id="rId1" 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/Users/eric/Documents/Stock%20Models/Pharma/ARWR.xlsx" TargetMode="External" Id="rId1" 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/Users/eric/Documents/Stock%20Models/Pharma/IONS.xlsx" TargetMode="External" Id="rId1" 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/Users/eric/Documents/Stock%20Models/Pharma/PRAX.xlsx" TargetMode="External" Id="rId1" 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/Users/eric/Documents/Stock%20Models/Pharma/SYRE.xlsx" TargetMode="External" Id="rId1" 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/Users/eric/Documents/Stock%20Models/Pharma/ABVX.xlsx" TargetMode="External" Id="rId1" 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/Users/eric/Documents/Stock%20Models/Pharma/ALKS.xlsx" TargetMode="External" Id="rId1" 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/Users/eric/Documents/Stock%20Models/Pharma/IOVA.xlsx" TargetMode="External" Id="rId1" 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/Users/eric/Documents/Stock%20Models/Pharma/AMRX.xlsx" TargetMode="External" Id="rId1" 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/Users/eric/Documents/Stock%20Models/Pharma/RYTM.xlsx" TargetMode="External" Id="rId1" 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/Users/eric/Documents/Stock%20Models/Pharma/LGND.xlsx" TargetMode="External" Id="rId1" 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/Users/eric/Documents/Stock%20Models/Pharma/BLTE.xlsx" TargetMode="External" Id="rId1" 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/Users/eric/Documents/Stock%20Models/Pharma/COGT.xlsx" TargetMode="External" Id="rId1" 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/Users/eric/Documents/Stock%20Models/Pharma/IMVT.xlsx" TargetMode="External" Id="rId1" 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/Users/eric/Documents/Stock%20Models/Pharma/KOD.xlsx" TargetMode="External" Id="rId1" 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/Users/eric/Documents/Stock%20Models/Pharma/CGON.xlsx" TargetMode="External" Id="rId1" 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/Users/eric/Documents/Stock%20Models/Pharma/GRAL.xlsx" TargetMode="External" Id="rId1" 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/Users/eric/Documents/Stock%20Models/Pharma/BLRX.xlsx" TargetMode="External" Id="rId1" 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/Users/eric/Documents/Stock%20Models/Pharma/MIRM.xlsx" TargetMode="External" Id="rId1" 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/Users/eric/Documents/Stock%20Models/Pharma/PTCT.xlsx" TargetMode="External" Id="rId1" 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/Users/eric/Documents/Stock%20Models/Pharma/SRRK.xlsx" TargetMode="External" Id="rId1" 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/Users/eric/Documents/Stock%20Models/Pharma/ORKA.xlsx" TargetMode="External" Id="rId1" 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/Users/eric/Documents/Stock%20Models/Pharma/CRSP.xlsx" TargetMode="External" Id="rId1" 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/Users/eric/Documents/Stock%20Models/Pharma/RGC.xlsx" TargetMode="External" Id="rId1" 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/Users/eric/Documents/Stock%20Models/Pharma/ERAS.xlsx" TargetMode="External" Id="rId1" 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/Users/eric/Documents/Stock%20Models/Pharma/TVTX.xlsx" TargetMode="External" Id="rId1" 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/Users/eric/Documents/Stock%20Models/Pharma/MANE.xlsx" TargetMode="External" Id="rId1" 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/Users/eric/Documents/Stock%20Models/Pharma/DFTX.xlsx" TargetMode="External" Id="rId1" 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/Users/eric/Documents/Stock%20Models/Pharma/GOSS.xlsx" TargetMode="External" Id="rId1" 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/Users/eric/Documents/Stock%20Models/Pharma/EWTX.xlsx" TargetMode="External" Id="rId1" 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/Users/eric/Documents/Stock%20Models/Pharma/DNTH.xlsx" TargetMode="External" Id="rId1" 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/Users/eric/Documents/Stock%20Models/Pharma/INDV.xlsx" TargetMode="External" Id="rId1" /></Relationships>
</file>

<file path=xl/externalLinks/_rels/externalLink89.xml.rels><Relationships xmlns="http://schemas.openxmlformats.org/package/2006/relationships"><Relationship Type="http://schemas.openxmlformats.org/officeDocument/2006/relationships/externalLinkPath" Target="/Users/eric/Documents/Stock%20Models/Pharma/TNGX.xlsx" TargetMode="External" Id="rId1" 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/Users/eric/Documents/Stock%20Models/Pharma/ARQT.xlsx" TargetMode="External" Id="rId1" 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/Users/eric/Documents/Stock%20Models/Pharma/TLX.xlsx" TargetMode="External" Id="rId1" 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/Users/eric/Documents/Stock%20Models/Pharma/OGN.xlsx" TargetMode="External" Id="rId1" 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/Users/eric/Documents/Stock%20Models/Pharma/RLAY.xlsx" TargetMode="External" Id="rId1" 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/Users/eric/Documents/Stock%20Models/Pharma/VCYT.xlsx" TargetMode="External" Id="rId1" 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/Users/eric/Documents/Stock%20Models/Pharma/LEGN.xlsx" TargetMode="External" Id="rId1" 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/Users/eric/Documents/Stock%20Models/Pharma/CDNA.xlsx" TargetMode="External" Id="rId1" 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/Users/eric/Documents/Stock%20Models/Pharma/ACAD.xlsx" TargetMode="External" Id="rId1" 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/Users/eric/Documents/Stock%20Models/Pharma/XENE.xlsx" TargetMode="External" Id="rId1" /></Relationships>
</file>

<file path=xl/externalLinks/_rels/externalLink99.xml.rels><Relationships xmlns="http://schemas.openxmlformats.org/package/2006/relationships"><Relationship Type="http://schemas.openxmlformats.org/officeDocument/2006/relationships/externalLinkPath" Target="/Users/eric/Documents/Stock%20Models/Pharma/IDYA.xlsx" TargetMode="External" Id="rId1" /></Relationships>
</file>

<file path=xl/externalLinks/_rels/externalLink100.xml.rels><Relationships xmlns="http://schemas.openxmlformats.org/package/2006/relationships"><Relationship Type="http://schemas.openxmlformats.org/officeDocument/2006/relationships/externalLinkPath" Target="/Users/eric/Documents/Stock%20Models/Pharma/LQDA.xlsx" TargetMode="External" Id="rId1" /></Relationships>
</file>

<file path=xl/externalLinks/_rels/externalLink101.xml.rels><Relationships xmlns="http://schemas.openxmlformats.org/package/2006/relationships"><Relationship Type="http://schemas.openxmlformats.org/officeDocument/2006/relationships/externalLinkPath" Target="/Users/eric/Documents/Stock%20Models/Pharma/TARS.xlsx" TargetMode="External" Id="rId1" /></Relationships>
</file>

<file path=xl/externalLinks/_rels/externalLink102.xml.rels><Relationships xmlns="http://schemas.openxmlformats.org/package/2006/relationships"><Relationship Type="http://schemas.openxmlformats.org/officeDocument/2006/relationships/externalLinkPath" Target="/Users/eric/Documents/Stock%20Models/Pharma/VKTX.xlsx" TargetMode="External" Id="rId1" /></Relationships>
</file>

<file path=xl/externalLinks/_rels/externalLink103.xml.rels><Relationships xmlns="http://schemas.openxmlformats.org/package/2006/relationships"><Relationship Type="http://schemas.openxmlformats.org/officeDocument/2006/relationships/externalLinkPath" Target="/Users/eric/Documents/Stock%20Models/Pharma/AMLX.xlsx" TargetMode="External" Id="rId1" /></Relationships>
</file>

<file path=xl/externalLinks/_rels/externalLink104.xml.rels><Relationships xmlns="http://schemas.openxmlformats.org/package/2006/relationships"><Relationship Type="http://schemas.openxmlformats.org/officeDocument/2006/relationships/externalLinkPath" Target="/Users/eric/Documents/Stock%20Models/Pharma/RCUS.xlsx" TargetMode="External" Id="rId1" /></Relationships>
</file>

<file path=xl/externalLinks/_rels/externalLink105.xml.rels><Relationships xmlns="http://schemas.openxmlformats.org/package/2006/relationships"><Relationship Type="http://schemas.openxmlformats.org/officeDocument/2006/relationships/externalLinkPath" Target="/Users/eric/Documents/Stock%20Models/Pharma/DNLI.xlsx" TargetMode="External" Id="rId1" /></Relationships>
</file>

<file path=xl/externalLinks/_rels/externalLink106.xml.rels><Relationships xmlns="http://schemas.openxmlformats.org/package/2006/relationships"><Relationship Type="http://schemas.openxmlformats.org/officeDocument/2006/relationships/externalLinkPath" Target="/Users/eric/Documents/Stock%20Models/Pharma/PBLS.xlsx" TargetMode="External" Id="rId1" /></Relationships>
</file>

<file path=xl/externalLinks/_rels/externalLink107.xml.rels><Relationships xmlns="http://schemas.openxmlformats.org/package/2006/relationships"><Relationship Type="http://schemas.openxmlformats.org/officeDocument/2006/relationships/externalLinkPath" Target="/Users/eric/Documents/Stock%20Models/Pharma/CELC.xlsx" TargetMode="External" Id="rId1" /></Relationships>
</file>

<file path=xl/externalLinks/_rels/externalLink108.xml.rels><Relationships xmlns="http://schemas.openxmlformats.org/package/2006/relationships"><Relationship Type="http://schemas.openxmlformats.org/officeDocument/2006/relationships/externalLinkPath" Target="/Users/eric/Documents/Stock%20Models/Pharma/ELVN.xlsx" TargetMode="External" Id="rId1" /></Relationships>
</file>

<file path=xl/externalLinks/_rels/externalLink109.xml.rels><Relationships xmlns="http://schemas.openxmlformats.org/package/2006/relationships"><Relationship Type="http://schemas.openxmlformats.org/officeDocument/2006/relationships/externalLinkPath" Target="/Users/eric/Documents/Stock%20Models/Pharma/DYN.xlsx" TargetMode="External" Id="rId1" /></Relationships>
</file>

<file path=xl/externalLinks/_rels/externalLink110.xml.rels><Relationships xmlns="http://schemas.openxmlformats.org/package/2006/relationships"><Relationship Type="http://schemas.openxmlformats.org/officeDocument/2006/relationships/externalLinkPath" Target="/Users/eric/Documents/Stock%20Models/Pharma/ZLAB.xlsx" TargetMode="External" Id="rId1" /></Relationships>
</file>

<file path=xl/externalLinks/_rels/externalLink111.xml.rels><Relationships xmlns="http://schemas.openxmlformats.org/package/2006/relationships"><Relationship Type="http://schemas.openxmlformats.org/officeDocument/2006/relationships/externalLinkPath" Target="/Users/eric/Documents/Stock%20Models/Pharma/NRIX.xlsx" TargetMode="External" Id="rId1" /></Relationships>
</file>

<file path=xl/externalLinks/_rels/externalLink112.xml.rels><Relationships xmlns="http://schemas.openxmlformats.org/package/2006/relationships"><Relationship Type="http://schemas.openxmlformats.org/officeDocument/2006/relationships/externalLinkPath" Target="/Users/eric/Documents/Stock%20Models/Pharma/HCM.xlsx" TargetMode="External" Id="rId1" /></Relationships>
</file>

<file path=xl/externalLinks/_rels/externalLink113.xml.rels><Relationships xmlns="http://schemas.openxmlformats.org/package/2006/relationships"><Relationship Type="http://schemas.openxmlformats.org/officeDocument/2006/relationships/externalLinkPath" Target="/Users/eric/Documents/Stock%20Models/Pharma/BEAM.xlsx" TargetMode="External" Id="rId1" /></Relationships>
</file>

<file path=xl/externalLinks/_rels/externalLink114.xml.rels><Relationships xmlns="http://schemas.openxmlformats.org/package/2006/relationships"><Relationship Type="http://schemas.openxmlformats.org/officeDocument/2006/relationships/externalLinkPath" Target="/Users/eric/Documents/Stock%20Models/Pharma/ADMA.xlsx" TargetMode="External" Id="rId1" /></Relationships>
</file>

<file path=xl/externalLinks/_rels/externalLink115.xml.rels><Relationships xmlns="http://schemas.openxmlformats.org/package/2006/relationships"><Relationship Type="http://schemas.openxmlformats.org/officeDocument/2006/relationships/externalLinkPath" Target="/Users/eric/Documents/Stock%20Models/Pharma/MBX.xlsx" TargetMode="External" Id="rId1" /></Relationships>
</file>

<file path=xl/externalLinks/_rels/externalLink116.xml.rels><Relationships xmlns="http://schemas.openxmlformats.org/package/2006/relationships"><Relationship Type="http://schemas.openxmlformats.org/officeDocument/2006/relationships/externalLinkPath" Target="/Users/eric/Documents/Stock%20Models/Pharma/NAMS.xlsx" TargetMode="External" Id="rId1" /></Relationships>
</file>

<file path=xl/externalLinks/_rels/externalLink117.xml.rels><Relationships xmlns="http://schemas.openxmlformats.org/package/2006/relationships"><Relationship Type="http://schemas.openxmlformats.org/officeDocument/2006/relationships/externalLinkPath" Target="/Users/eric/Documents/Stock%20Models/Pharma/PBH.xlsx" TargetMode="External" Id="rId1" /></Relationships>
</file>

<file path=xl/externalLinks/_rels/externalLink118.xml.rels><Relationships xmlns="http://schemas.openxmlformats.org/package/2006/relationships"><Relationship Type="http://schemas.openxmlformats.org/officeDocument/2006/relationships/externalLinkPath" Target="/Users/eric/Documents/Stock%20Models/Pharma/BHC.xlsx" TargetMode="External" Id="rId1" /></Relationships>
</file>

<file path=xl/externalLinks/_rels/externalLink119.xml.rels><Relationships xmlns="http://schemas.openxmlformats.org/package/2006/relationships"><Relationship Type="http://schemas.openxmlformats.org/officeDocument/2006/relationships/externalLinkPath" Target="/Users/eric/Documents/Stock%20Models/Pharma/PRGO.xlsx" TargetMode="External" Id="rId1" /></Relationships>
</file>

<file path=xl/externalLinks/_rels/externalLink120.xml.rels><Relationships xmlns="http://schemas.openxmlformats.org/package/2006/relationships"><Relationship Type="http://schemas.openxmlformats.org/officeDocument/2006/relationships/externalLinkPath" Target="/Users/eric/Documents/Stock%20Models/Pharma/PGEN.xlsx" TargetMode="External" Id="rId1" /></Relationships>
</file>

<file path=xl/externalLinks/_rels/externalLink121.xml.rels><Relationships xmlns="http://schemas.openxmlformats.org/package/2006/relationships"><Relationship Type="http://schemas.openxmlformats.org/officeDocument/2006/relationships/externalLinkPath" Target="/Users/eric/Documents/Stock%20Models/Pharma/HRMY.xlsx" TargetMode="External" Id="rId1" /></Relationships>
</file>

<file path=xl/externalLinks/_rels/externalLink122.xml.rels><Relationships xmlns="http://schemas.openxmlformats.org/package/2006/relationships"><Relationship Type="http://schemas.openxmlformats.org/officeDocument/2006/relationships/externalLinkPath" Target="/Users/eric/Documents/Stock%20Models/Pharma/SUPN.xlsx" TargetMode="External" Id="rId1" /></Relationships>
</file>

<file path=xl/externalLinks/_rels/externalLink123.xml.rels><Relationships xmlns="http://schemas.openxmlformats.org/package/2006/relationships"><Relationship Type="http://schemas.openxmlformats.org/officeDocument/2006/relationships/externalLinkPath" Target="/Users/eric/Documents/Stock%20Models/Pharma/AUPH.xlsx" TargetMode="External" Id="rId1" /></Relationships>
</file>

<file path=xl/externalLinks/_rels/externalLink124.xml.rels><Relationships xmlns="http://schemas.openxmlformats.org/package/2006/relationships"><Relationship Type="http://schemas.openxmlformats.org/officeDocument/2006/relationships/externalLinkPath" Target="/Users/eric/Documents/Stock%20Models/Pharma/IRON.xlsx" TargetMode="External" Id="rId1" /></Relationships>
</file>

<file path=xl/externalLinks/_rels/externalLink125.xml.rels><Relationships xmlns="http://schemas.openxmlformats.org/package/2006/relationships"><Relationship Type="http://schemas.openxmlformats.org/officeDocument/2006/relationships/externalLinkPath" Target="/Users/eric/Documents/Stock%20Models/Pharma/CLDX.xlsx" TargetMode="External" Id="rId1" /></Relationships>
</file>

<file path=xl/externalLinks/_rels/externalLink126.xml.rels><Relationships xmlns="http://schemas.openxmlformats.org/package/2006/relationships"><Relationship Type="http://schemas.openxmlformats.org/officeDocument/2006/relationships/externalLinkPath" Target="/Users/eric/Documents/Stock%20Models/Pharma/VRDN.xlsx" TargetMode="External" Id="rId1" /></Relationships>
</file>

<file path=xl/externalLinks/_rels/externalLink127.xml.rels><Relationships xmlns="http://schemas.openxmlformats.org/package/2006/relationships"><Relationship Type="http://schemas.openxmlformats.org/officeDocument/2006/relationships/externalLinkPath" Target="/Users/eric/Documents/Stock%20Models/Pharma/VCEL.xlsx" TargetMode="External" Id="rId1" /></Relationships>
</file>

<file path=xl/externalLinks/_rels/externalLink128.xml.rels><Relationships xmlns="http://schemas.openxmlformats.org/package/2006/relationships"><Relationship Type="http://schemas.openxmlformats.org/officeDocument/2006/relationships/externalLinkPath" Target="/Users/eric/Documents/Stock%20Models/Pharma/SLS.xlsx" TargetMode="External" Id="rId1" /></Relationships>
</file>

<file path=xl/externalLinks/_rels/externalLink129.xml.rels><Relationships xmlns="http://schemas.openxmlformats.org/package/2006/relationships"><Relationship Type="http://schemas.openxmlformats.org/officeDocument/2006/relationships/externalLinkPath" Target="/Users/eric/Documents/Stock%20Models/Pharma/VERA.xlsx" TargetMode="External" Id="rId1" /></Relationships>
</file>

<file path=xl/externalLinks/_rels/externalLink130.xml.rels><Relationships xmlns="http://schemas.openxmlformats.org/package/2006/relationships"><Relationship Type="http://schemas.openxmlformats.org/officeDocument/2006/relationships/externalLinkPath" Target="/Users/eric/Documents/Stock%20Models/Pharma/BCRX.xlsx" TargetMode="External" Id="rId1" /></Relationships>
</file>

<file path=xl/externalLinks/_rels/externalLink131.xml.rels><Relationships xmlns="http://schemas.openxmlformats.org/package/2006/relationships"><Relationship Type="http://schemas.openxmlformats.org/officeDocument/2006/relationships/externalLinkPath" Target="/Users/eric/Documents/Stock%20Models/Pharma/LKFT.xlsx" TargetMode="External" Id="rId1" /></Relationships>
</file>

<file path=xl/externalLinks/_rels/externalLink132.xml.rels><Relationships xmlns="http://schemas.openxmlformats.org/package/2006/relationships"><Relationship Type="http://schemas.openxmlformats.org/officeDocument/2006/relationships/externalLinkPath" Target="/Users/eric/Documents/Stock%20Models/Pharma/TRLV.xlsx" TargetMode="External" Id="rId1" /></Relationships>
</file>

<file path=xl/externalLinks/_rels/externalLink133.xml.rels><Relationships xmlns="http://schemas.openxmlformats.org/package/2006/relationships"><Relationship Type="http://schemas.openxmlformats.org/officeDocument/2006/relationships/externalLinkPath" Target="/Users/eric/Documents/Stock%20Models/Pharma/XERS.xlsx" TargetMode="External" Id="rId1" /></Relationships>
</file>

<file path=xl/externalLinks/_rels/externalLink134.xml.rels><Relationships xmlns="http://schemas.openxmlformats.org/package/2006/relationships"><Relationship Type="http://schemas.openxmlformats.org/officeDocument/2006/relationships/externalLinkPath" Target="/Users/eric/Documents/Stock%20Models/Pharma/IMNM.xlsx" TargetMode="External" Id="rId1" /></Relationships>
</file>

<file path=xl/externalLinks/_rels/externalLink135.xml.rels><Relationships xmlns="http://schemas.openxmlformats.org/package/2006/relationships"><Relationship Type="http://schemas.openxmlformats.org/officeDocument/2006/relationships/externalLinkPath" Target="/Users/eric/Documents/Stock%20Models/Pharma/AGIO.xlsx" TargetMode="External" Id="rId1" /></Relationships>
</file>

<file path=xl/externalLinks/_rels/externalLink136.xml.rels><Relationships xmlns="http://schemas.openxmlformats.org/package/2006/relationships"><Relationship Type="http://schemas.openxmlformats.org/officeDocument/2006/relationships/externalLinkPath" Target="/Users/eric/Documents/Stock%20Models/Pharma/BGM.xlsx" TargetMode="External" Id="rId1" /></Relationships>
</file>

<file path=xl/externalLinks/_rels/externalLink137.xml.rels><Relationships xmlns="http://schemas.openxmlformats.org/package/2006/relationships"><Relationship Type="http://schemas.openxmlformats.org/officeDocument/2006/relationships/externalLinkPath" Target="/Users/eric/Documents/Stock%20Models/Pharma/NVAX.xlsx" TargetMode="External" Id="rId1" /></Relationships>
</file>

<file path=xl/externalLinks/_rels/externalLink138.xml.rels><Relationships xmlns="http://schemas.openxmlformats.org/package/2006/relationships"><Relationship Type="http://schemas.openxmlformats.org/officeDocument/2006/relationships/externalLinkPath" Target="/Users/eric/Documents/Stock%20Models/Pharma/RXRX.xlsx" TargetMode="External" Id="rId1" /></Relationships>
</file>

<file path=xl/externalLinks/_rels/externalLink139.xml.rels><Relationships xmlns="http://schemas.openxmlformats.org/package/2006/relationships"><Relationship Type="http://schemas.openxmlformats.org/officeDocument/2006/relationships/externalLinkPath" Target="/Users/eric/Documents/Stock%20Models/Pharma/PHVS.xlsx" TargetMode="External" Id="rId1" /></Relationships>
</file>

<file path=xl/externalLinks/_rels/externalLink140.xml.rels><Relationships xmlns="http://schemas.openxmlformats.org/package/2006/relationships"><Relationship Type="http://schemas.openxmlformats.org/officeDocument/2006/relationships/externalLinkPath" Target="/Users/eric/Documents/Stock%20Models/Pharma/SRPT.xlsx" TargetMode="External" Id="rId1" /></Relationships>
</file>

<file path=xl/externalLinks/_rels/externalLink141.xml.rels><Relationships xmlns="http://schemas.openxmlformats.org/package/2006/relationships"><Relationship Type="http://schemas.openxmlformats.org/officeDocument/2006/relationships/externalLinkPath" Target="/Users/eric/Documents/Stock%20Models/Pharma/MLYS.xlsx" TargetMode="External" Id="rId1" /></Relationships>
</file>

<file path=xl/externalLinks/_rels/externalLink142.xml.rels><Relationships xmlns="http://schemas.openxmlformats.org/package/2006/relationships"><Relationship Type="http://schemas.openxmlformats.org/officeDocument/2006/relationships/externalLinkPath" Target="/Users/eric/Documents/Stock%20Models/Pharma/PURR.xlsx" TargetMode="External" Id="rId1" /></Relationships>
</file>

<file path=xl/externalLinks/_rels/externalLink143.xml.rels><Relationships xmlns="http://schemas.openxmlformats.org/package/2006/relationships"><Relationship Type="http://schemas.openxmlformats.org/officeDocument/2006/relationships/externalLinkPath" Target="/Users/eric/Documents/Stock%20Models/Pharma/ZYME.xlsx" TargetMode="External" Id="rId1" /></Relationships>
</file>

<file path=xl/externalLinks/_rels/externalLink144.xml.rels><Relationships xmlns="http://schemas.openxmlformats.org/package/2006/relationships"><Relationship Type="http://schemas.openxmlformats.org/officeDocument/2006/relationships/externalLinkPath" Target="/Users/eric/Documents/Stock%20Models/Pharma/SEPN.xlsx" TargetMode="External" Id="rId1" /></Relationships>
</file>

<file path=xl/externalLinks/_rels/externalLink145.xml.rels><Relationships xmlns="http://schemas.openxmlformats.org/package/2006/relationships"><Relationship Type="http://schemas.openxmlformats.org/officeDocument/2006/relationships/externalLinkPath" Target="/Users/eric/Documents/Stock%20Models/Pharma/PVLA.xlsx" TargetMode="External" Id="rId1" /></Relationships>
</file>

<file path=xl/externalLinks/_rels/externalLink146.xml.rels><Relationships xmlns="http://schemas.openxmlformats.org/package/2006/relationships"><Relationship Type="http://schemas.openxmlformats.org/officeDocument/2006/relationships/externalLinkPath" Target="/Users/eric/Documents/Stock%20Models/Pharma/MESO.xlsx" TargetMode="External" Id="rId1" /></Relationships>
</file>

<file path=xl/externalLinks/_rels/externalLink147.xml.rels><Relationships xmlns="http://schemas.openxmlformats.org/package/2006/relationships"><Relationship Type="http://schemas.openxmlformats.org/officeDocument/2006/relationships/externalLinkPath" Target="/Users/eric/Documents/Stock%20Models/Pharma/XNCR.xlsx" TargetMode="External" Id="rId1" /></Relationships>
</file>

<file path=xl/externalLinks/_rels/externalLink148.xml.rels><Relationships xmlns="http://schemas.openxmlformats.org/package/2006/relationships"><Relationship Type="http://schemas.openxmlformats.org/officeDocument/2006/relationships/externalLinkPath" Target="/Users/eric/Documents/Stock%20Models/Pharma/TRVI.xlsx" TargetMode="External" Id="rId1" /></Relationships>
</file>

<file path=xl/externalLinks/_rels/externalLink149.xml.rels><Relationships xmlns="http://schemas.openxmlformats.org/package/2006/relationships"><Relationship Type="http://schemas.openxmlformats.org/officeDocument/2006/relationships/externalLinkPath" Target="/Users/eric/Documents/Stock%20Models/Pharma/URGN.xlsx" TargetMode="External" Id="rId1" /></Relationships>
</file>

<file path=xl/externalLinks/_rels/externalLink150.xml.rels><Relationships xmlns="http://schemas.openxmlformats.org/package/2006/relationships"><Relationship Type="http://schemas.openxmlformats.org/officeDocument/2006/relationships/externalLinkPath" Target="/Users/eric/Documents/Stock%20Models/Pharma/VIR.xlsx" TargetMode="External" Id="rId1" /></Relationships>
</file>

<file path=xl/externalLinks/_rels/externalLink151.xml.rels><Relationships xmlns="http://schemas.openxmlformats.org/package/2006/relationships"><Relationship Type="http://schemas.openxmlformats.org/officeDocument/2006/relationships/externalLinkPath" Target="/Users/eric/Documents/Stock%20Models/Pharma/BRVE.xlsx" TargetMode="External" Id="rId1" /></Relationships>
</file>

<file path=xl/externalLinks/_rels/externalLink152.xml.rels><Relationships xmlns="http://schemas.openxmlformats.org/package/2006/relationships"><Relationship Type="http://schemas.openxmlformats.org/officeDocument/2006/relationships/externalLinkPath" Target="/Users/eric/Documents/Stock%20Models/Pharma/ANIP.xlsx" TargetMode="External" Id="rId1" /></Relationships>
</file>

<file path=xl/externalLinks/_rels/externalLink153.xml.rels><Relationships xmlns="http://schemas.openxmlformats.org/package/2006/relationships"><Relationship Type="http://schemas.openxmlformats.org/officeDocument/2006/relationships/externalLinkPath" Target="/Users/eric/Documents/Stock%20Models/Pharma/BHVN.xlsx" TargetMode="External" Id="rId1" /></Relationships>
</file>

<file path=xl/externalLinks/_rels/externalLink154.xml.rels><Relationships xmlns="http://schemas.openxmlformats.org/package/2006/relationships"><Relationship Type="http://schemas.openxmlformats.org/officeDocument/2006/relationships/externalLinkPath" Target="/Users/eric/Documents/Stock%20Models/Pharma/ZBIO.xlsx" TargetMode="External" Id="rId1" /></Relationships>
</file>

<file path=xl/externalLinks/_rels/externalLink155.xml.rels><Relationships xmlns="http://schemas.openxmlformats.org/package/2006/relationships"><Relationship Type="http://schemas.openxmlformats.org/officeDocument/2006/relationships/externalLinkPath" Target="/Users/eric/Documents/Stock%20Models/Pharma/NTLA.xlsx" TargetMode="External" Id="rId1" /></Relationships>
</file>

<file path=xl/externalLinks/_rels/externalLink156.xml.rels><Relationships xmlns="http://schemas.openxmlformats.org/package/2006/relationships"><Relationship Type="http://schemas.openxmlformats.org/officeDocument/2006/relationships/externalLinkPath" Target="/Users/eric/Documents/Stock%20Models/Pharma/PAHC.xlsx" TargetMode="External" Id="rId1" /></Relationships>
</file>

<file path=xl/externalLinks/_rels/externalLink157.xml.rels><Relationships xmlns="http://schemas.openxmlformats.org/package/2006/relationships"><Relationship Type="http://schemas.openxmlformats.org/officeDocument/2006/relationships/externalLinkPath" Target="/Users/eric/Documents/Stock%20Models/Pharma/ALVO.xlsx" TargetMode="External" Id="rId1" /></Relationships>
</file>

<file path=xl/externalLinks/_rels/externalLink158.xml.rels><Relationships xmlns="http://schemas.openxmlformats.org/package/2006/relationships"><Relationship Type="http://schemas.openxmlformats.org/officeDocument/2006/relationships/externalLinkPath" Target="/Users/eric/Documents/Stock%20Models/Pharma/STOK.xlsx" TargetMode="External" Id="rId1" /></Relationships>
</file>

<file path=xl/externalLinks/_rels/externalLink159.xml.rels><Relationships xmlns="http://schemas.openxmlformats.org/package/2006/relationships"><Relationship Type="http://schemas.openxmlformats.org/officeDocument/2006/relationships/externalLinkPath" Target="/Users/eric/Documents/Stock%20Models/Pharma/NUVB.xlsx" TargetMode="External" Id="rId1" /></Relationships>
</file>

<file path=xl/externalLinks/_rels/externalLink160.xml.rels><Relationships xmlns="http://schemas.openxmlformats.org/package/2006/relationships"><Relationship Type="http://schemas.openxmlformats.org/officeDocument/2006/relationships/externalLinkPath" Target="/Users/eric/Documents/Stock%20Models/Pharma/GENB.xlsx" TargetMode="External" Id="rId1" /></Relationships>
</file>

<file path=xl/externalLinks/_rels/externalLink161.xml.rels><Relationships xmlns="http://schemas.openxmlformats.org/package/2006/relationships"><Relationship Type="http://schemas.openxmlformats.org/officeDocument/2006/relationships/externalLinkPath" Target="/Users/eric/Documents/Stock%20Models/Pharma/MAZE.xlsx" TargetMode="External" Id="rId1" /></Relationships>
</file>

<file path=xl/externalLinks/_rels/externalLink162.xml.rels><Relationships xmlns="http://schemas.openxmlformats.org/package/2006/relationships"><Relationship Type="http://schemas.openxmlformats.org/officeDocument/2006/relationships/externalLinkPath" Target="/Users/eric/Documents/Stock%20Models/Pharma/IMCR.xlsx" TargetMode="External" Id="rId1" /></Relationships>
</file>

<file path=xl/externalLinks/_rels/externalLink163.xml.rels><Relationships xmlns="http://schemas.openxmlformats.org/package/2006/relationships"><Relationship Type="http://schemas.openxmlformats.org/officeDocument/2006/relationships/externalLinkPath" Target="/Users/eric/Documents/Stock%20Models/Pharma/OCUL.xlsx" TargetMode="External" Id="rId1" /></Relationships>
</file>

<file path=xl/externalLinks/_rels/externalLink164.xml.rels><Relationships xmlns="http://schemas.openxmlformats.org/package/2006/relationships"><Relationship Type="http://schemas.openxmlformats.org/officeDocument/2006/relationships/externalLinkPath" Target="/Users/eric/Documents/Stock%20Models/Pharma/GPCR.xlsx" TargetMode="External" Id="rId1" /></Relationships>
</file>

<file path=xl/externalLinks/_rels/externalLink165.xml.rels><Relationships xmlns="http://schemas.openxmlformats.org/package/2006/relationships"><Relationship Type="http://schemas.openxmlformats.org/officeDocument/2006/relationships/externalLinkPath" Target="/Users/eric/Documents/Stock%20Models/Pharma/INVA.xlsx" TargetMode="External" Id="rId1" /></Relationships>
</file>

<file path=xl/externalLinks/_rels/externalLink166.xml.rels><Relationships xmlns="http://schemas.openxmlformats.org/package/2006/relationships"><Relationship Type="http://schemas.openxmlformats.org/officeDocument/2006/relationships/externalLinkPath" Target="/Users/eric/Documents/Stock%20Models/Pharma/CMPS.xlsx" TargetMode="External" Id="rId1" /></Relationships>
</file>

<file path=xl/externalLinks/_rels/externalLink167.xml.rels><Relationships xmlns="http://schemas.openxmlformats.org/package/2006/relationships"><Relationship Type="http://schemas.openxmlformats.org/officeDocument/2006/relationships/externalLinkPath" Target="/Users/eric/Documents/Stock%20Models/Pharma/KLRA.xlsx" TargetMode="External" Id="rId1" /></Relationships>
</file>

<file path=xl/externalLinks/_rels/externalLink168.xml.rels><Relationships xmlns="http://schemas.openxmlformats.org/package/2006/relationships"><Relationship Type="http://schemas.openxmlformats.org/officeDocument/2006/relationships/externalLinkPath" Target="/Users/eric/Documents/Stock%20Models/Pharma/PCRX.xlsx" TargetMode="External" Id="rId1" /></Relationships>
</file>

<file path=xl/externalLinks/_rels/externalLink169.xml.rels><Relationships xmlns="http://schemas.openxmlformats.org/package/2006/relationships"><Relationship Type="http://schemas.openxmlformats.org/officeDocument/2006/relationships/externalLinkPath" Target="/Users/eric/Documents/Stock%20Models/Pharma/ETON.xlsx" TargetMode="External" Id="rId1" /></Relationships>
</file>

<file path=xl/externalLinks/_rels/externalLink170.xml.rels><Relationships xmlns="http://schemas.openxmlformats.org/package/2006/relationships"><Relationship Type="http://schemas.openxmlformats.org/officeDocument/2006/relationships/externalLinkPath" Target="/Users/eric/Documents/Stock%20Models/Pharma/RARE.xlsx" TargetMode="External" Id="rId1" /></Relationships>
</file>

<file path=xl/externalLinks/_rels/externalLink171.xml.rels><Relationships xmlns="http://schemas.openxmlformats.org/package/2006/relationships"><Relationship Type="http://schemas.openxmlformats.org/officeDocument/2006/relationships/externalLinkPath" Target="/Users/eric/Documents/Stock%20Models/Pharma/ABSI.xlsx" TargetMode="External" Id="rId1" /></Relationships>
</file>

<file path=xl/externalLinks/_rels/externalLink172.xml.rels><Relationships xmlns="http://schemas.openxmlformats.org/package/2006/relationships"><Relationship Type="http://schemas.openxmlformats.org/officeDocument/2006/relationships/externalLinkPath" Target="/Users/eric/Documents/Stock%20Models/Pharma/COAG.xlsx" TargetMode="External" Id="rId1" /></Relationships>
</file>

<file path=xl/externalLinks/_rels/externalLink173.xml.rels><Relationships xmlns="http://schemas.openxmlformats.org/package/2006/relationships"><Relationship Type="http://schemas.openxmlformats.org/officeDocument/2006/relationships/externalLinkPath" Target="/Users/eric/Documents/Stock%20Models/Pharma/ANAB.xlsx" TargetMode="External" Id="rId1" /></Relationships>
</file>

<file path=xl/externalLinks/_rels/externalLink174.xml.rels><Relationships xmlns="http://schemas.openxmlformats.org/package/2006/relationships"><Relationship Type="http://schemas.openxmlformats.org/officeDocument/2006/relationships/externalLinkPath" Target="/Users/eric/Documents/Stock%20Models/Pharma/QURE.xlsx" TargetMode="External" Id="rId1" /></Relationships>
</file>

<file path=xl/externalLinks/_rels/externalLink175.xml.rels><Relationships xmlns="http://schemas.openxmlformats.org/package/2006/relationships"><Relationship Type="http://schemas.openxmlformats.org/officeDocument/2006/relationships/externalLinkPath" Target="/Users/eric/Documents/Stock%20Models/Pharma/RAPP.xlsx" TargetMode="External" Id="rId1" /></Relationships>
</file>

<file path=xl/externalLinks/_rels/externalLink176.xml.rels><Relationships xmlns="http://schemas.openxmlformats.org/package/2006/relationships"><Relationship Type="http://schemas.openxmlformats.org/officeDocument/2006/relationships/externalLinkPath" Target="/Users/eric/Documents/Stock%20Models/Pharma/INBX.xlsx" TargetMode="External" Id="rId1" /></Relationships>
</file>

<file path=xl/externalLinks/_rels/externalLink177.xml.rels><Relationships xmlns="http://schemas.openxmlformats.org/package/2006/relationships"><Relationship Type="http://schemas.openxmlformats.org/officeDocument/2006/relationships/externalLinkPath" Target="/Users/eric/Documents/Stock%20Models/Pharma/ORIC.xlsx" TargetMode="External" Id="rId1" /></Relationships>
</file>

<file path=xl/externalLinks/_rels/externalLink178.xml.rels><Relationships xmlns="http://schemas.openxmlformats.org/package/2006/relationships"><Relationship Type="http://schemas.openxmlformats.org/officeDocument/2006/relationships/externalLinkPath" Target="/Users/eric/Documents/Stock%20Models/Pharma/TRAX.xlsx" TargetMode="External" Id="rId1" /></Relationships>
</file>

<file path=xl/externalLinks/_rels/externalLink179.xml.rels><Relationships xmlns="http://schemas.openxmlformats.org/package/2006/relationships"><Relationship Type="http://schemas.openxmlformats.org/officeDocument/2006/relationships/externalLinkPath" Target="/Users/eric/Documents/Stock%20Models/Pharma/NKTR.xlsx" TargetMode="External" Id="rId1" /></Relationships>
</file>

<file path=xl/externalLinks/_rels/externalLink180.xml.rels><Relationships xmlns="http://schemas.openxmlformats.org/package/2006/relationships"><Relationship Type="http://schemas.openxmlformats.org/officeDocument/2006/relationships/externalLinkPath" Target="/Users/eric/Documents/Stock%20Models/Pharma/KARD.xlsx" TargetMode="External" Id="rId1" /></Relationships>
</file>

<file path=xl/externalLinks/_rels/externalLink181.xml.rels><Relationships xmlns="http://schemas.openxmlformats.org/package/2006/relationships"><Relationship Type="http://schemas.openxmlformats.org/officeDocument/2006/relationships/externalLinkPath" Target="/Users/eric/Documents/Stock%20Models/Pharma/LBRX.xlsx" TargetMode="External" Id="rId1" /></Relationships>
</file>

<file path=xl/externalLinks/_rels/externalLink182.xml.rels><Relationships xmlns="http://schemas.openxmlformats.org/package/2006/relationships"><Relationship Type="http://schemas.openxmlformats.org/officeDocument/2006/relationships/externalLinkPath" Target="/Users/eric/Documents/Stock%20Models/Pharma/CRON.xlsx" TargetMode="External" Id="rId1" /></Relationships>
</file>

<file path=xl/externalLinks/_rels/externalLink183.xml.rels><Relationships xmlns="http://schemas.openxmlformats.org/package/2006/relationships"><Relationship Type="http://schemas.openxmlformats.org/officeDocument/2006/relationships/externalLinkPath" Target="/Users/eric/Documents/Stock%20Models/Pharma/TSHA.xlsx" TargetMode="External" Id="rId1" /></Relationships>
</file>

<file path=xl/externalLinks/_rels/externalLink184.xml.rels><Relationships xmlns="http://schemas.openxmlformats.org/package/2006/relationships"><Relationship Type="http://schemas.openxmlformats.org/officeDocument/2006/relationships/externalLinkPath" Target="/Users/eric/Documents/Stock%20Models/Pharma/OMER.xlsx" TargetMode="External" Id="rId1" /></Relationships>
</file>

<file path=xl/externalLinks/_rels/externalLink185.xml.rels><Relationships xmlns="http://schemas.openxmlformats.org/package/2006/relationships"><Relationship Type="http://schemas.openxmlformats.org/officeDocument/2006/relationships/externalLinkPath" Target="/Users/eric/Documents/Stock%20Models/Pharma/BCAX.xlsx" TargetMode="External" Id="rId1" /></Relationships>
</file>

<file path=xl/externalLinks/_rels/externalLink186.xml.rels><Relationships xmlns="http://schemas.openxmlformats.org/package/2006/relationships"><Relationship Type="http://schemas.openxmlformats.org/officeDocument/2006/relationships/externalLinkPath" Target="/Users/eric/Documents/Stock%20Models/Pharma/SNDX.xlsx" TargetMode="External" Id="rId1" /></Relationships>
</file>

<file path=xl/externalLinks/_rels/externalLink187.xml.rels><Relationships xmlns="http://schemas.openxmlformats.org/package/2006/relationships"><Relationship Type="http://schemas.openxmlformats.org/officeDocument/2006/relationships/externalLinkPath" Target="/Users/eric/Documents/Stock%20Models/Pharma/VOR.xlsx" TargetMode="External" Id="rId1" /></Relationships>
</file>

<file path=xl/externalLinks/_rels/externalLink188.xml.rels><Relationships xmlns="http://schemas.openxmlformats.org/package/2006/relationships"><Relationship Type="http://schemas.openxmlformats.org/officeDocument/2006/relationships/externalLinkPath" Target="/Users/eric/Documents/Stock%20Models/Pharma/DMRA.xlsx" TargetMode="External" Id="rId1" /></Relationships>
</file>

<file path=xl/externalLinks/_rels/externalLink189.xml.rels><Relationships xmlns="http://schemas.openxmlformats.org/package/2006/relationships"><Relationship Type="http://schemas.openxmlformats.org/officeDocument/2006/relationships/externalLinkPath" Target="/Users/eric/Documents/Stock%20Models/Pharma/SVRA.xlsx" TargetMode="External" Id="rId1" /></Relationships>
</file>

<file path=xl/externalLinks/_rels/externalLink190.xml.rels><Relationships xmlns="http://schemas.openxmlformats.org/package/2006/relationships"><Relationship Type="http://schemas.openxmlformats.org/officeDocument/2006/relationships/externalLinkPath" Target="/Users/eric/Documents/Stock%20Models/Pharma/GHRS.xlsx" TargetMode="External" Id="rId1" /></Relationships>
</file>

<file path=xl/externalLinks/_rels/externalLink191.xml.rels><Relationships xmlns="http://schemas.openxmlformats.org/package/2006/relationships"><Relationship Type="http://schemas.openxmlformats.org/officeDocument/2006/relationships/externalLinkPath" Target="/Users/eric/Documents/Stock%20Models/Pharma/TYRA.xlsx" TargetMode="External" Id="rId1" /></Relationships>
</file>

<file path=xl/externalLinks/_rels/externalLink192.xml.rels><Relationships xmlns="http://schemas.openxmlformats.org/package/2006/relationships"><Relationship Type="http://schemas.openxmlformats.org/officeDocument/2006/relationships/externalLinkPath" Target="/Users/eric/Documents/Stock%20Models/Pharma/AMPH.xlsx" TargetMode="External" Id="rId1" /></Relationships>
</file>

<file path=xl/externalLinks/_rels/externalLink193.xml.rels><Relationships xmlns="http://schemas.openxmlformats.org/package/2006/relationships"><Relationship Type="http://schemas.openxmlformats.org/officeDocument/2006/relationships/externalLinkPath" Target="/Users/eric/Documents/Stock%20Models/Pharma/AVLN.xlsx" TargetMode="External" Id="rId1" /></Relationships>
</file>

<file path=xl/externalLinks/_rels/externalLink194.xml.rels><Relationships xmlns="http://schemas.openxmlformats.org/package/2006/relationships"><Relationship Type="http://schemas.openxmlformats.org/officeDocument/2006/relationships/externalLinkPath" Target="/Users/eric/Documents/Stock%20Models/Pharma/NBTX.xlsx" TargetMode="External" Id="rId1" /></Relationships>
</file>

<file path=xl/externalLinks/_rels/externalLink195.xml.rels><Relationships xmlns="http://schemas.openxmlformats.org/package/2006/relationships"><Relationship Type="http://schemas.openxmlformats.org/officeDocument/2006/relationships/externalLinkPath" Target="/Users/eric/Documents/Stock%20Models/Pharma/REPL.xlsx" TargetMode="External" Id="rId1" /></Relationships>
</file>

<file path=xl/externalLinks/_rels/externalLink196.xml.rels><Relationships xmlns="http://schemas.openxmlformats.org/package/2006/relationships"><Relationship Type="http://schemas.openxmlformats.org/officeDocument/2006/relationships/externalLinkPath" Target="/Users/eric/Documents/Stock%20Models/Pharma/HROW.xlsx" TargetMode="External" Id="rId1" /></Relationships>
</file>

<file path=xl/externalLinks/_rels/externalLink197.xml.rels><Relationships xmlns="http://schemas.openxmlformats.org/package/2006/relationships"><Relationship Type="http://schemas.openxmlformats.org/officeDocument/2006/relationships/externalLinkPath" Target="/Users/eric/Documents/Stock%20Models/Pharma/JANX.xlsx" TargetMode="External" Id="rId1" /></Relationships>
</file>

<file path=xl/externalLinks/_rels/externalLink198.xml.rels><Relationships xmlns="http://schemas.openxmlformats.org/package/2006/relationships"><Relationship Type="http://schemas.openxmlformats.org/officeDocument/2006/relationships/externalLinkPath" Target="/Users/eric/Documents/Stock%20Models/Pharma/MNKD.xlsx" TargetMode="External" Id="rId1" /></Relationships>
</file>

<file path=xl/externalLinks/_rels/externalLink199.xml.rels><Relationships xmlns="http://schemas.openxmlformats.org/package/2006/relationships"><Relationship Type="http://schemas.openxmlformats.org/officeDocument/2006/relationships/externalLinkPath" Target="/Users/eric/Documents/Stock%20Models/Pharma/SPTX.xlsx" TargetMode="External" Id="rId1" /></Relationships>
</file>

<file path=xl/externalLinks/_rels/externalLink200.xml.rels><Relationships xmlns="http://schemas.openxmlformats.org/package/2006/relationships"><Relationship Type="http://schemas.openxmlformats.org/officeDocument/2006/relationships/externalLinkPath" Target="/Users/eric/Documents/Stock%20Models/Pharma/GRML.xlsx" TargetMode="External" Id="rId1" /></Relationships>
</file>

<file path=xl/externalLinks/_rels/externalLink201.xml.rels><Relationships xmlns="http://schemas.openxmlformats.org/package/2006/relationships"><Relationship Type="http://schemas.openxmlformats.org/officeDocument/2006/relationships/externalLinkPath" Target="/Users/eric/Documents/Stock%20Models/Pharma/LTGO.xlsx" TargetMode="External" Id="rId1" /></Relationships>
</file>

<file path=xl/externalLinks/_rels/externalLink202.xml.rels><Relationships xmlns="http://schemas.openxmlformats.org/package/2006/relationships"><Relationship Type="http://schemas.openxmlformats.org/officeDocument/2006/relationships/externalLinkPath" Target="/Users/eric/Documents/Stock%20Models/Pharma/IMTX.xlsx" TargetMode="External" Id="rId1" /></Relationships>
</file>

<file path=xl/externalLinks/_rels/externalLink203.xml.rels><Relationships xmlns="http://schemas.openxmlformats.org/package/2006/relationships"><Relationship Type="http://schemas.openxmlformats.org/officeDocument/2006/relationships/externalLinkPath" Target="/Users/eric/Documents/Stock%20Models/Pharma/MGTX.xlsx" TargetMode="External" Id="rId1" /></Relationships>
</file>

<file path=xl/externalLinks/_rels/externalLink204.xml.rels><Relationships xmlns="http://schemas.openxmlformats.org/package/2006/relationships"><Relationship Type="http://schemas.openxmlformats.org/officeDocument/2006/relationships/externalLinkPath" Target="/Users/eric/Documents/Stock%20Models/Pharma/RIGL.xlsx" TargetMode="External" Id="rId1" /></Relationships>
</file>

<file path=xl/externalLinks/_rels/externalLink205.xml.rels><Relationships xmlns="http://schemas.openxmlformats.org/package/2006/relationships"><Relationship Type="http://schemas.openxmlformats.org/officeDocument/2006/relationships/externalLinkPath" Target="/Users/eric/Documents/Stock%20Models/Pharma/ANRO.xlsx" TargetMode="External" Id="rId1" /></Relationships>
</file>

<file path=xl/externalLinks/_rels/externalLink206.xml.rels><Relationships xmlns="http://schemas.openxmlformats.org/package/2006/relationships"><Relationship Type="http://schemas.openxmlformats.org/officeDocument/2006/relationships/externalLinkPath" Target="/Users/eric/Documents/Stock%20Models/Pharma/JBIO.xlsx" TargetMode="External" Id="rId1" /></Relationships>
</file>

<file path=xl/externalLinks/_rels/externalLink207.xml.rels><Relationships xmlns="http://schemas.openxmlformats.org/package/2006/relationships"><Relationship Type="http://schemas.openxmlformats.org/officeDocument/2006/relationships/externalLinkPath" Target="/Users/eric/Documents/Stock%20Models/Pharma/ODTX.xlsx" TargetMode="External" Id="rId1" /></Relationships>
</file>

<file path=xl/externalLinks/_rels/externalLink208.xml.rels><Relationships xmlns="http://schemas.openxmlformats.org/package/2006/relationships"><Relationship Type="http://schemas.openxmlformats.org/officeDocument/2006/relationships/externalLinkPath" Target="/Users/eric/Documents/Stock%20Models/Pharma/ABUS.xlsx" TargetMode="External" Id="rId1" /></Relationships>
</file>

<file path=xl/externalLinks/_rels/externalLink209.xml.rels><Relationships xmlns="http://schemas.openxmlformats.org/package/2006/relationships"><Relationship Type="http://schemas.openxmlformats.org/officeDocument/2006/relationships/externalLinkPath" Target="/Users/eric/Documents/Stock%20Models/Pharma/CGEM.xlsx" TargetMode="External" Id="rId1" /></Relationships>
</file>

<file path=xl/externalLinks/_rels/externalLink210.xml.rels><Relationships xmlns="http://schemas.openxmlformats.org/package/2006/relationships"><Relationship Type="http://schemas.openxmlformats.org/officeDocument/2006/relationships/externalLinkPath" Target="/Users/eric/Documents/Stock%20Models/Pharma/GLUE.xlsx" TargetMode="External" Id="rId1" /></Relationships>
</file>

<file path=xl/externalLinks/_rels/externalLink211.xml.rels><Relationships xmlns="http://schemas.openxmlformats.org/package/2006/relationships"><Relationship Type="http://schemas.openxmlformats.org/officeDocument/2006/relationships/externalLinkPath" Target="/Users/eric/Documents/Stock%20Models/Pharma/SGP.xlsx" TargetMode="External" Id="rId1" /></Relationships>
</file>

<file path=xl/externalLinks/_rels/externalLink212.xml.rels><Relationships xmlns="http://schemas.openxmlformats.org/package/2006/relationships"><Relationship Type="http://schemas.openxmlformats.org/officeDocument/2006/relationships/externalLinkPath" Target="/Users/eric/Documents/Stock%20Models/Pharma/AVBP.xlsx" TargetMode="External" Id="rId1" /></Relationships>
</file>

<file path=xl/externalLinks/_rels/externalLink213.xml.rels><Relationships xmlns="http://schemas.openxmlformats.org/package/2006/relationships"><Relationship Type="http://schemas.openxmlformats.org/officeDocument/2006/relationships/externalLinkPath" Target="/Users/eric/Documents/Stock%20Models/Pharma/ARDX.xlsx" TargetMode="External" Id="rId1" /></Relationships>
</file>

<file path=xl/externalLinks/_rels/externalLink214.xml.rels><Relationships xmlns="http://schemas.openxmlformats.org/package/2006/relationships"><Relationship Type="http://schemas.openxmlformats.org/officeDocument/2006/relationships/externalLinkPath" Target="/Users/eric/Documents/Stock%20Models/Pharma/MLTX.xlsx" TargetMode="External" Id="rId1" /></Relationships>
</file>

<file path=xl/externalLinks/_rels/externalLink215.xml.rels><Relationships xmlns="http://schemas.openxmlformats.org/package/2006/relationships"><Relationship Type="http://schemas.openxmlformats.org/officeDocument/2006/relationships/externalLinkPath" Target="/Users/eric/Documents/Stock%20Models/Pharma/KURA.xlsx" TargetMode="External" Id="rId1" /></Relationships>
</file>

<file path=xl/externalLinks/_rels/externalLink216.xml.rels><Relationships xmlns="http://schemas.openxmlformats.org/package/2006/relationships"><Relationship Type="http://schemas.openxmlformats.org/officeDocument/2006/relationships/externalLinkPath" Target="/Users/eric/Documents/Stock%20Models/Pharma/AKTS.xlsx" TargetMode="External" Id="rId1" /></Relationships>
</file>

<file path=xl/externalLinks/_rels/externalLink217.xml.rels><Relationships xmlns="http://schemas.openxmlformats.org/package/2006/relationships"><Relationship Type="http://schemas.openxmlformats.org/officeDocument/2006/relationships/externalLinkPath" Target="/Users/eric/Documents/Stock%20Models/Pharma/CRVS.xlsx" TargetMode="External" Id="rId1" /></Relationships>
</file>

<file path=xl/externalLinks/_rels/externalLink218.xml.rels><Relationships xmlns="http://schemas.openxmlformats.org/package/2006/relationships"><Relationship Type="http://schemas.openxmlformats.org/officeDocument/2006/relationships/externalLinkPath" Target="/Users/eric/Documents/Stock%20Models/Pharma/ALMS.xlsx" TargetMode="External" Id="rId1" /></Relationships>
</file>

<file path=xl/externalLinks/_rels/externalLink219.xml.rels><Relationships xmlns="http://schemas.openxmlformats.org/package/2006/relationships"><Relationship Type="http://schemas.openxmlformats.org/officeDocument/2006/relationships/externalLinkPath" Target="/Users/eric/Documents/Stock%20Models/Pharma/VSTM.xlsx" TargetMode="External" Id="rId1" /></Relationships>
</file>

<file path=xl/externalLinks/_rels/externalLink220.xml.rels><Relationships xmlns="http://schemas.openxmlformats.org/package/2006/relationships"><Relationship Type="http://schemas.openxmlformats.org/officeDocument/2006/relationships/externalLinkPath" Target="/Users/eric/Documents/Stock%20Models/Pharma/APMD.xlsx" TargetMode="External" Id="rId1" /></Relationships>
</file>

<file path=xl/externalLinks/_rels/externalLink221.xml.rels><Relationships xmlns="http://schemas.openxmlformats.org/package/2006/relationships"><Relationship Type="http://schemas.openxmlformats.org/officeDocument/2006/relationships/externalLinkPath" Target="/Users/eric/Documents/Stock%20Models/Pharma/COLL.xlsx" TargetMode="External" Id="rId1" /></Relationships>
</file>

<file path=xl/externalLinks/_rels/externalLink222.xml.rels><Relationships xmlns="http://schemas.openxmlformats.org/package/2006/relationships"><Relationship Type="http://schemas.openxmlformats.org/officeDocument/2006/relationships/externalLinkPath" Target="/Users/eric/Documents/Stock%20Models/Pharma/OBX.xlsx" TargetMode="External" Id="rId1" /></Relationships>
</file>

<file path=xl/externalLinks/_rels/externalLink223.xml.rels><Relationships xmlns="http://schemas.openxmlformats.org/package/2006/relationships"><Relationship Type="http://schemas.openxmlformats.org/officeDocument/2006/relationships/externalLinkPath" Target="/Users/eric/Documents/Stock%20Models/Pharma/GERN.xlsx" TargetMode="External" Id="rId1" /></Relationships>
</file>

<file path=xl/externalLinks/_rels/externalLink224.xml.rels><Relationships xmlns="http://schemas.openxmlformats.org/package/2006/relationships"><Relationship Type="http://schemas.openxmlformats.org/officeDocument/2006/relationships/externalLinkPath" Target="/Users/eric/Documents/Stock%20Models/Pharma/SANA.xlsx" TargetMode="External" Id="rId1" /></Relationships>
</file>

<file path=xl/externalLinks/_rels/externalLink225.xml.rels><Relationships xmlns="http://schemas.openxmlformats.org/package/2006/relationships"><Relationship Type="http://schemas.openxmlformats.org/officeDocument/2006/relationships/externalLinkPath" Target="/Users/eric/Documents/Stock%20Models/Pharma/FDMT.xlsx" TargetMode="External" Id="rId1" /></Relationships>
</file>

<file path=xl/externalLinks/_rels/externalLink226.xml.rels><Relationships xmlns="http://schemas.openxmlformats.org/package/2006/relationships"><Relationship Type="http://schemas.openxmlformats.org/officeDocument/2006/relationships/externalLinkPath" Target="/Users/eric/Documents/Stock%20Models/Pharma/ANNX.xlsx" TargetMode="External" Id="rId1" /></Relationships>
</file>

<file path=xl/externalLinks/_rels/externalLink227.xml.rels><Relationships xmlns="http://schemas.openxmlformats.org/package/2006/relationships"><Relationship Type="http://schemas.openxmlformats.org/officeDocument/2006/relationships/externalLinkPath" Target="/Users/eric/Documents/Stock%20Models/Pharma/GYRE.xlsx" TargetMode="External" Id="rId1" /></Relationships>
</file>

<file path=xl/externalLinks/_rels/externalLink228.xml.rels><Relationships xmlns="http://schemas.openxmlformats.org/package/2006/relationships"><Relationship Type="http://schemas.openxmlformats.org/officeDocument/2006/relationships/externalLinkPath" Target="/Users/eric/Documents/Stock%20Models/Pharma/LXRX.xlsx" TargetMode="External" Id="rId1" /></Relationships>
</file>

<file path=xl/externalLinks/_rels/externalLink229.xml.rels><Relationships xmlns="http://schemas.openxmlformats.org/package/2006/relationships"><Relationship Type="http://schemas.openxmlformats.org/officeDocument/2006/relationships/externalLinkPath" Target="/Users/eric/Documents/Stock%20Models/Pharma/ATTO.xlsx" TargetMode="External" Id="rId1" /></Relationships>
</file>

<file path=xl/externalLinks/_rels/externalLink230.xml.rels><Relationships xmlns="http://schemas.openxmlformats.org/package/2006/relationships"><Relationship Type="http://schemas.openxmlformats.org/officeDocument/2006/relationships/externalLinkPath" Target="/Users/eric/Documents/Stock%20Models/Pharma/PHAR.xlsx" TargetMode="External" Id="rId1" /></Relationships>
</file>

<file path=xl/externalLinks/_rels/externalLink231.xml.rels><Relationships xmlns="http://schemas.openxmlformats.org/package/2006/relationships"><Relationship Type="http://schemas.openxmlformats.org/officeDocument/2006/relationships/externalLinkPath" Target="/Users/eric/Documents/Stock%20Models/Pharma/ACHV.xlsx" TargetMode="External" Id="rId1" /></Relationships>
</file>

<file path=xl/externalLinks/_rels/externalLink232.xml.rels><Relationships xmlns="http://schemas.openxmlformats.org/package/2006/relationships"><Relationship Type="http://schemas.openxmlformats.org/officeDocument/2006/relationships/externalLinkPath" Target="/Users/eric/Documents/Stock%20Models/Pharma/MDXG.xlsx" TargetMode="External" Id="rId1" /></Relationships>
</file>

<file path=xl/externalLinks/_rels/externalLink233.xml.rels><Relationships xmlns="http://schemas.openxmlformats.org/package/2006/relationships"><Relationship Type="http://schemas.openxmlformats.org/officeDocument/2006/relationships/externalLinkPath" Target="/Users/eric/Documents/Stock%20Models/Pharma/DSGN.xlsx" TargetMode="External" Id="rId1" /></Relationships>
</file>

<file path=xl/externalLinks/_rels/externalLink234.xml.rels><Relationships xmlns="http://schemas.openxmlformats.org/package/2006/relationships"><Relationship Type="http://schemas.openxmlformats.org/officeDocument/2006/relationships/externalLinkPath" Target="/Users/eric/Documents/Stock%20Models/Pharma/AVTX.xlsx" TargetMode="External" Id="rId1" /></Relationships>
</file>

<file path=xl/externalLinks/_rels/externalLink235.xml.rels><Relationships xmlns="http://schemas.openxmlformats.org/package/2006/relationships"><Relationship Type="http://schemas.openxmlformats.org/officeDocument/2006/relationships/externalLinkPath" Target="/Users/eric/Documents/Stock%20Models/Pharma/AURA.xlsx" TargetMode="External" Id="rId1" /></Relationships>
</file>

<file path=xl/externalLinks/_rels/externalLink236.xml.rels><Relationships xmlns="http://schemas.openxmlformats.org/package/2006/relationships"><Relationship Type="http://schemas.openxmlformats.org/officeDocument/2006/relationships/externalLinkPath" Target="/Users/eric/Documents/Stock%20Models/Pharma/PRME.xlsx" TargetMode="External" Id="rId1" /></Relationships>
</file>

<file path=xl/externalLinks/_rels/externalLink237.xml.rels><Relationships xmlns="http://schemas.openxmlformats.org/package/2006/relationships"><Relationship Type="http://schemas.openxmlformats.org/officeDocument/2006/relationships/externalLinkPath" Target="/Users/eric/Documents/Stock%20Models/Pharma/CADL.xlsx" TargetMode="External" Id="rId1" /></Relationships>
</file>

<file path=xl/externalLinks/_rels/externalLink238.xml.rels><Relationships xmlns="http://schemas.openxmlformats.org/package/2006/relationships"><Relationship Type="http://schemas.openxmlformats.org/officeDocument/2006/relationships/externalLinkPath" Target="/Users/eric/Documents/Stock%20Models/Pharma/CLYM.xlsx" TargetMode="External" Id="rId1" /></Relationships>
</file>

<file path=xl/externalLinks/_rels/externalLink239.xml.rels><Relationships xmlns="http://schemas.openxmlformats.org/package/2006/relationships"><Relationship Type="http://schemas.openxmlformats.org/officeDocument/2006/relationships/externalLinkPath" Target="/Users/eric/Documents/Stock%20Models/Pharma/IRWD.xlsx" TargetMode="External" Id="rId1" /></Relationships>
</file>

<file path=xl/externalLinks/_rels/externalLink240.xml.rels><Relationships xmlns="http://schemas.openxmlformats.org/package/2006/relationships"><Relationship Type="http://schemas.openxmlformats.org/officeDocument/2006/relationships/externalLinkPath" Target="/Users/eric/Documents/Stock%20Models/Pharma/IMMX.xlsx" TargetMode="External" Id="rId1" /></Relationships>
</file>

<file path=xl/externalLinks/_rels/externalLink241.xml.rels><Relationships xmlns="http://schemas.openxmlformats.org/package/2006/relationships"><Relationship Type="http://schemas.openxmlformats.org/officeDocument/2006/relationships/externalLinkPath" Target="/Users/eric/Documents/Stock%20Models/Pharma/NVCT.xlsx" TargetMode="External" Id="rId1" /></Relationships>
</file>

<file path=xl/externalLinks/_rels/externalLink242.xml.rels><Relationships xmlns="http://schemas.openxmlformats.org/package/2006/relationships"><Relationship Type="http://schemas.openxmlformats.org/officeDocument/2006/relationships/externalLinkPath" Target="/Users/eric/Documents/Stock%20Models/Pharma/WVE.xlsx" TargetMode="External" Id="rId1" /></Relationships>
</file>

<file path=xl/externalLinks/_rels/externalLink243.xml.rels><Relationships xmlns="http://schemas.openxmlformats.org/package/2006/relationships"><Relationship Type="http://schemas.openxmlformats.org/officeDocument/2006/relationships/externalLinkPath" Target="/Users/eric/Documents/Stock%20Models/Pharma/ZVRA.xlsx" TargetMode="External" Id="rId1" /></Relationships>
</file>

<file path=xl/externalLinks/_rels/externalLink244.xml.rels><Relationships xmlns="http://schemas.openxmlformats.org/package/2006/relationships"><Relationship Type="http://schemas.openxmlformats.org/officeDocument/2006/relationships/externalLinkPath" Target="/Users/eric/Documents/Stock%20Models/Pharma/SLDB.xlsx" TargetMode="External" Id="rId1" /></Relationships>
</file>

<file path=xl/externalLinks/_rels/externalLink245.xml.rels><Relationships xmlns="http://schemas.openxmlformats.org/package/2006/relationships"><Relationship Type="http://schemas.openxmlformats.org/officeDocument/2006/relationships/externalLinkPath" Target="/Users/eric/Documents/Stock%20Models/Pharma/OLMA.xlsx" TargetMode="External" Id="rId1" /></Relationships>
</file>

<file path=xl/externalLinks/_rels/externalLink246.xml.rels><Relationships xmlns="http://schemas.openxmlformats.org/package/2006/relationships"><Relationship Type="http://schemas.openxmlformats.org/officeDocument/2006/relationships/externalLinkPath" Target="/Users/eric/Documents/Stock%20Models/Pharma/IVA.xlsx" TargetMode="External" Id="rId1" /></Relationships>
</file>

<file path=xl/externalLinks/_rels/externalLink247.xml.rels><Relationships xmlns="http://schemas.openxmlformats.org/package/2006/relationships"><Relationship Type="http://schemas.openxmlformats.org/officeDocument/2006/relationships/externalLinkPath" Target="/Users/eric/Documents/Stock%20Models/Pharma/CRMD.xlsx" TargetMode="External" Id="rId1" /></Relationships>
</file>

<file path=xl/externalLinks/_rels/externalLink248.xml.rels><Relationships xmlns="http://schemas.openxmlformats.org/package/2006/relationships"><Relationship Type="http://schemas.openxmlformats.org/officeDocument/2006/relationships/externalLinkPath" Target="/Users/eric/Documents/Stock%20Models/Pharma/PHAT.xlsx" TargetMode="External" Id="rId1" /></Relationships>
</file>

<file path=xl/externalLinks/_rels/externalLink249.xml.rels><Relationships xmlns="http://schemas.openxmlformats.org/package/2006/relationships"><Relationship Type="http://schemas.openxmlformats.org/officeDocument/2006/relationships/externalLinkPath" Target="/Users/eric/Documents/Stock%20Models/Pharma/STTK.xlsx" TargetMode="External" Id="rId1" /></Relationships>
</file>

<file path=xl/externalLinks/_rels/externalLink250.xml.rels><Relationships xmlns="http://schemas.openxmlformats.org/package/2006/relationships"><Relationship Type="http://schemas.openxmlformats.org/officeDocument/2006/relationships/externalLinkPath" Target="/Users/eric/Documents/Stock%20Models/Pharma/DBVT.xlsx" TargetMode="External" Id="rId1" /></Relationships>
</file>

<file path=xl/externalLinks/_rels/externalLink251.xml.rels><Relationships xmlns="http://schemas.openxmlformats.org/package/2006/relationships"><Relationship Type="http://schemas.openxmlformats.org/officeDocument/2006/relationships/externalLinkPath" Target="/Users/eric/Documents/Stock%20Models/Pharma/VALN.xlsx" TargetMode="External" Id="rId1" /></Relationships>
</file>

<file path=xl/externalLinks/_rels/externalLink252.xml.rels><Relationships xmlns="http://schemas.openxmlformats.org/package/2006/relationships"><Relationship Type="http://schemas.openxmlformats.org/officeDocument/2006/relationships/externalLinkPath" Target="/Users/eric/Documents/Stock%20Models/Pharma/AQST.xlsx" TargetMode="External" Id="rId1" /></Relationships>
</file>

<file path=xl/externalLinks/_rels/externalLink253.xml.rels><Relationships xmlns="http://schemas.openxmlformats.org/package/2006/relationships"><Relationship Type="http://schemas.openxmlformats.org/officeDocument/2006/relationships/externalLinkPath" Target="/Users/eric/Documents/Stock%20Models/Pharma/SGMT.xlsx" TargetMode="External" Id="rId1" /></Relationships>
</file>

<file path=xl/externalLinks/_rels/externalLink254.xml.rels><Relationships xmlns="http://schemas.openxmlformats.org/package/2006/relationships"><Relationship Type="http://schemas.openxmlformats.org/officeDocument/2006/relationships/externalLinkPath" Target="/Users/eric/Documents/Stock%20Models/Pharma/PBYI.xlsx" TargetMode="External" Id="rId1" /></Relationships>
</file>

<file path=xl/externalLinks/_rels/externalLink255.xml.rels><Relationships xmlns="http://schemas.openxmlformats.org/package/2006/relationships"><Relationship Type="http://schemas.openxmlformats.org/officeDocument/2006/relationships/externalLinkPath" Target="/Users/eric/Documents/Stock%20Models/Pharma/CTMX.xlsx" TargetMode="External" Id="rId1" /></Relationships>
</file>

<file path=xl/externalLinks/_rels/externalLink256.xml.rels><Relationships xmlns="http://schemas.openxmlformats.org/package/2006/relationships"><Relationship Type="http://schemas.openxmlformats.org/officeDocument/2006/relationships/externalLinkPath" Target="/Users/eric/Documents/Stock%20Models/Pharma/FTH.xlsx" TargetMode="External" Id="rId1" /></Relationships>
</file>

<file path=xl/externalLinks/_rels/externalLink257.xml.rels><Relationships xmlns="http://schemas.openxmlformats.org/package/2006/relationships"><Relationship Type="http://schemas.openxmlformats.org/officeDocument/2006/relationships/externalLinkPath" Target="/Users/eric/Documents/Stock%20Models/Pharma/ACRS.xlsx" TargetMode="External" Id="rId1" /></Relationships>
</file>

<file path=xl/externalLinks/_rels/externalLink258.xml.rels><Relationships xmlns="http://schemas.openxmlformats.org/package/2006/relationships"><Relationship Type="http://schemas.openxmlformats.org/officeDocument/2006/relationships/externalLinkPath" Target="/Users/eric/Documents/Stock%20Models/Pharma/BLSM.xlsx" TargetMode="External" Id="rId1" /></Relationships>
</file>

<file path=xl/externalLinks/_rels/externalLink259.xml.rels><Relationships xmlns="http://schemas.openxmlformats.org/package/2006/relationships"><Relationship Type="http://schemas.openxmlformats.org/officeDocument/2006/relationships/externalLinkPath" Target="/Users/eric/Documents/Stock%20Models/Pharma/EOLS.xlsx" TargetMode="External" Id="rId1" /></Relationships>
</file>

<file path=xl/externalLinks/_rels/externalLink260.xml.rels><Relationships xmlns="http://schemas.openxmlformats.org/package/2006/relationships"><Relationship Type="http://schemas.openxmlformats.org/officeDocument/2006/relationships/externalLinkPath" Target="/Users/eric/Documents/Stock%20Models/Pharma/IMMP.xlsx" TargetMode="External" Id="rId1" /></Relationships>
</file>

<file path=xl/externalLinks/_rels/externalLink261.xml.rels><Relationships xmlns="http://schemas.openxmlformats.org/package/2006/relationships"><Relationship Type="http://schemas.openxmlformats.org/officeDocument/2006/relationships/externalLinkPath" Target="/Users/eric/Documents/Stock%20Models/Pharma/NGNE.xlsx" TargetMode="External" Id="rId1" /></Relationships>
</file>

<file path=xl/externalLinks/_rels/externalLink262.xml.rels><Relationships xmlns="http://schemas.openxmlformats.org/package/2006/relationships"><Relationship Type="http://schemas.openxmlformats.org/officeDocument/2006/relationships/externalLinkPath" Target="/Users/eric/Documents/Stock%20Models/Pharma/MNPR.xlsx" TargetMode="External" Id="rId1" /></Relationships>
</file>

<file path=xl/externalLinks/_rels/externalLink263.xml.rels><Relationships xmlns="http://schemas.openxmlformats.org/package/2006/relationships"><Relationship Type="http://schemas.openxmlformats.org/officeDocument/2006/relationships/externalLinkPath" Target="/Users/eric/Documents/Stock%20Models/Pharma/ENTX.xlsx" TargetMode="External" Id="rId1" /></Relationships>
</file>

<file path=xl/externalLinks/_rels/externalLink264.xml.rels><Relationships xmlns="http://schemas.openxmlformats.org/package/2006/relationships"><Relationship Type="http://schemas.openxmlformats.org/officeDocument/2006/relationships/externalLinkPath" Target="/Users/eric/Documents/Stock%20Models/Pharma/RGNX.xlsx" TargetMode="External" Id="rId1" /></Relationships>
</file>

<file path=xl/externalLinks/_rels/externalLink265.xml.rels><Relationships xmlns="http://schemas.openxmlformats.org/package/2006/relationships"><Relationship Type="http://schemas.openxmlformats.org/officeDocument/2006/relationships/externalLinkPath" Target="/Users/eric/Documents/Stock%20Models/Pharma/ARVN.xlsx" TargetMode="External" Id="rId1" /></Relationships>
</file>

<file path=xl/externalLinks/_rels/externalLink266.xml.rels><Relationships xmlns="http://schemas.openxmlformats.org/package/2006/relationships"><Relationship Type="http://schemas.openxmlformats.org/officeDocument/2006/relationships/externalLinkPath" Target="/Users/eric/Documents/Stock%20Models/Pharma/ALLO.xlsx" TargetMode="External" Id="rId1" /></Relationships>
</file>

<file path=xl/externalLinks/_rels/externalLink267.xml.rels><Relationships xmlns="http://schemas.openxmlformats.org/package/2006/relationships"><Relationship Type="http://schemas.openxmlformats.org/officeDocument/2006/relationships/externalLinkPath" Target="/Users/eric/Documents/Stock%20Models/Pharma/NNNN.xlsx" TargetMode="External" Id="rId1" /></Relationships>
</file>

<file path=xl/externalLinks/_rels/externalLink268.xml.rels><Relationships xmlns="http://schemas.openxmlformats.org/package/2006/relationships"><Relationship Type="http://schemas.openxmlformats.org/officeDocument/2006/relationships/externalLinkPath" Target="/Users/eric/Documents/Stock%20Models/Pharma/TLRY.xlsx" TargetMode="External" Id="rId1" /></Relationships>
</file>

<file path=xl/externalLinks/_rels/externalLink269.xml.rels><Relationships xmlns="http://schemas.openxmlformats.org/package/2006/relationships"><Relationship Type="http://schemas.openxmlformats.org/officeDocument/2006/relationships/externalLinkPath" Target="/Users/eric/Documents/Stock%20Models/Pharma/KMDA.xlsx" TargetMode="External" Id="rId1" /></Relationships>
</file>

<file path=xl/externalLinks/_rels/externalLink270.xml.rels><Relationships xmlns="http://schemas.openxmlformats.org/package/2006/relationships"><Relationship Type="http://schemas.openxmlformats.org/officeDocument/2006/relationships/externalLinkPath" Target="/Users/eric/Documents/Stock%20Models/Pharma/SLN.xlsx" TargetMode="External" Id="rId1" /></Relationships>
</file>

<file path=xl/externalLinks/_rels/externalLink271.xml.rels><Relationships xmlns="http://schemas.openxmlformats.org/package/2006/relationships"><Relationship Type="http://schemas.openxmlformats.org/officeDocument/2006/relationships/externalLinkPath" Target="/Users/eric/Documents/Stock%20Models/Pharma/CBIO.xlsx" TargetMode="External" Id="rId1" /></Relationships>
</file>

<file path=xl/externalLinks/_rels/externalLink272.xml.rels><Relationships xmlns="http://schemas.openxmlformats.org/package/2006/relationships"><Relationship Type="http://schemas.openxmlformats.org/officeDocument/2006/relationships/externalLinkPath" Target="/Users/eric/Documents/Stock%20Models/Pharma/OCS.xlsx" TargetMode="External" Id="rId1" /></Relationships>
</file>

<file path=xl/externalLinks/_rels/externalLink273.xml.rels><Relationships xmlns="http://schemas.openxmlformats.org/package/2006/relationships"><Relationship Type="http://schemas.openxmlformats.org/officeDocument/2006/relationships/externalLinkPath" Target="/Users/eric/Documents/Stock%20Models/Pharma/PRTA.xlsx" TargetMode="External" Id="rId1" /></Relationships>
</file>

<file path=xl/externalLinks/_rels/externalLink274.xml.rels><Relationships xmlns="http://schemas.openxmlformats.org/package/2006/relationships"><Relationship Type="http://schemas.openxmlformats.org/officeDocument/2006/relationships/externalLinkPath" Target="/Users/eric/Documents/Stock%20Models/Pharma/ALT.xlsx" TargetMode="External" Id="rId1" /></Relationships>
</file>

<file path=xl/externalLinks/_rels/externalLink275.xml.rels><Relationships xmlns="http://schemas.openxmlformats.org/package/2006/relationships"><Relationship Type="http://schemas.openxmlformats.org/officeDocument/2006/relationships/externalLinkPath" Target="/Users/eric/Documents/Stock%20Models/Pharma/AUTL.xlsx" TargetMode="External" Id="rId1" /></Relationships>
</file>

<file path=xl/externalLinks/_rels/externalLink276.xml.rels><Relationships xmlns="http://schemas.openxmlformats.org/package/2006/relationships"><Relationship Type="http://schemas.openxmlformats.org/officeDocument/2006/relationships/externalLinkPath" Target="/Users/eric/Documents/Stock%20Models/Pharma/OVID.xlsx" TargetMode="External" Id="rId1" /></Relationships>
</file>

<file path=xl/externalLinks/_rels/externalLink277.xml.rels><Relationships xmlns="http://schemas.openxmlformats.org/package/2006/relationships"><Relationship Type="http://schemas.openxmlformats.org/officeDocument/2006/relationships/externalLinkPath" Target="/Users/eric/Documents/Stock%20Models/Pharma/YDES.xlsx" TargetMode="External" Id="rId1" /></Relationships>
</file>

<file path=xl/externalLinks/_rels/externalLink278.xml.rels><Relationships xmlns="http://schemas.openxmlformats.org/package/2006/relationships"><Relationship Type="http://schemas.openxmlformats.org/officeDocument/2006/relationships/externalLinkPath" Target="/Users/eric/Documents/Stock%20Models/Pharma/ASMB.xlsx" TargetMode="External" Id="rId1" /></Relationships>
</file>

<file path=xl/externalLinks/_rels/externalLink279.xml.rels><Relationships xmlns="http://schemas.openxmlformats.org/package/2006/relationships"><Relationship Type="http://schemas.openxmlformats.org/officeDocument/2006/relationships/externalLinkPath" Target="/Users/eric/Documents/Stock%20Models/Pharma/EIKN.xlsx" TargetMode="External" Id="rId1" /></Relationships>
</file>

<file path=xl/externalLinks/_rels/externalLink280.xml.rels><Relationships xmlns="http://schemas.openxmlformats.org/package/2006/relationships"><Relationship Type="http://schemas.openxmlformats.org/officeDocument/2006/relationships/externalLinkPath" Target="/Users/eric/Documents/Stock%20Models/Pharma/DMAC.xlsx" TargetMode="External" Id="rId1" /></Relationships>
</file>

<file path=xl/externalLinks/_rels/externalLink281.xml.rels><Relationships xmlns="http://schemas.openxmlformats.org/package/2006/relationships"><Relationship Type="http://schemas.openxmlformats.org/officeDocument/2006/relationships/externalLinkPath" Target="/Users/eric/Documents/Stock%20Models/Pharma/SPRY.xlsx" TargetMode="External" Id="rId1" /></Relationships>
</file>

<file path=xl/externalLinks/_rels/externalLink282.xml.rels><Relationships xmlns="http://schemas.openxmlformats.org/package/2006/relationships"><Relationship Type="http://schemas.openxmlformats.org/officeDocument/2006/relationships/externalLinkPath" Target="/Users/eric/Documents/Stock%20Models/Pharma/TECX.xlsx" TargetMode="External" Id="rId1" /></Relationships>
</file>

<file path=xl/externalLinks/_rels/externalLink283.xml.rels><Relationships xmlns="http://schemas.openxmlformats.org/package/2006/relationships"><Relationship Type="http://schemas.openxmlformats.org/officeDocument/2006/relationships/externalLinkPath" Target="/Users/eric/Documents/Stock%20Models/Pharma/RCEL.xlsx" TargetMode="External" Id="rId1" /></Relationships>
</file>

<file path=xl/externalLinks/_rels/externalLink284.xml.rels><Relationships xmlns="http://schemas.openxmlformats.org/package/2006/relationships"><Relationship Type="http://schemas.openxmlformats.org/officeDocument/2006/relationships/externalLinkPath" Target="/Users/eric/Documents/Stock%20Models/Pharma/PROK.xlsx" TargetMode="External" Id="rId1" /></Relationships>
</file>

<file path=xl/externalLinks/_rels/externalLink285.xml.rels><Relationships xmlns="http://schemas.openxmlformats.org/package/2006/relationships"><Relationship Type="http://schemas.openxmlformats.org/officeDocument/2006/relationships/externalLinkPath" Target="/Users/eric/Documents/Stock%20Models/Pharma/SCTX.xlsx" TargetMode="External" Id="rId1" /></Relationships>
</file>

<file path=xl/externalLinks/_rels/externalLink286.xml.rels><Relationships xmlns="http://schemas.openxmlformats.org/package/2006/relationships"><Relationship Type="http://schemas.openxmlformats.org/officeDocument/2006/relationships/externalLinkPath" Target="/Users/eric/Documents/Stock%20Models/Pharma/CAPR.xlsx" TargetMode="External" Id="rId1" /></Relationships>
</file>

<file path=xl/externalLinks/_rels/externalLink287.xml.rels><Relationships xmlns="http://schemas.openxmlformats.org/package/2006/relationships"><Relationship Type="http://schemas.openxmlformats.org/officeDocument/2006/relationships/externalLinkPath" Target="/Users/eric/Documents/Stock%20Models/Pharma/MYGN.xlsx" TargetMode="External" Id="rId1" /></Relationships>
</file>

<file path=xl/externalLinks/_rels/externalLink288.xml.rels><Relationships xmlns="http://schemas.openxmlformats.org/package/2006/relationships"><Relationship Type="http://schemas.openxmlformats.org/officeDocument/2006/relationships/externalLinkPath" Target="/Users/eric/Documents/Stock%20Models/Pharma/EDIT.xlsx" TargetMode="External" Id="rId1" /></Relationships>
</file>

<file path=xl/externalLinks/_rels/externalLink289.xml.rels><Relationships xmlns="http://schemas.openxmlformats.org/package/2006/relationships"><Relationship Type="http://schemas.openxmlformats.org/officeDocument/2006/relationships/externalLinkPath" Target="/Users/eric/Documents/Stock%20Models/Pharma/ZURA.xlsx" TargetMode="External" Id="rId1" /></Relationships>
</file>

<file path=xl/externalLinks/_rels/externalLink290.xml.rels><Relationships xmlns="http://schemas.openxmlformats.org/package/2006/relationships"><Relationship Type="http://schemas.openxmlformats.org/officeDocument/2006/relationships/externalLinkPath" Target="/Users/eric/Documents/Stock%20Models/Pharma/KYTX.xlsx" TargetMode="External" Id="rId1" /></Relationships>
</file>

<file path=xl/externalLinks/_rels/externalLink291.xml.rels><Relationships xmlns="http://schemas.openxmlformats.org/package/2006/relationships"><Relationship Type="http://schemas.openxmlformats.org/officeDocument/2006/relationships/externalLinkPath" Target="/Users/eric/Documents/Stock%20Models/Pharma/GALT.xlsx" TargetMode="External" Id="rId1" /></Relationships>
</file>

<file path=xl/externalLinks/_rels/externalLink292.xml.rels><Relationships xmlns="http://schemas.openxmlformats.org/package/2006/relationships"><Relationship Type="http://schemas.openxmlformats.org/officeDocument/2006/relationships/externalLinkPath" Target="/Users/eric/Documents/Stock%20Models/Pharma/MPLT.xlsx" TargetMode="External" Id="rId1" /></Relationships>
</file>

<file path=xl/externalLinks/_rels/externalLink293.xml.rels><Relationships xmlns="http://schemas.openxmlformats.org/package/2006/relationships"><Relationship Type="http://schemas.openxmlformats.org/officeDocument/2006/relationships/externalLinkPath" Target="/Users/eric/Documents/Stock%20Models/Pharma/AVIR.xlsx" TargetMode="External" Id="rId1" /></Relationships>
</file>

<file path=xl/externalLinks/_rels/externalLink294.xml.rels><Relationships xmlns="http://schemas.openxmlformats.org/package/2006/relationships"><Relationship Type="http://schemas.openxmlformats.org/officeDocument/2006/relationships/externalLinkPath" Target="/Users/eric/Documents/Stock%20Models/Pharma/INDP.xlsx" TargetMode="External" Id="rId1" /></Relationships>
</file>

<file path=xl/externalLinks/_rels/externalLink295.xml.rels><Relationships xmlns="http://schemas.openxmlformats.org/package/2006/relationships"><Relationship Type="http://schemas.openxmlformats.org/officeDocument/2006/relationships/externalLinkPath" Target="/Users/eric/Documents/Stock%20Models/Pharma/FENC.xlsx" TargetMode="External" Id="rId1" /></Relationships>
</file>

<file path=xl/externalLinks/_rels/externalLink296.xml.rels><Relationships xmlns="http://schemas.openxmlformats.org/package/2006/relationships"><Relationship Type="http://schemas.openxmlformats.org/officeDocument/2006/relationships/externalLinkPath" Target="/Users/eric/Documents/Stock%20Models/Pharma/RZLT.xlsx" TargetMode="External" Id="rId1" /></Relationships>
</file>

<file path=xl/externalLinks/_rels/externalLink297.xml.rels><Relationships xmlns="http://schemas.openxmlformats.org/package/2006/relationships"><Relationship Type="http://schemas.openxmlformats.org/officeDocument/2006/relationships/externalLinkPath" Target="/Users/eric/Documents/Stock%20Models/Pharma/TTRX.xlsx" TargetMode="External" Id="rId1" /></Relationships>
</file>

<file path=xl/externalLinks/_rels/externalLink298.xml.rels><Relationships xmlns="http://schemas.openxmlformats.org/package/2006/relationships"><Relationship Type="http://schemas.openxmlformats.org/officeDocument/2006/relationships/externalLinkPath" Target="/Users/eric/Documents/Stock%20Models/Pharma/EPRX.xlsx" TargetMode="External" Id="rId1" /></Relationships>
</file>

<file path=xl/externalLinks/_rels/externalLink299.xml.rels><Relationships xmlns="http://schemas.openxmlformats.org/package/2006/relationships"><Relationship Type="http://schemas.openxmlformats.org/officeDocument/2006/relationships/externalLinkPath" Target="/Users/eric/Documents/Stock%20Models/Pharma/RLMD.xlsx" TargetMode="External" Id="rId1" /></Relationships>
</file>

<file path=xl/externalLinks/_rels/externalLink300.xml.rels><Relationships xmlns="http://schemas.openxmlformats.org/package/2006/relationships"><Relationship Type="http://schemas.openxmlformats.org/officeDocument/2006/relationships/externalLinkPath" Target="/Users/eric/Documents/Stock%20Models/Pharma/CCCC.xlsx" TargetMode="External" Id="rId1" /></Relationships>
</file>

<file path=xl/externalLinks/_rels/externalLink301.xml.rels><Relationships xmlns="http://schemas.openxmlformats.org/package/2006/relationships"><Relationship Type="http://schemas.openxmlformats.org/officeDocument/2006/relationships/externalLinkPath" Target="/Users/eric/Documents/Stock%20Models/Pharma/SNDL.xlsx" TargetMode="External" Id="rId1" /></Relationships>
</file>

<file path=xl/externalLinks/_rels/externalLink302.xml.rels><Relationships xmlns="http://schemas.openxmlformats.org/package/2006/relationships"><Relationship Type="http://schemas.openxmlformats.org/officeDocument/2006/relationships/externalLinkPath" Target="/Users/eric/Documents/Stock%20Models/Pharma/EBS.xlsx" TargetMode="External" Id="rId1" /></Relationships>
</file>

<file path=xl/externalLinks/_rels/externalLink303.xml.rels><Relationships xmlns="http://schemas.openxmlformats.org/package/2006/relationships"><Relationship Type="http://schemas.openxmlformats.org/officeDocument/2006/relationships/externalLinkPath" Target="/Users/eric/Documents/Stock%20Models/Pharma/ENTA.xlsx" TargetMode="External" Id="rId1" /></Relationships>
</file>

<file path=xl/externalLinks/_rels/externalLink304.xml.rels><Relationships xmlns="http://schemas.openxmlformats.org/package/2006/relationships"><Relationship Type="http://schemas.openxmlformats.org/officeDocument/2006/relationships/externalLinkPath" Target="/Users/eric/Documents/Stock%20Models/Pharma/IRD.xlsx" TargetMode="External" Id="rId1" /></Relationships>
</file>

<file path=xl/externalLinks/_rels/externalLink305.xml.rels><Relationships xmlns="http://schemas.openxmlformats.org/package/2006/relationships"><Relationship Type="http://schemas.openxmlformats.org/officeDocument/2006/relationships/externalLinkPath" Target="/Users/eric/Documents/Stock%20Models/Pharma/GTBP.xlsx" TargetMode="External" Id="rId1" /></Relationships>
</file>

<file path=xl/externalLinks/_rels/externalLink306.xml.rels><Relationships xmlns="http://schemas.openxmlformats.org/package/2006/relationships"><Relationship Type="http://schemas.openxmlformats.org/officeDocument/2006/relationships/externalLinkPath" Target="/Users/eric/Documents/Stock%20Models/Pharma/CGC.xlsx" TargetMode="External" Id="rId1" /></Relationships>
</file>

<file path=xl/externalLinks/_rels/externalLink307.xml.rels><Relationships xmlns="http://schemas.openxmlformats.org/package/2006/relationships"><Relationship Type="http://schemas.openxmlformats.org/officeDocument/2006/relationships/externalLinkPath" Target="/Users/eric/Documents/Stock%20Models/Pharma/ARTV.xlsx" TargetMode="External" Id="rId1" /></Relationships>
</file>

<file path=xl/externalLinks/_rels/externalLink308.xml.rels><Relationships xmlns="http://schemas.openxmlformats.org/package/2006/relationships"><Relationship Type="http://schemas.openxmlformats.org/officeDocument/2006/relationships/externalLinkPath" Target="/Users/eric/Documents/Stock%20Models/Pharma/BNTC.xlsx" TargetMode="External" Id="rId1" /></Relationships>
</file>

<file path=xl/externalLinks/_rels/externalLink309.xml.rels><Relationships xmlns="http://schemas.openxmlformats.org/package/2006/relationships"><Relationship Type="http://schemas.openxmlformats.org/officeDocument/2006/relationships/externalLinkPath" Target="/Users/eric/Documents/Stock%20Models/Pharma/ARCT.xlsx" TargetMode="External" Id="rId1" /></Relationships>
</file>

<file path=xl/externalLinks/_rels/externalLink310.xml.rels><Relationships xmlns="http://schemas.openxmlformats.org/package/2006/relationships"><Relationship Type="http://schemas.openxmlformats.org/officeDocument/2006/relationships/externalLinkPath" Target="/Users/eric/Documents/Stock%20Models/Pharma/IBO.xlsx" TargetMode="External" Id="rId1" /></Relationships>
</file>

<file path=xl/externalLinks/_rels/externalLink311.xml.rels><Relationships xmlns="http://schemas.openxmlformats.org/package/2006/relationships"><Relationship Type="http://schemas.openxmlformats.org/officeDocument/2006/relationships/externalLinkPath" Target="/Users/eric/Documents/Stock%20Models/Pharma/FULC.xlsx" TargetMode="External" Id="rId1" /></Relationships>
</file>

<file path=xl/externalLinks/_rels/externalLink312.xml.rels><Relationships xmlns="http://schemas.openxmlformats.org/package/2006/relationships"><Relationship Type="http://schemas.openxmlformats.org/officeDocument/2006/relationships/externalLinkPath" Target="/Users/eric/Documents/Stock%20Models/Pharma/CYPH.xlsx" TargetMode="External" Id="rId1" /></Relationships>
</file>

<file path=xl/externalLinks/_rels/externalLink313.xml.rels><Relationships xmlns="http://schemas.openxmlformats.org/package/2006/relationships"><Relationship Type="http://schemas.openxmlformats.org/officeDocument/2006/relationships/externalLinkPath" Target="/Users/eric/Documents/Stock%20Models/Pharma/SRZN.xlsx" TargetMode="External" Id="rId1" /></Relationships>
</file>

<file path=xl/externalLinks/_rels/externalLink314.xml.rels><Relationships xmlns="http://schemas.openxmlformats.org/package/2006/relationships"><Relationship Type="http://schemas.openxmlformats.org/officeDocument/2006/relationships/externalLinkPath" Target="/Users/eric/Documents/Stock%20Models/Pharma/AGEN.xlsx" TargetMode="External" Id="rId1" /></Relationships>
</file>

<file path=xl/externalLinks/_rels/externalLink315.xml.rels><Relationships xmlns="http://schemas.openxmlformats.org/package/2006/relationships"><Relationship Type="http://schemas.openxmlformats.org/officeDocument/2006/relationships/externalLinkPath" Target="/Users/eric/Documents/Stock%20Models/Pharma/PALI.xlsx" TargetMode="External" Id="rId1" /></Relationships>
</file>

<file path=xl/externalLinks/_rels/externalLink316.xml.rels><Relationships xmlns="http://schemas.openxmlformats.org/package/2006/relationships"><Relationship Type="http://schemas.openxmlformats.org/officeDocument/2006/relationships/externalLinkPath" Target="/Users/eric/Documents/Stock%20Models/Pharma/ANIK.xlsx" TargetMode="External" Id="rId1" /></Relationships>
</file>

<file path=xl/externalLinks/_rels/externalLink317.xml.rels><Relationships xmlns="http://schemas.openxmlformats.org/package/2006/relationships"><Relationship Type="http://schemas.openxmlformats.org/officeDocument/2006/relationships/externalLinkPath" Target="/Users/eric/Documents/Stock%20Models/Pharma/CATX.xlsx" TargetMode="External" Id="rId1" /></Relationships>
</file>

<file path=xl/externalLinks/_rels/externalLink318.xml.rels><Relationships xmlns="http://schemas.openxmlformats.org/package/2006/relationships"><Relationship Type="http://schemas.openxmlformats.org/officeDocument/2006/relationships/externalLinkPath" Target="/Users/eric/Documents/Stock%20Models/Pharma/OCGN.xlsx" TargetMode="External" Id="rId1" /></Relationships>
</file>

<file path=xl/externalLinks/_rels/externalLink319.xml.rels><Relationships xmlns="http://schemas.openxmlformats.org/package/2006/relationships"><Relationship Type="http://schemas.openxmlformats.org/officeDocument/2006/relationships/externalLinkPath" Target="/Users/eric/Documents/Stock%20Models/Pharma/XFOR.xlsx" TargetMode="External" Id="rId1" /></Relationships>
</file>

<file path=xl/externalLinks/_rels/externalLink320.xml.rels><Relationships xmlns="http://schemas.openxmlformats.org/package/2006/relationships"><Relationship Type="http://schemas.openxmlformats.org/officeDocument/2006/relationships/externalLinkPath" Target="/Users/eric/Documents/Stock%20Models/Pharma/PRLD.xlsx" TargetMode="External" Id="rId1" /></Relationships>
</file>

<file path=xl/externalLinks/_rels/externalLink321.xml.rels><Relationships xmlns="http://schemas.openxmlformats.org/package/2006/relationships"><Relationship Type="http://schemas.openxmlformats.org/officeDocument/2006/relationships/externalLinkPath" Target="/Users/eric/Documents/Stock%20Models/Pharma/RCKT.xlsx" TargetMode="External" Id="rId1" /></Relationships>
</file>

<file path=xl/externalLinks/_rels/externalLink322.xml.rels><Relationships xmlns="http://schemas.openxmlformats.org/package/2006/relationships"><Relationship Type="http://schemas.openxmlformats.org/officeDocument/2006/relationships/externalLinkPath" Target="/Users/eric/Documents/Stock%20Models/Pharma/EYPT.xlsx" TargetMode="External" Id="rId1" /></Relationships>
</file>

<file path=xl/externalLinks/_rels/externalLink323.xml.rels><Relationships xmlns="http://schemas.openxmlformats.org/package/2006/relationships"><Relationship Type="http://schemas.openxmlformats.org/officeDocument/2006/relationships/externalLinkPath" Target="/Users/eric/Documents/Stock%20Models/Pharma/ABEO.xlsx" TargetMode="External" Id="rId1" /></Relationships>
</file>

<file path=xl/externalLinks/_rels/externalLink324.xml.rels><Relationships xmlns="http://schemas.openxmlformats.org/package/2006/relationships"><Relationship Type="http://schemas.openxmlformats.org/officeDocument/2006/relationships/externalLinkPath" Target="/Users/eric/Documents/Stock%20Models/Pharma/LCTX.xlsx" TargetMode="External" Id="rId1" /></Relationships>
</file>

<file path=xl/externalLinks/_rels/externalLink325.xml.rels><Relationships xmlns="http://schemas.openxmlformats.org/package/2006/relationships"><Relationship Type="http://schemas.openxmlformats.org/officeDocument/2006/relationships/externalLinkPath" Target="/Users/eric/Documents/Stock%20Models/Pharma/IPSC.xlsx" TargetMode="External" Id="rId1" /></Relationships>
</file>

<file path=xl/externalLinks/_rels/externalLink326.xml.rels><Relationships xmlns="http://schemas.openxmlformats.org/package/2006/relationships"><Relationship Type="http://schemas.openxmlformats.org/officeDocument/2006/relationships/externalLinkPath" Target="/Users/eric/Documents/Stock%20Models/Pharma/VNDA.xlsx" TargetMode="External" Id="rId1" /></Relationships>
</file>

<file path=xl/externalLinks/_rels/externalLink327.xml.rels><Relationships xmlns="http://schemas.openxmlformats.org/package/2006/relationships"><Relationship Type="http://schemas.openxmlformats.org/officeDocument/2006/relationships/externalLinkPath" Target="/Users/eric/Documents/Stock%20Models/Pharma/ACIU.xlsx" TargetMode="External" Id="rId1" /></Relationships>
</file>

<file path=xl/externalLinks/_rels/externalLink328.xml.rels><Relationships xmlns="http://schemas.openxmlformats.org/package/2006/relationships"><Relationship Type="http://schemas.openxmlformats.org/officeDocument/2006/relationships/externalLinkPath" Target="/Users/eric/Documents/Stock%20Models/Pharma/BCYC.xlsx" TargetMode="External" Id="rId1" /></Relationships>
</file>

<file path=xl/externalLinks/_rels/externalLink329.xml.rels><Relationships xmlns="http://schemas.openxmlformats.org/package/2006/relationships"><Relationship Type="http://schemas.openxmlformats.org/officeDocument/2006/relationships/externalLinkPath" Target="/Users/eric/Documents/Stock%20Models/Pharma/CABA.xlsx" TargetMode="External" Id="rId1" /></Relationships>
</file>

<file path=xl/externalLinks/_rels/externalLink330.xml.rels><Relationships xmlns="http://schemas.openxmlformats.org/package/2006/relationships"><Relationship Type="http://schemas.openxmlformats.org/officeDocument/2006/relationships/externalLinkPath" Target="/Users/eric/Documents/Stock%20Models/Pharma/VOGX.xlsx" TargetMode="External" Id="rId1" /></Relationships>
</file>

<file path=xl/externalLinks/_rels/externalLink331.xml.rels><Relationships xmlns="http://schemas.openxmlformats.org/package/2006/relationships"><Relationship Type="http://schemas.openxmlformats.org/officeDocument/2006/relationships/externalLinkPath" Target="/Users/eric/Documents/Stock%20Models/Pharma/AMRN.xlsx" TargetMode="External" Id="rId1" /></Relationships>
</file>

<file path=xl/externalLinks/_rels/externalLink332.xml.rels><Relationships xmlns="http://schemas.openxmlformats.org/package/2006/relationships"><Relationship Type="http://schemas.openxmlformats.org/officeDocument/2006/relationships/externalLinkPath" Target="/Users/eric/Documents/Stock%20Models/Pharma/IMRX.xlsx" TargetMode="External" Id="rId1" /></Relationships>
</file>

<file path=xl/externalLinks/_rels/externalLink333.xml.rels><Relationships xmlns="http://schemas.openxmlformats.org/package/2006/relationships"><Relationship Type="http://schemas.openxmlformats.org/officeDocument/2006/relationships/externalLinkPath" Target="/Users/eric/Documents/Stock%20Models/Pharma/IKT.xlsx" TargetMode="External" Id="rId1" /></Relationships>
</file>

<file path=xl/externalLinks/_rels/externalLink334.xml.rels><Relationships xmlns="http://schemas.openxmlformats.org/package/2006/relationships"><Relationship Type="http://schemas.openxmlformats.org/officeDocument/2006/relationships/externalLinkPath" Target="/Users/eric/Documents/Stock%20Models/Pharma/SABS.xlsx" TargetMode="External" Id="rId1" /></Relationships>
</file>

<file path=xl/externalLinks/_rels/externalLink335.xml.rels><Relationships xmlns="http://schemas.openxmlformats.org/package/2006/relationships"><Relationship Type="http://schemas.openxmlformats.org/officeDocument/2006/relationships/externalLinkPath" Target="/Users/eric/Documents/Stock%20Models/Pharma/HELP.xlsx" TargetMode="External" Id="rId1" /></Relationships>
</file>

<file path=xl/externalLinks/_rels/externalLink336.xml.rels><Relationships xmlns="http://schemas.openxmlformats.org/package/2006/relationships"><Relationship Type="http://schemas.openxmlformats.org/officeDocument/2006/relationships/externalLinkPath" Target="/Users/eric/Documents/Stock%20Models/Pharma/SIGA.xlsx" TargetMode="External" Id="rId1" /></Relationships>
</file>

<file path=xl/externalLinks/_rels/externalLink337.xml.rels><Relationships xmlns="http://schemas.openxmlformats.org/package/2006/relationships"><Relationship Type="http://schemas.openxmlformats.org/officeDocument/2006/relationships/externalLinkPath" Target="/Users/eric/Documents/Stock%20Models/Pharma/LXEO.xlsx" TargetMode="External" Id="rId1" /></Relationships>
</file>

<file path=xl/externalLinks/_rels/externalLink338.xml.rels><Relationships xmlns="http://schemas.openxmlformats.org/package/2006/relationships"><Relationship Type="http://schemas.openxmlformats.org/officeDocument/2006/relationships/externalLinkPath" Target="/Users/eric/Documents/Stock%20Models/Pharma/BBOT.xlsx" TargetMode="External" Id="rId1" /></Relationships>
</file>

<file path=xl/externalLinks/_rels/externalLink339.xml.rels><Relationships xmlns="http://schemas.openxmlformats.org/package/2006/relationships"><Relationship Type="http://schemas.openxmlformats.org/officeDocument/2006/relationships/externalLinkPath" Target="/Users/eric/Documents/Stock%20Models/Pharma/ACB.xlsx" TargetMode="External" Id="rId1" /></Relationships>
</file>

<file path=xl/externalLinks/_rels/externalLink340.xml.rels><Relationships xmlns="http://schemas.openxmlformats.org/package/2006/relationships"><Relationship Type="http://schemas.openxmlformats.org/officeDocument/2006/relationships/externalLinkPath" Target="/Users/eric/Documents/Stock%20Models/Pharma/HITI.xlsx" TargetMode="External" Id="rId1" /></Relationships>
</file>

<file path=xl/externalLinks/_rels/externalLink341.xml.rels><Relationships xmlns="http://schemas.openxmlformats.org/package/2006/relationships"><Relationship Type="http://schemas.openxmlformats.org/officeDocument/2006/relationships/externalLinkPath" Target="/Users/eric/Documents/Stock%20Models/Pharma/QTTB.xlsx" TargetMode="External" Id="rId1" /></Relationships>
</file>

<file path=xl/externalLinks/_rels/externalLink342.xml.rels><Relationships xmlns="http://schemas.openxmlformats.org/package/2006/relationships"><Relationship Type="http://schemas.openxmlformats.org/officeDocument/2006/relationships/externalLinkPath" Target="/Users/eric/Documents/Stock%20Models/Pharma/TLSI.xlsx" TargetMode="External" Id="rId1" /></Relationships>
</file>

<file path=xl/externalLinks/_rels/externalLink343.xml.rels><Relationships xmlns="http://schemas.openxmlformats.org/package/2006/relationships"><Relationship Type="http://schemas.openxmlformats.org/officeDocument/2006/relationships/externalLinkPath" Target="/Users/eric/Documents/Stock%20Models/Pharma/BIOA.xlsx" TargetMode="External" Id="rId1" /></Relationships>
</file>

<file path=xl/externalLinks/_rels/externalLink344.xml.rels><Relationships xmlns="http://schemas.openxmlformats.org/package/2006/relationships"><Relationship Type="http://schemas.openxmlformats.org/officeDocument/2006/relationships/externalLinkPath" Target="/Users/eric/Documents/Stock%20Models/Pharma/KROS.xlsx" TargetMode="External" Id="rId1" /></Relationships>
</file>

<file path=xl/externalLinks/_rels/externalLink345.xml.rels><Relationships xmlns="http://schemas.openxmlformats.org/package/2006/relationships"><Relationship Type="http://schemas.openxmlformats.org/officeDocument/2006/relationships/externalLinkPath" Target="/Users/eric/Documents/Stock%20Models/Pharma/FATE.xlsx" TargetMode="External" Id="rId1" /></Relationships>
</file>

<file path=xl/externalLinks/_rels/externalLink346.xml.rels><Relationships xmlns="http://schemas.openxmlformats.org/package/2006/relationships"><Relationship Type="http://schemas.openxmlformats.org/officeDocument/2006/relationships/externalLinkPath" Target="/Users/eric/Documents/Stock%20Models/Pharma/GLSI.xlsx" TargetMode="External" Id="rId1" /></Relationships>
</file>

<file path=xl/externalLinks/_rels/externalLink347.xml.rels><Relationships xmlns="http://schemas.openxmlformats.org/package/2006/relationships"><Relationship Type="http://schemas.openxmlformats.org/officeDocument/2006/relationships/externalLinkPath" Target="/Users/eric/Documents/Stock%20Models/Pharma/PLX.xlsx" TargetMode="External" Id="rId1" /></Relationships>
</file>

<file path=xl/externalLinks/_rels/externalLink348.xml.rels><Relationships xmlns="http://schemas.openxmlformats.org/package/2006/relationships"><Relationship Type="http://schemas.openxmlformats.org/officeDocument/2006/relationships/externalLinkPath" Target="/Users/eric/Documents/Stock%20Models/Pharma/MGNX.xlsx" TargetMode="External" Id="rId1" /></Relationships>
</file>

<file path=xl/externalLinks/_rels/externalLink349.xml.rels><Relationships xmlns="http://schemas.openxmlformats.org/package/2006/relationships"><Relationship Type="http://schemas.openxmlformats.org/officeDocument/2006/relationships/externalLinkPath" Target="/Users/eric/Documents/Stock%20Models/Pharma/LRMR.xlsx" TargetMode="External" Id="rId1" /></Relationships>
</file>

<file path=xl/externalLinks/_rels/externalLink350.xml.rels><Relationships xmlns="http://schemas.openxmlformats.org/package/2006/relationships"><Relationship Type="http://schemas.openxmlformats.org/officeDocument/2006/relationships/externalLinkPath" Target="/Users/eric/Documents/Stock%20Models/Pharma/ALEC.xlsx" TargetMode="External" Id="rId1" /></Relationships>
</file>

<file path=xl/externalLinks/_rels/externalLink351.xml.rels><Relationships xmlns="http://schemas.openxmlformats.org/package/2006/relationships"><Relationship Type="http://schemas.openxmlformats.org/officeDocument/2006/relationships/externalLinkPath" Target="/Users/eric/Documents/Stock%20Models/Pharma/MDCX.xlsx" TargetMode="External" Id="rId1" /></Relationships>
</file>

<file path=xl/externalLinks/_rels/externalLink352.xml.rels><Relationships xmlns="http://schemas.openxmlformats.org/package/2006/relationships"><Relationship Type="http://schemas.openxmlformats.org/officeDocument/2006/relationships/externalLinkPath" Target="/Users/eric/Documents/Stock%20Models/Pharma/LIMN.xlsx" TargetMode="External" Id="rId1" /></Relationships>
</file>

<file path=xl/externalLinks/_rels/externalLink353.xml.rels><Relationships xmlns="http://schemas.openxmlformats.org/package/2006/relationships"><Relationship Type="http://schemas.openxmlformats.org/officeDocument/2006/relationships/externalLinkPath" Target="/Users/eric/Documents/Stock%20Models/Pharma/LYEL.xlsx" TargetMode="External" Id="rId1" /></Relationships>
</file>

<file path=xl/externalLinks/_rels/externalLink354.xml.rels><Relationships xmlns="http://schemas.openxmlformats.org/package/2006/relationships"><Relationship Type="http://schemas.openxmlformats.org/officeDocument/2006/relationships/externalLinkPath" Target="/Users/eric/Documents/Stock%20Models/Pharma/RNAC.xlsx" TargetMode="External" Id="rId1" /></Relationships>
</file>

<file path=xl/externalLinks/_rels/externalLink355.xml.rels><Relationships xmlns="http://schemas.openxmlformats.org/package/2006/relationships"><Relationship Type="http://schemas.openxmlformats.org/officeDocument/2006/relationships/externalLinkPath" Target="/Users/eric/Documents/Stock%20Models/Pharma/CAMP.xlsx" TargetMode="External" Id="rId1" /></Relationships>
</file>

<file path=xl/externalLinks/_rels/externalLink356.xml.rels><Relationships xmlns="http://schemas.openxmlformats.org/package/2006/relationships"><Relationship Type="http://schemas.openxmlformats.org/officeDocument/2006/relationships/externalLinkPath" Target="/Users/eric/Documents/Stock%20Models/Pharma/CGEN.xlsx" TargetMode="External" Id="rId1" /></Relationships>
</file>

<file path=xl/externalLinks/_rels/externalLink357.xml.rels><Relationships xmlns="http://schemas.openxmlformats.org/package/2006/relationships"><Relationship Type="http://schemas.openxmlformats.org/officeDocument/2006/relationships/externalLinkPath" Target="/Users/eric/Documents/Stock%20Models/Pharma/EVMN.xlsx" TargetMode="External" Id="rId1" /></Relationships>
</file>

<file path=xl/externalLinks/_rels/externalLink358.xml.rels><Relationships xmlns="http://schemas.openxmlformats.org/package/2006/relationships"><Relationship Type="http://schemas.openxmlformats.org/officeDocument/2006/relationships/externalLinkPath" Target="/Users/eric/Documents/Stock%20Models/Pharma/XGN.xlsx" TargetMode="External" Id="rId1" /></Relationships>
</file>

<file path=xl/externalLinks/_rels/externalLink359.xml.rels><Relationships xmlns="http://schemas.openxmlformats.org/package/2006/relationships"><Relationship Type="http://schemas.openxmlformats.org/officeDocument/2006/relationships/externalLinkPath" Target="/Users/eric/Documents/Stock%20Models/Pharma/TRDA.xlsx" TargetMode="External" Id="rId1" /></Relationships>
</file>

<file path=xl/externalLinks/_rels/externalLink360.xml.rels><Relationships xmlns="http://schemas.openxmlformats.org/package/2006/relationships"><Relationship Type="http://schemas.openxmlformats.org/officeDocument/2006/relationships/externalLinkPath" Target="/Users/eric/Documents/Stock%20Models/Pharma/AKBA.xlsx" TargetMode="External" Id="rId1" /></Relationships>
</file>

<file path=xl/externalLinks/_rels/externalLink361.xml.rels><Relationships xmlns="http://schemas.openxmlformats.org/package/2006/relationships"><Relationship Type="http://schemas.openxmlformats.org/officeDocument/2006/relationships/externalLinkPath" Target="/Users/eric/Documents/Stock%20Models/Pharma/ELDN.xlsx" TargetMode="External" Id="rId1" /></Relationships>
</file>

<file path=xl/externalLinks/_rels/externalLink362.xml.rels><Relationships xmlns="http://schemas.openxmlformats.org/package/2006/relationships"><Relationship Type="http://schemas.openxmlformats.org/officeDocument/2006/relationships/externalLinkPath" Target="/Users/eric/Documents/Stock%20Models/Pharma/IVVD.xlsx" TargetMode="External" Id="rId1" /></Relationships>
</file>

<file path=xl/externalLinks/_rels/externalLink363.xml.rels><Relationships xmlns="http://schemas.openxmlformats.org/package/2006/relationships"><Relationship Type="http://schemas.openxmlformats.org/officeDocument/2006/relationships/externalLinkPath" Target="/Users/eric/Documents/Stock%20Models/Pharma/STRO.xlsx" TargetMode="External" Id="rId1" /></Relationships>
</file>

<file path=xl/externalLinks/_rels/externalLink364.xml.rels><Relationships xmlns="http://schemas.openxmlformats.org/package/2006/relationships"><Relationship Type="http://schemas.openxmlformats.org/officeDocument/2006/relationships/externalLinkPath" Target="/Users/eric/Documents/Stock%20Models/Pharma/PEPG.xlsx" TargetMode="External" Id="rId1" /></Relationships>
</file>

<file path=xl/externalLinks/_rels/externalLink365.xml.rels><Relationships xmlns="http://schemas.openxmlformats.org/package/2006/relationships"><Relationship Type="http://schemas.openxmlformats.org/officeDocument/2006/relationships/externalLinkPath" Target="/Users/eric/Documents/Stock%20Models/Pharma/ADCT.xlsx" TargetMode="External" Id="rId1" /></Relationships>
</file>

<file path=xl/externalLinks/_rels/externalLink366.xml.rels><Relationships xmlns="http://schemas.openxmlformats.org/package/2006/relationships"><Relationship Type="http://schemas.openxmlformats.org/officeDocument/2006/relationships/externalLinkPath" Target="/Users/eric/Documents/Stock%20Models/Pharma/SLGL.xlsx" TargetMode="External" Id="rId1" /></Relationships>
</file>

<file path=xl/externalLinks/_rels/externalLink367.xml.rels><Relationships xmlns="http://schemas.openxmlformats.org/package/2006/relationships"><Relationship Type="http://schemas.openxmlformats.org/officeDocument/2006/relationships/externalLinkPath" Target="/Users/eric/Documents/Stock%20Models/Pharma/ACOG.xlsx" TargetMode="External" Id="rId1" /></Relationships>
</file>

<file path=xl/externalLinks/_rels/externalLink368.xml.rels><Relationships xmlns="http://schemas.openxmlformats.org/package/2006/relationships"><Relationship Type="http://schemas.openxmlformats.org/officeDocument/2006/relationships/externalLinkPath" Target="/Users/eric/Documents/Stock%20Models/Pharma/SION.xlsx" TargetMode="External" Id="rId1" /></Relationships>
</file>

<file path=xl/externalLinks/_rels/externalLink369.xml.rels><Relationships xmlns="http://schemas.openxmlformats.org/package/2006/relationships"><Relationship Type="http://schemas.openxmlformats.org/officeDocument/2006/relationships/externalLinkPath" Target="/Users/eric/Documents/Stock%20Models/Pharma/ORMP.xlsx" TargetMode="External" Id="rId1" /></Relationships>
</file>

<file path=xl/externalLinks/_rels/externalLink370.xml.rels><Relationships xmlns="http://schemas.openxmlformats.org/package/2006/relationships"><Relationship Type="http://schemas.openxmlformats.org/officeDocument/2006/relationships/externalLinkPath" Target="/Users/eric/Documents/Stock%20Models/Pharma/WHWK.xlsx" TargetMode="External" Id="rId1" /></Relationships>
</file>

<file path=xl/externalLinks/_rels/externalLink371.xml.rels><Relationships xmlns="http://schemas.openxmlformats.org/package/2006/relationships"><Relationship Type="http://schemas.openxmlformats.org/officeDocument/2006/relationships/externalLinkPath" Target="/Users/eric/Documents/Stock%20Models/Pharma/CTNM.xlsx" TargetMode="External" Id="rId1" /></Relationships>
</file>

<file path=xl/externalLinks/_rels/externalLink372.xml.rels><Relationships xmlns="http://schemas.openxmlformats.org/package/2006/relationships"><Relationship Type="http://schemas.openxmlformats.org/officeDocument/2006/relationships/externalLinkPath" Target="/Users/eric/Documents/Stock%20Models/Pharma/DTIL.xlsx" TargetMode="External" Id="rId1" /></Relationships>
</file>

<file path=xl/externalLinks/_rels/externalLink373.xml.rels><Relationships xmlns="http://schemas.openxmlformats.org/package/2006/relationships"><Relationship Type="http://schemas.openxmlformats.org/officeDocument/2006/relationships/externalLinkPath" Target="/Users/eric/Documents/Stock%20Models/Pharma/CMPX.xlsx" TargetMode="External" Id="rId1" /></Relationships>
</file>

<file path=xl/externalLinks/_rels/externalLink374.xml.rels><Relationships xmlns="http://schemas.openxmlformats.org/package/2006/relationships"><Relationship Type="http://schemas.openxmlformats.org/officeDocument/2006/relationships/externalLinkPath" Target="/Users/eric/Documents/Stock%20Models/Pharma/CHRS.xlsx" TargetMode="External" Id="rId1" /></Relationships>
</file>

<file path=xl/externalLinks/_rels/externalLink375.xml.rels><Relationships xmlns="http://schemas.openxmlformats.org/package/2006/relationships"><Relationship Type="http://schemas.openxmlformats.org/officeDocument/2006/relationships/externalLinkPath" Target="/Users/eric/Documents/Stock%20Models/Pharma/PRQR.xlsx" TargetMode="External" Id="rId1" /></Relationships>
</file>

<file path=xl/externalLinks/_rels/externalLink376.xml.rels><Relationships xmlns="http://schemas.openxmlformats.org/package/2006/relationships"><Relationship Type="http://schemas.openxmlformats.org/officeDocument/2006/relationships/externalLinkPath" Target="/Users/eric/Documents/Stock%20Models/Pharma/ZNTL.xlsx" TargetMode="External" Id="rId1" /></Relationships>
</file>

<file path=xl/externalLinks/_rels/externalLink377.xml.rels><Relationships xmlns="http://schemas.openxmlformats.org/package/2006/relationships"><Relationship Type="http://schemas.openxmlformats.org/officeDocument/2006/relationships/externalLinkPath" Target="/Users/eric/Documents/Stock%20Models/Pharma/MDWD.xlsx" TargetMode="External" Id="rId1" /></Relationships>
</file>

<file path=xl/externalLinks/_rels/externalLink378.xml.rels><Relationships xmlns="http://schemas.openxmlformats.org/package/2006/relationships"><Relationship Type="http://schemas.openxmlformats.org/officeDocument/2006/relationships/externalLinkPath" Target="/Users/eric/Documents/Stock%20Models/Pharma/KRSA.xlsx" TargetMode="External" Id="rId1" /></Relationships>
</file>

<file path=xl/externalLinks/_rels/externalLink379.xml.rels><Relationships xmlns="http://schemas.openxmlformats.org/package/2006/relationships"><Relationship Type="http://schemas.openxmlformats.org/officeDocument/2006/relationships/externalLinkPath" Target="/Users/eric/Documents/Stock%20Models/Pharma/UPB.xlsx" TargetMode="External" Id="rId1" /></Relationships>
</file>

<file path=xl/externalLinks/_rels/externalLink380.xml.rels><Relationships xmlns="http://schemas.openxmlformats.org/package/2006/relationships"><Relationship Type="http://schemas.openxmlformats.org/officeDocument/2006/relationships/externalLinkPath" Target="/Users/eric/Documents/Stock%20Models/Pharma/MENS.xlsx" TargetMode="External" Id="rId1" /></Relationships>
</file>

<file path=xl/externalLinks/_rels/externalLink381.xml.rels><Relationships xmlns="http://schemas.openxmlformats.org/package/2006/relationships"><Relationship Type="http://schemas.openxmlformats.org/officeDocument/2006/relationships/externalLinkPath" Target="/Users/eric/Documents/Stock%20Models/Pharma/PYXS.xlsx" TargetMode="External" Id="rId1" /></Relationships>
</file>

<file path=xl/externalLinks/_rels/externalLink382.xml.rels><Relationships xmlns="http://schemas.openxmlformats.org/package/2006/relationships"><Relationship Type="http://schemas.openxmlformats.org/officeDocument/2006/relationships/externalLinkPath" Target="/Users/eric/Documents/Stock%20Models/Pharma/CNTN.xlsx" TargetMode="External" Id="rId1" /></Relationships>
</file>

<file path=xl/externalLinks/_rels/externalLink383.xml.rels><Relationships xmlns="http://schemas.openxmlformats.org/package/2006/relationships"><Relationship Type="http://schemas.openxmlformats.org/officeDocument/2006/relationships/externalLinkPath" Target="/Users/eric/Documents/Stock%20Models/Pharma/ALXO.xlsx" TargetMode="External" Id="rId1" /></Relationships>
</file>

<file path=xl/externalLinks/_rels/externalLink384.xml.rels><Relationships xmlns="http://schemas.openxmlformats.org/package/2006/relationships"><Relationship Type="http://schemas.openxmlformats.org/officeDocument/2006/relationships/externalLinkPath" Target="/Users/eric/Documents/Stock%20Models/Pharma/NBP.xlsx" TargetMode="External" Id="rId1" /></Relationships>
</file>

<file path=xl/externalLinks/_rels/externalLink385.xml.rels><Relationships xmlns="http://schemas.openxmlformats.org/package/2006/relationships"><Relationship Type="http://schemas.openxmlformats.org/officeDocument/2006/relationships/externalLinkPath" Target="/Users/eric/Documents/Stock%20Models/Pharma/CURX.xlsx" TargetMode="External" Id="rId1" /></Relationships>
</file>

<file path=xl/externalLinks/_rels/externalLink386.xml.rels><Relationships xmlns="http://schemas.openxmlformats.org/package/2006/relationships"><Relationship Type="http://schemas.openxmlformats.org/officeDocument/2006/relationships/externalLinkPath" Target="/Users/eric/Documents/Stock%20Models/Pharma/MOLN.xlsx" TargetMode="External" Id="rId1" /></Relationships>
</file>

<file path=xl/externalLinks/_rels/externalLink387.xml.rels><Relationships xmlns="http://schemas.openxmlformats.org/package/2006/relationships"><Relationship Type="http://schemas.openxmlformats.org/officeDocument/2006/relationships/externalLinkPath" Target="/Users/eric/Documents/Stock%20Models/Pharma/DERM.xlsx" TargetMode="External" Id="rId1" /></Relationships>
</file>

<file path=xl/externalLinks/_rels/externalLink388.xml.rels><Relationships xmlns="http://schemas.openxmlformats.org/package/2006/relationships"><Relationship Type="http://schemas.openxmlformats.org/officeDocument/2006/relationships/externalLinkPath" Target="/Users/eric/Documents/Stock%20Models/Pharma/IPHA.xlsx" TargetMode="External" Id="rId1" /></Relationships>
</file>

<file path=xl/externalLinks/_rels/externalLink389.xml.rels><Relationships xmlns="http://schemas.openxmlformats.org/package/2006/relationships"><Relationship Type="http://schemas.openxmlformats.org/officeDocument/2006/relationships/externalLinkPath" Target="/Users/eric/Documents/Stock%20Models/Pharma/TARA.xlsx" TargetMode="External" Id="rId1" /></Relationships>
</file>

<file path=xl/externalLinks/_rels/externalLink390.xml.rels><Relationships xmlns="http://schemas.openxmlformats.org/package/2006/relationships"><Relationship Type="http://schemas.openxmlformats.org/officeDocument/2006/relationships/externalLinkPath" Target="/Users/eric/Documents/Stock%20Models/Pharma/RNA.xlsx" TargetMode="External" Id="rId1" /></Relationships>
</file>

<file path=xl/externalLinks/_rels/externalLink391.xml.rels><Relationships xmlns="http://schemas.openxmlformats.org/package/2006/relationships"><Relationship Type="http://schemas.openxmlformats.org/officeDocument/2006/relationships/externalLinkPath" Target="/Users/eric/Documents/Stock%20Models/Pharma/NKTX.xlsx" TargetMode="External" Id="rId1" /></Relationships>
</file>

<file path=xl/externalLinks/_rels/externalLink392.xml.rels><Relationships xmlns="http://schemas.openxmlformats.org/package/2006/relationships"><Relationship Type="http://schemas.openxmlformats.org/officeDocument/2006/relationships/externalLinkPath" Target="/Users/eric/Documents/Stock%20Models/Pharma/ORGO.xlsx" TargetMode="External" Id="rId1" /></Relationships>
</file>

<file path=xl/externalLinks/_rels/externalLink393.xml.rels><Relationships xmlns="http://schemas.openxmlformats.org/package/2006/relationships"><Relationship Type="http://schemas.openxmlformats.org/officeDocument/2006/relationships/externalLinkPath" Target="/Users/eric/Documents/Stock%20Models/Pharma/ANTX.xlsx" TargetMode="External" Id="rId1" /></Relationships>
</file>

<file path=xl/externalLinks/_rels/externalLink394.xml.rels><Relationships xmlns="http://schemas.openxmlformats.org/package/2006/relationships"><Relationship Type="http://schemas.openxmlformats.org/officeDocument/2006/relationships/externalLinkPath" Target="/Users/eric/Documents/Stock%20Models/Pharma/NGEN.xlsx" TargetMode="External" Id="rId1" /></Relationships>
</file>

<file path=xl/externalLinks/_rels/externalLink395.xml.rels><Relationships xmlns="http://schemas.openxmlformats.org/package/2006/relationships"><Relationship Type="http://schemas.openxmlformats.org/officeDocument/2006/relationships/externalLinkPath" Target="/Users/eric/Documents/Stock%20Models/Pharma/ARMP.xlsx" TargetMode="External" Id="rId1" /></Relationships>
</file>

<file path=xl/externalLinks/_rels/externalLink396.xml.rels><Relationships xmlns="http://schemas.openxmlformats.org/package/2006/relationships"><Relationship Type="http://schemas.openxmlformats.org/officeDocument/2006/relationships/externalLinkPath" Target="/Users/eric/Documents/Stock%20Models/Pharma/KRRO.xlsx" TargetMode="External" Id="rId1" /></Relationships>
</file>

<file path=xl/externalLinks/_rels/externalLink397.xml.rels><Relationships xmlns="http://schemas.openxmlformats.org/package/2006/relationships"><Relationship Type="http://schemas.openxmlformats.org/officeDocument/2006/relationships/externalLinkPath" Target="/Users/eric/Documents/Stock%20Models/Pharma/ABOS.xlsx" TargetMode="External" Id="rId1" /></Relationships>
</file>

<file path=xl/externalLinks/_rels/externalLink398.xml.rels><Relationships xmlns="http://schemas.openxmlformats.org/package/2006/relationships"><Relationship Type="http://schemas.openxmlformats.org/officeDocument/2006/relationships/externalLinkPath" Target="/Users/eric/Documents/Stock%20Models/Pharma/AVXL.xlsx" TargetMode="External" Id="rId1" /></Relationships>
</file>

<file path=xl/externalLinks/_rels/externalLink399.xml.rels><Relationships xmlns="http://schemas.openxmlformats.org/package/2006/relationships"><Relationship Type="http://schemas.openxmlformats.org/officeDocument/2006/relationships/externalLinkPath" Target="/Users/eric/Documents/Stock%20Models/Pharma/CUE.xlsx" TargetMode="External" Id="rId1" /></Relationships>
</file>

<file path=xl/externalLinks/_rels/externalLink400.xml.rels><Relationships xmlns="http://schemas.openxmlformats.org/package/2006/relationships"><Relationship Type="http://schemas.openxmlformats.org/officeDocument/2006/relationships/externalLinkPath" Target="/Users/eric/Documents/Stock%20Models/Pharma/HUMA.xlsx" TargetMode="External" Id="rId1" /></Relationships>
</file>

<file path=xl/externalLinks/_rels/externalLink401.xml.rels><Relationships xmlns="http://schemas.openxmlformats.org/package/2006/relationships"><Relationship Type="http://schemas.openxmlformats.org/officeDocument/2006/relationships/externalLinkPath" Target="/Users/eric/Documents/Stock%20Models/Pharma/OTLK.xlsx" TargetMode="External" Id="rId1" /></Relationships>
</file>

<file path=xl/externalLinks/_rels/externalLink402.xml.rels><Relationships xmlns="http://schemas.openxmlformats.org/package/2006/relationships"><Relationship Type="http://schemas.openxmlformats.org/officeDocument/2006/relationships/externalLinkPath" Target="/Users/eric/Documents/Stock%20Models/Pharma/VYGR.xlsx" TargetMode="External" Id="rId1" /></Relationships>
</file>

<file path=xl/externalLinks/_rels/externalLink403.xml.rels><Relationships xmlns="http://schemas.openxmlformats.org/package/2006/relationships"><Relationship Type="http://schemas.openxmlformats.org/officeDocument/2006/relationships/externalLinkPath" Target="/Users/eric/Documents/Stock%20Models/Pharma/SPRB.xlsx" TargetMode="External" Id="rId1" /></Relationships>
</file>

<file path=xl/externalLinks/_rels/externalLink404.xml.rels><Relationships xmlns="http://schemas.openxmlformats.org/package/2006/relationships"><Relationship Type="http://schemas.openxmlformats.org/officeDocument/2006/relationships/externalLinkPath" Target="/Users/eric/Documents/Stock%20Models/Pharma/NRXP.xlsx" TargetMode="External" Id="rId1" /></Relationships>
</file>

<file path=xl/externalLinks/_rels/externalLink405.xml.rels><Relationships xmlns="http://schemas.openxmlformats.org/package/2006/relationships"><Relationship Type="http://schemas.openxmlformats.org/officeDocument/2006/relationships/externalLinkPath" Target="/Users/eric/Documents/Stock%20Models/Pharma/NERV.xlsx" TargetMode="External" Id="rId1" /></Relationships>
</file>

<file path=xl/externalLinks/_rels/externalLink406.xml.rels><Relationships xmlns="http://schemas.openxmlformats.org/package/2006/relationships"><Relationship Type="http://schemas.openxmlformats.org/officeDocument/2006/relationships/externalLinkPath" Target="/Users/eric/Documents/Stock%20Models/Pharma/HURA.xlsx" TargetMode="External" Id="rId1" /></Relationships>
</file>

<file path=xl/externalLinks/_rels/externalLink407.xml.rels><Relationships xmlns="http://schemas.openxmlformats.org/package/2006/relationships"><Relationship Type="http://schemas.openxmlformats.org/officeDocument/2006/relationships/externalLinkPath" Target="/Users/eric/Documents/Stock%20Models/Pharma/ENGN.xlsx" TargetMode="External" Id="rId1" /></Relationships>
</file>

<file path=xl/externalLinks/_rels/externalLink408.xml.rels><Relationships xmlns="http://schemas.openxmlformats.org/package/2006/relationships"><Relationship Type="http://schemas.openxmlformats.org/officeDocument/2006/relationships/externalLinkPath" Target="/Users/eric/Documents/Stock%20Models/Pharma/CRDL.xlsx" TargetMode="External" Id="rId1" /></Relationships>
</file>

<file path=xl/externalLinks/_rels/externalLink409.xml.rels><Relationships xmlns="http://schemas.openxmlformats.org/package/2006/relationships"><Relationship Type="http://schemas.openxmlformats.org/officeDocument/2006/relationships/externalLinkPath" Target="/Users/eric/Documents/Stock%20Models/Pharma/FHTX.xlsx" TargetMode="External" Id="rId1" /></Relationships>
</file>

<file path=xl/externalLinks/_rels/externalLink410.xml.rels><Relationships xmlns="http://schemas.openxmlformats.org/package/2006/relationships"><Relationship Type="http://schemas.openxmlformats.org/officeDocument/2006/relationships/externalLinkPath" Target="/Users/eric/Documents/Stock%20Models/Pharma/GNLX.xlsx" TargetMode="External" Id="rId1" /></Relationships>
</file>

<file path=xl/externalLinks/_rels/externalLink411.xml.rels><Relationships xmlns="http://schemas.openxmlformats.org/package/2006/relationships"><Relationship Type="http://schemas.openxmlformats.org/officeDocument/2006/relationships/externalLinkPath" Target="/Users/eric/Documents/Stock%20Models/Pharma/PYPD.xlsx" TargetMode="External" Id="rId1" /></Relationships>
</file>

<file path=xl/externalLinks/_rels/externalLink412.xml.rels><Relationships xmlns="http://schemas.openxmlformats.org/package/2006/relationships"><Relationship Type="http://schemas.openxmlformats.org/officeDocument/2006/relationships/externalLinkPath" Target="/Users/eric/Documents/Stock%20Models/Pharma/CPIX.xlsx" TargetMode="External" Id="rId1" /></Relationships>
</file>

<file path=xl/externalLinks/_rels/externalLink413.xml.rels><Relationships xmlns="http://schemas.openxmlformats.org/package/2006/relationships"><Relationship Type="http://schemas.openxmlformats.org/officeDocument/2006/relationships/externalLinkPath" Target="/Users/eric/Documents/Stock%20Models/Pharma/MSLE.xlsx" TargetMode="External" Id="rId1" /></Relationships>
</file>

<file path=xl/externalLinks/_rels/externalLink414.xml.rels><Relationships xmlns="http://schemas.openxmlformats.org/package/2006/relationships"><Relationship Type="http://schemas.openxmlformats.org/officeDocument/2006/relationships/externalLinkPath" Target="/Users/eric/Documents/Stock%20Models/Pharma/VTVT.xlsx" TargetMode="External" Id="rId1" /></Relationships>
</file>

<file path=xl/externalLinks/_rels/externalLink415.xml.rels><Relationships xmlns="http://schemas.openxmlformats.org/package/2006/relationships"><Relationship Type="http://schemas.openxmlformats.org/officeDocument/2006/relationships/externalLinkPath" Target="/Users/eric/Documents/Stock%20Models/Pharma/FRNM.xlsx" TargetMode="External" Id="rId1" /></Relationships>
</file>

<file path=xl/externalLinks/_rels/externalLink416.xml.rels><Relationships xmlns="http://schemas.openxmlformats.org/package/2006/relationships"><Relationship Type="http://schemas.openxmlformats.org/officeDocument/2006/relationships/externalLinkPath" Target="/Users/eric/Documents/Stock%20Models/Pharma/CLLS.xlsx" TargetMode="External" Id="rId1" /></Relationships>
</file>

<file path=xl/externalLinks/_rels/externalLink417.xml.rels><Relationships xmlns="http://schemas.openxmlformats.org/package/2006/relationships"><Relationship Type="http://schemas.openxmlformats.org/officeDocument/2006/relationships/externalLinkPath" Target="/Users/eric/Documents/Stock%20Models/Pharma/IFRX.xlsx" TargetMode="External" Id="rId1" /></Relationships>
</file>

<file path=xl/externalLinks/_rels/externalLink418.xml.rels><Relationships xmlns="http://schemas.openxmlformats.org/package/2006/relationships"><Relationship Type="http://schemas.openxmlformats.org/officeDocument/2006/relationships/externalLinkPath" Target="/Users/eric/Documents/Stock%20Models/Pharma/TNXP.xlsx" TargetMode="External" Id="rId1" /></Relationships>
</file>

<file path=xl/externalLinks/_rels/externalLink419.xml.rels><Relationships xmlns="http://schemas.openxmlformats.org/package/2006/relationships"><Relationship Type="http://schemas.openxmlformats.org/officeDocument/2006/relationships/externalLinkPath" Target="/Users/eric/Documents/Stock%20Models/Pharma/LENZ.xlsx" TargetMode="External" Id="rId1" /></Relationships>
</file>

<file path=xl/externalLinks/_rels/externalLink420.xml.rels><Relationships xmlns="http://schemas.openxmlformats.org/package/2006/relationships"><Relationship Type="http://schemas.openxmlformats.org/officeDocument/2006/relationships/externalLinkPath" Target="/Users/eric/Documents/Stock%20Models/Pharma/INO.xlsx" TargetMode="External" Id="rId1" /></Relationships>
</file>

<file path=xl/externalLinks/_rels/externalLink421.xml.rels><Relationships xmlns="http://schemas.openxmlformats.org/package/2006/relationships"><Relationship Type="http://schemas.openxmlformats.org/officeDocument/2006/relationships/externalLinkPath" Target="/Users/eric/Documents/Stock%20Models/Pharma/COYA.xlsx" TargetMode="External" Id="rId1" /></Relationships>
</file>

<file path=xl/externalLinks/_rels/externalLink422.xml.rels><Relationships xmlns="http://schemas.openxmlformats.org/package/2006/relationships"><Relationship Type="http://schemas.openxmlformats.org/officeDocument/2006/relationships/externalLinkPath" Target="/Users/eric/Documents/Stock%20Models/Pharma/CBUS.xlsx" TargetMode="External" Id="rId1" /></Relationships>
</file>

<file path=xl/externalLinks/_rels/externalLink423.xml.rels><Relationships xmlns="http://schemas.openxmlformats.org/package/2006/relationships"><Relationship Type="http://schemas.openxmlformats.org/officeDocument/2006/relationships/externalLinkPath" Target="/Users/eric/Documents/Stock%20Models/Pharma/IMDX.xlsx" TargetMode="External" Id="rId1" /></Relationships>
</file>

<file path=xl/externalLinks/_rels/externalLink424.xml.rels><Relationships xmlns="http://schemas.openxmlformats.org/package/2006/relationships"><Relationship Type="http://schemas.openxmlformats.org/officeDocument/2006/relationships/externalLinkPath" Target="/Users/eric/Documents/Stock%20Models/Pharma/NRSN.xlsx" TargetMode="External" Id="rId1" /></Relationships>
</file>

<file path=xl/externalLinks/_rels/externalLink425.xml.rels><Relationships xmlns="http://schemas.openxmlformats.org/package/2006/relationships"><Relationship Type="http://schemas.openxmlformats.org/officeDocument/2006/relationships/externalLinkPath" Target="/Users/eric/Documents/Stock%20Models/Pharma/BDTX.xlsx" TargetMode="External" Id="rId1" /></Relationships>
</file>

<file path=xl/externalLinks/_rels/externalLink426.xml.rels><Relationships xmlns="http://schemas.openxmlformats.org/package/2006/relationships"><Relationship Type="http://schemas.openxmlformats.org/officeDocument/2006/relationships/externalLinkPath" Target="/Users/eric/Documents/Stock%20Models/Pharma/ICCC.xlsx" TargetMode="External" Id="rId1" /></Relationships>
</file>

<file path=xl/externalLinks/_rels/externalLink427.xml.rels><Relationships xmlns="http://schemas.openxmlformats.org/package/2006/relationships"><Relationship Type="http://schemas.openxmlformats.org/officeDocument/2006/relationships/externalLinkPath" Target="/Users/eric/Documents/Stock%20Models/Pharma/ADAG.xlsx" TargetMode="External" Id="rId1" /></Relationships>
</file>

<file path=xl/externalLinks/_rels/externalLink428.xml.rels><Relationships xmlns="http://schemas.openxmlformats.org/package/2006/relationships"><Relationship Type="http://schemas.openxmlformats.org/officeDocument/2006/relationships/externalLinkPath" Target="/Users/eric/Documents/Stock%20Models/Pharma/ATRA.xlsx" TargetMode="External" Id="rId1" /></Relationships>
</file>

<file path=xl/externalLinks/_rels/externalLink429.xml.rels><Relationships xmlns="http://schemas.openxmlformats.org/package/2006/relationships"><Relationship Type="http://schemas.openxmlformats.org/officeDocument/2006/relationships/externalLinkPath" Target="/Users/eric/Documents/Stock%20Models/Pharma/IMUX.xlsx" TargetMode="External" Id="rId1" /></Relationships>
</file>

<file path=xl/externalLinks/_rels/externalLink430.xml.rels><Relationships xmlns="http://schemas.openxmlformats.org/package/2006/relationships"><Relationship Type="http://schemas.openxmlformats.org/officeDocument/2006/relationships/externalLinkPath" Target="/Users/eric/Documents/Stock%20Models/Pharma/PLYX.xlsx" TargetMode="External" Id="rId1" /></Relationships>
</file>

<file path=xl/externalLinks/_rels/externalLink431.xml.rels><Relationships xmlns="http://schemas.openxmlformats.org/package/2006/relationships"><Relationship Type="http://schemas.openxmlformats.org/officeDocument/2006/relationships/externalLinkPath" Target="/Users/eric/Documents/Stock%20Models/Pharma/UNCY.xlsx" TargetMode="External" Id="rId1" /></Relationships>
</file>

<file path=xl/externalLinks/_rels/externalLink432.xml.rels><Relationships xmlns="http://schemas.openxmlformats.org/package/2006/relationships"><Relationship Type="http://schemas.openxmlformats.org/officeDocument/2006/relationships/externalLinkPath" Target="/Users/eric/Documents/Stock%20Models/Pharma/ANIX.xlsx" TargetMode="External" Id="rId1" /></Relationships>
</file>

<file path=xl/externalLinks/_rels/externalLink433.xml.rels><Relationships xmlns="http://schemas.openxmlformats.org/package/2006/relationships"><Relationship Type="http://schemas.openxmlformats.org/officeDocument/2006/relationships/externalLinkPath" Target="/Users/eric/Documents/Stock%20Models/Pharma/QUCY.xlsx" TargetMode="External" Id="rId1" /></Relationships>
</file>

<file path=xl/externalLinks/_rels/externalLink434.xml.rels><Relationships xmlns="http://schemas.openxmlformats.org/package/2006/relationships"><Relationship Type="http://schemas.openxmlformats.org/officeDocument/2006/relationships/externalLinkPath" Target="/Users/eric/Documents/Stock%20Models/Pharma/TNYA.xlsx" TargetMode="External" Id="rId1" /></Relationships>
</file>

<file path=xl/externalLinks/_rels/externalLink435.xml.rels><Relationships xmlns="http://schemas.openxmlformats.org/package/2006/relationships"><Relationship Type="http://schemas.openxmlformats.org/officeDocument/2006/relationships/externalLinkPath" Target="/Users/eric/Documents/Stock%20Models/Pharma/RANI.xlsx" TargetMode="External" Id="rId1" /></Relationships>
</file>

<file path=xl/externalLinks/_rels/externalLink436.xml.rels><Relationships xmlns="http://schemas.openxmlformats.org/package/2006/relationships"><Relationship Type="http://schemas.openxmlformats.org/officeDocument/2006/relationships/externalLinkPath" Target="/Users/eric/Documents/Stock%20Models/Pharma/RLYB.xlsx" TargetMode="External" Id="rId1" /></Relationships>
</file>

<file path=xl/externalLinks/_rels/externalLink437.xml.rels><Relationships xmlns="http://schemas.openxmlformats.org/package/2006/relationships"><Relationship Type="http://schemas.openxmlformats.org/officeDocument/2006/relationships/externalLinkPath" Target="/Users/eric/Documents/Stock%20Models/Pharma/NMRA.xlsx" TargetMode="External" Id="rId1" /></Relationships>
</file>

<file path=xl/externalLinks/_rels/externalLink438.xml.rels><Relationships xmlns="http://schemas.openxmlformats.org/package/2006/relationships"><Relationship Type="http://schemas.openxmlformats.org/officeDocument/2006/relationships/externalLinkPath" Target="/Users/eric/Documents/Stock%20Models/Pharma/MIST.xlsx" TargetMode="External" Id="rId1" /></Relationships>
</file>

<file path=xl/externalLinks/_rels/externalLink439.xml.rels><Relationships xmlns="http://schemas.openxmlformats.org/package/2006/relationships"><Relationship Type="http://schemas.openxmlformats.org/officeDocument/2006/relationships/externalLinkPath" Target="/Users/eric/Documents/Stock%20Models/Pharma/CRBP.xlsx" TargetMode="External" Id="rId1" /></Relationships>
</file>

<file path=xl/externalLinks/_rels/externalLink440.xml.rels><Relationships xmlns="http://schemas.openxmlformats.org/package/2006/relationships"><Relationship Type="http://schemas.openxmlformats.org/officeDocument/2006/relationships/externalLinkPath" Target="/Users/eric/Documents/Stock%20Models/Pharma/CNXU.xlsx" TargetMode="External" Id="rId1" /></Relationships>
</file>

<file path=xl/externalLinks/_rels/externalLink441.xml.rels><Relationships xmlns="http://schemas.openxmlformats.org/package/2006/relationships"><Relationship Type="http://schemas.openxmlformats.org/officeDocument/2006/relationships/externalLinkPath" Target="/Users/eric/Documents/Stock%20Models/Pharma/OKUR.xlsx" TargetMode="External" Id="rId1" /></Relationships>
</file>

<file path=xl/externalLinks/_rels/externalLink442.xml.rels><Relationships xmlns="http://schemas.openxmlformats.org/package/2006/relationships"><Relationship Type="http://schemas.openxmlformats.org/officeDocument/2006/relationships/externalLinkPath" Target="/Users/eric/Documents/Stock%20Models/Pharma/AARD.xlsx" TargetMode="External" Id="rId1" /></Relationships>
</file>

<file path=xl/externalLinks/_rels/externalLink443.xml.rels><Relationships xmlns="http://schemas.openxmlformats.org/package/2006/relationships"><Relationship Type="http://schemas.openxmlformats.org/officeDocument/2006/relationships/externalLinkPath" Target="/Users/eric/Documents/Stock%20Models/Pharma/ALP.xlsx" TargetMode="External" Id="rId1" /></Relationships>
</file>

<file path=xl/externalLinks/_rels/externalLink444.xml.rels><Relationships xmlns="http://schemas.openxmlformats.org/package/2006/relationships"><Relationship Type="http://schemas.openxmlformats.org/officeDocument/2006/relationships/externalLinkPath" Target="/Users/eric/Documents/Stock%20Models/Pharma/PTHS.xlsx" TargetMode="External" Id="rId1" /></Relationships>
</file>

<file path=xl/externalLinks/_rels/externalLink445.xml.rels><Relationships xmlns="http://schemas.openxmlformats.org/package/2006/relationships"><Relationship Type="http://schemas.openxmlformats.org/officeDocument/2006/relationships/externalLinkPath" Target="/Users/eric/Documents/Stock%20Models/Pharma/NTRB.xlsx" TargetMode="External" Id="rId1" /></Relationships>
</file>

<file path=xl/externalLinks/_rels/externalLink446.xml.rels><Relationships xmlns="http://schemas.openxmlformats.org/package/2006/relationships"><Relationship Type="http://schemas.openxmlformats.org/officeDocument/2006/relationships/externalLinkPath" Target="/Users/eric/Documents/Stock%20Models/Pharma/EQ.xlsx" TargetMode="External" Id="rId1" /></Relationships>
</file>

<file path=xl/externalLinks/_rels/externalLink447.xml.rels><Relationships xmlns="http://schemas.openxmlformats.org/package/2006/relationships"><Relationship Type="http://schemas.openxmlformats.org/officeDocument/2006/relationships/externalLinkPath" Target="/Users/eric/Documents/Stock%20Models/Pharma/OKYO.xlsx" TargetMode="External" Id="rId1" /></Relationships>
</file>

<file path=xl/externalLinks/_rels/externalLink448.xml.rels><Relationships xmlns="http://schemas.openxmlformats.org/package/2006/relationships"><Relationship Type="http://schemas.openxmlformats.org/officeDocument/2006/relationships/externalLinkPath" Target="/Users/eric/Documents/Stock%20Models/Pharma/PMN.xlsx" TargetMode="External" Id="rId1" /></Relationships>
</file>

<file path=xl/externalLinks/_rels/externalLink449.xml.rels><Relationships xmlns="http://schemas.openxmlformats.org/package/2006/relationships"><Relationship Type="http://schemas.openxmlformats.org/officeDocument/2006/relationships/externalLinkPath" Target="/Users/eric/Documents/Stock%20Models/Pharma/TELO.xlsx" TargetMode="External" Id="rId1" /></Relationships>
</file>

<file path=xl/externalLinks/_rels/externalLink450.xml.rels><Relationships xmlns="http://schemas.openxmlformats.org/package/2006/relationships"><Relationship Type="http://schemas.openxmlformats.org/officeDocument/2006/relationships/externalLinkPath" Target="/Users/eric/Documents/Stock%20Models/Pharma/RFL.xlsx" TargetMode="External" Id="rId1" /></Relationships>
</file>

<file path=xl/externalLinks/_rels/externalLink451.xml.rels><Relationships xmlns="http://schemas.openxmlformats.org/package/2006/relationships"><Relationship Type="http://schemas.openxmlformats.org/officeDocument/2006/relationships/externalLinkPath" Target="/Users/eric/Documents/Stock%20Models/Pharma/CTOR.xlsx" TargetMode="External" Id="rId1" /></Relationships>
</file>

<file path=xl/externalLinks/_rels/externalLink452.xml.rels><Relationships xmlns="http://schemas.openxmlformats.org/package/2006/relationships"><Relationship Type="http://schemas.openxmlformats.org/officeDocument/2006/relationships/externalLinkPath" Target="/Users/eric/Documents/Stock%20Models/Pharma/LEXX.xlsx" TargetMode="External" Id="rId1" /></Relationships>
</file>

<file path=xl/externalLinks/_rels/externalLink453.xml.rels><Relationships xmlns="http://schemas.openxmlformats.org/package/2006/relationships"><Relationship Type="http://schemas.openxmlformats.org/officeDocument/2006/relationships/externalLinkPath" Target="/Users/eric/Documents/Stock%20Models/Pharma/ACRV.xlsx" TargetMode="External" Id="rId1" /></Relationships>
</file>

<file path=xl/externalLinks/_rels/externalLink454.xml.rels><Relationships xmlns="http://schemas.openxmlformats.org/package/2006/relationships"><Relationship Type="http://schemas.openxmlformats.org/officeDocument/2006/relationships/externalLinkPath" Target="/Users/eric/Documents/Stock%20Models/Pharma/CRDF.xlsx" TargetMode="External" Id="rId1" /></Relationships>
</file>

<file path=xl/externalLinks/_rels/externalLink455.xml.rels><Relationships xmlns="http://schemas.openxmlformats.org/package/2006/relationships"><Relationship Type="http://schemas.openxmlformats.org/officeDocument/2006/relationships/externalLinkPath" Target="/Users/eric/Documents/Stock%20Models/Pharma/NTHI.xlsx" TargetMode="External" Id="rId1" /></Relationships>
</file>

<file path=xl/externalLinks/_rels/externalLink456.xml.rels><Relationships xmlns="http://schemas.openxmlformats.org/package/2006/relationships"><Relationship Type="http://schemas.openxmlformats.org/officeDocument/2006/relationships/externalLinkPath" Target="/Users/eric/Documents/Stock%20Models/Pharma/MNOV.xlsx" TargetMode="External" Id="rId1" /></Relationships>
</file>

<file path=xl/externalLinks/_rels/externalLink457.xml.rels><Relationships xmlns="http://schemas.openxmlformats.org/package/2006/relationships"><Relationship Type="http://schemas.openxmlformats.org/officeDocument/2006/relationships/externalLinkPath" Target="/Users/eric/Documents/Stock%20Models/Pharma/CGTX.xlsx" TargetMode="External" Id="rId1" /></Relationships>
</file>

<file path=xl/externalLinks/_rels/externalLink458.xml.rels><Relationships xmlns="http://schemas.openxmlformats.org/package/2006/relationships"><Relationship Type="http://schemas.openxmlformats.org/officeDocument/2006/relationships/externalLinkPath" Target="/Users/eric/Documents/Stock%20Models/Pharma/HRTX.xlsx" TargetMode="External" Id="rId1" /></Relationships>
</file>

<file path=xl/externalLinks/_rels/externalLink459.xml.rels><Relationships xmlns="http://schemas.openxmlformats.org/package/2006/relationships"><Relationship Type="http://schemas.openxmlformats.org/officeDocument/2006/relationships/externalLinkPath" Target="/Users/eric/Documents/Stock%20Models/Pharma/ZYBT.xlsx" TargetMode="External" Id="rId1" /></Relationships>
</file>

<file path=xl/externalLinks/_rels/externalLink460.xml.rels><Relationships xmlns="http://schemas.openxmlformats.org/package/2006/relationships"><Relationship Type="http://schemas.openxmlformats.org/officeDocument/2006/relationships/externalLinkPath" Target="/Users/eric/Documents/Stock%20Models/Pharma/SPRO.xlsx" TargetMode="External" Id="rId1" /></Relationships>
</file>

<file path=xl/externalLinks/_rels/externalLink461.xml.rels><Relationships xmlns="http://schemas.openxmlformats.org/package/2006/relationships"><Relationship Type="http://schemas.openxmlformats.org/officeDocument/2006/relationships/externalLinkPath" Target="/Users/eric/Documents/Stock%20Models/Pharma/OSTX.xlsx" TargetMode="External" Id="rId1" /></Relationships>
</file>

<file path=xl/externalLinks/_rels/externalLink462.xml.rels><Relationships xmlns="http://schemas.openxmlformats.org/package/2006/relationships"><Relationship Type="http://schemas.openxmlformats.org/officeDocument/2006/relationships/externalLinkPath" Target="/Users/eric/Documents/Stock%20Models/Pharma/PMVP.xlsx" TargetMode="External" Id="rId1" /></Relationships>
</file>

<file path=xl/externalLinks/_rels/externalLink463.xml.rels><Relationships xmlns="http://schemas.openxmlformats.org/package/2006/relationships"><Relationship Type="http://schemas.openxmlformats.org/officeDocument/2006/relationships/externalLinkPath" Target="/Users/eric/Documents/Stock%20Models/Pharma/XBIT.xlsx" TargetMode="External" Id="rId1" /></Relationships>
</file>

<file path=xl/externalLinks/_rels/externalLink464.xml.rels><Relationships xmlns="http://schemas.openxmlformats.org/package/2006/relationships"><Relationship Type="http://schemas.openxmlformats.org/officeDocument/2006/relationships/externalLinkPath" Target="/Users/eric/Documents/Stock%20Models/Pharma/ONCY.xlsx" TargetMode="External" Id="rId1" /></Relationships>
</file>

<file path=xl/externalLinks/_rels/externalLink465.xml.rels><Relationships xmlns="http://schemas.openxmlformats.org/package/2006/relationships"><Relationship Type="http://schemas.openxmlformats.org/officeDocument/2006/relationships/externalLinkPath" Target="/Users/eric/Documents/Stock%20Models/Pharma/CING.xlsx" TargetMode="External" Id="rId1" /></Relationships>
</file>

<file path=xl/externalLinks/_rels/externalLink466.xml.rels><Relationships xmlns="http://schemas.openxmlformats.org/package/2006/relationships"><Relationship Type="http://schemas.openxmlformats.org/officeDocument/2006/relationships/externalLinkPath" Target="/Users/eric/Documents/Stock%20Models/Pharma/PDSB.xlsx" TargetMode="External" Id="rId1" /></Relationships>
</file>

<file path=xl/externalLinks/_rels/externalLink467.xml.rels><Relationships xmlns="http://schemas.openxmlformats.org/package/2006/relationships"><Relationship Type="http://schemas.openxmlformats.org/officeDocument/2006/relationships/externalLinkPath" Target="/Users/eric/Documents/Stock%20Models/Pharma/NMAD.xlsx" TargetMode="External" Id="rId1" /></Relationships>
</file>

<file path=xl/externalLinks/_rels/externalLink468.xml.rels><Relationships xmlns="http://schemas.openxmlformats.org/package/2006/relationships"><Relationship Type="http://schemas.openxmlformats.org/officeDocument/2006/relationships/externalLinkPath" Target="/Users/eric/Documents/Stock%20Models/Pharma/FBIO.xlsx" TargetMode="External" Id="rId1" /></Relationships>
</file>

<file path=xl/externalLinks/_rels/externalLink469.xml.rels><Relationships xmlns="http://schemas.openxmlformats.org/package/2006/relationships"><Relationship Type="http://schemas.openxmlformats.org/officeDocument/2006/relationships/externalLinkPath" Target="/Users/eric/Documents/Stock%20Models/Pharma/VRCA.xlsx" TargetMode="External" Id="rId1" /></Relationships>
</file>

<file path=xl/externalLinks/_rels/externalLink470.xml.rels><Relationships xmlns="http://schemas.openxmlformats.org/package/2006/relationships"><Relationship Type="http://schemas.openxmlformats.org/officeDocument/2006/relationships/externalLinkPath" Target="/Users/eric/Documents/Stock%20Models/Pharma/BMEA.xlsx" TargetMode="External" Id="rId1" /></Relationships>
</file>

<file path=xl/externalLinks/_rels/externalLink471.xml.rels><Relationships xmlns="http://schemas.openxmlformats.org/package/2006/relationships"><Relationship Type="http://schemas.openxmlformats.org/officeDocument/2006/relationships/externalLinkPath" Target="/Users/eric/Documents/Stock%20Models/Pharma/GANX.xlsx" TargetMode="External" Id="rId1" /></Relationships>
</file>

<file path=xl/externalLinks/_rels/externalLink472.xml.rels><Relationships xmlns="http://schemas.openxmlformats.org/package/2006/relationships"><Relationship Type="http://schemas.openxmlformats.org/officeDocument/2006/relationships/externalLinkPath" Target="/Users/eric/Documents/Stock%20Models/Pharma/CNTB.xlsx" TargetMode="External" Id="rId1" /></Relationships>
</file>

<file path=xl/externalLinks/_rels/externalLink473.xml.rels><Relationships xmlns="http://schemas.openxmlformats.org/package/2006/relationships"><Relationship Type="http://schemas.openxmlformats.org/officeDocument/2006/relationships/externalLinkPath" Target="/Users/eric/Documents/Stock%20Models/Pharma/XLO.xlsx" TargetMode="External" Id="rId1" /></Relationships>
</file>

<file path=xl/externalLinks/_rels/externalLink474.xml.rels><Relationships xmlns="http://schemas.openxmlformats.org/package/2006/relationships"><Relationship Type="http://schemas.openxmlformats.org/officeDocument/2006/relationships/externalLinkPath" Target="/Users/eric/Documents/Stock%20Models/Pharma/PLRX.xlsx" TargetMode="External" Id="rId1" /></Relationships>
</file>

<file path=xl/externalLinks/_rels/externalLink475.xml.rels><Relationships xmlns="http://schemas.openxmlformats.org/package/2006/relationships"><Relationship Type="http://schemas.openxmlformats.org/officeDocument/2006/relationships/externalLinkPath" Target="/Users/eric/Documents/Stock%20Models/Pharma/TLPH.xlsx" TargetMode="External" Id="rId1" /></Relationships>
</file>

<file path=xl/externalLinks/_rels/externalLink476.xml.rels><Relationships xmlns="http://schemas.openxmlformats.org/package/2006/relationships"><Relationship Type="http://schemas.openxmlformats.org/officeDocument/2006/relationships/externalLinkPath" Target="/Users/eric/Documents/Stock%20Models/Pharma/SKYE.xlsx" TargetMode="External" Id="rId1" /></Relationships>
</file>

<file path=xl/externalLinks/_rels/externalLink477.xml.rels><Relationships xmlns="http://schemas.openxmlformats.org/package/2006/relationships"><Relationship Type="http://schemas.openxmlformats.org/officeDocument/2006/relationships/externalLinkPath" Target="/Users/eric/Documents/Stock%20Models/Pharma/RNTX.xlsx" TargetMode="External" Id="rId1" /></Relationships>
</file>

<file path=xl/externalLinks/_rels/externalLink478.xml.rels><Relationships xmlns="http://schemas.openxmlformats.org/package/2006/relationships"><Relationship Type="http://schemas.openxmlformats.org/officeDocument/2006/relationships/externalLinkPath" Target="/Users/eric/Documents/Stock%20Models/Pharma/RNXT.xlsx" TargetMode="External" Id="rId1" /></Relationships>
</file>

<file path=xl/externalLinks/_rels/externalLink479.xml.rels><Relationships xmlns="http://schemas.openxmlformats.org/package/2006/relationships"><Relationship Type="http://schemas.openxmlformats.org/officeDocument/2006/relationships/externalLinkPath" Target="/Users/eric/Documents/Stock%20Models/Pharma/YARW.xlsx" TargetMode="External" Id="rId1" /></Relationships>
</file>

<file path=xl/externalLinks/_rels/externalLink480.xml.rels><Relationships xmlns="http://schemas.openxmlformats.org/package/2006/relationships"><Relationship Type="http://schemas.openxmlformats.org/officeDocument/2006/relationships/externalLinkPath" Target="/Users/eric/Documents/Stock%20Models/Pharma/BOLD.xlsx" TargetMode="External" Id="rId1" /></Relationships>
</file>

<file path=xl/externalLinks/_rels/externalLink481.xml.rels><Relationships xmlns="http://schemas.openxmlformats.org/package/2006/relationships"><Relationship Type="http://schemas.openxmlformats.org/officeDocument/2006/relationships/externalLinkPath" Target="/Users/eric/Documents/Stock%20Models/Pharma/KLRS.xlsx" TargetMode="External" Id="rId1" /></Relationships>
</file>

<file path=xl/externalLinks/_rels/externalLink482.xml.rels><Relationships xmlns="http://schemas.openxmlformats.org/package/2006/relationships"><Relationship Type="http://schemas.openxmlformats.org/officeDocument/2006/relationships/externalLinkPath" Target="/Users/eric/Documents/Stock%20Models/Pharma/TENX.xlsx" TargetMode="External" Id="rId1" /></Relationships>
</file>

<file path=xl/externalLinks/_rels/externalLink483.xml.rels><Relationships xmlns="http://schemas.openxmlformats.org/package/2006/relationships"><Relationship Type="http://schemas.openxmlformats.org/officeDocument/2006/relationships/externalLinkPath" Target="/Users/eric/Documents/Stock%20Models/Pharma/INKT.xlsx" TargetMode="External" Id="rId1" /></Relationships>
</file>

<file path=xl/externalLinks/_rels/externalLink484.xml.rels><Relationships xmlns="http://schemas.openxmlformats.org/package/2006/relationships"><Relationship Type="http://schemas.openxmlformats.org/officeDocument/2006/relationships/externalLinkPath" Target="/Users/eric/Documents/Stock%20Models/Pharma/CRBU.xlsx" TargetMode="External" Id="rId1" /></Relationships>
</file>

<file path=xl/externalLinks/_rels/externalLink485.xml.rels><Relationships xmlns="http://schemas.openxmlformats.org/package/2006/relationships"><Relationship Type="http://schemas.openxmlformats.org/officeDocument/2006/relationships/externalLinkPath" Target="/Users/eric/Documents/Stock%20Models/Pharma/LONA.xlsx" TargetMode="External" Id="rId1" /></Relationships>
</file>

<file path=xl/externalLinks/_rels/externalLink486.xml.rels><Relationships xmlns="http://schemas.openxmlformats.org/package/2006/relationships"><Relationship Type="http://schemas.openxmlformats.org/officeDocument/2006/relationships/externalLinkPath" Target="/Users/eric/Documents/Stock%20Models/Pharma/ATHE.xlsx" TargetMode="External" Id="rId1" /></Relationships>
</file>

<file path=xl/externalLinks/_rels/externalLink487.xml.rels><Relationships xmlns="http://schemas.openxmlformats.org/package/2006/relationships"><Relationship Type="http://schemas.openxmlformats.org/officeDocument/2006/relationships/externalLinkPath" Target="/Users/eric/Documents/Stock%20Models/Pharma/IBIO.xlsx" TargetMode="External" Id="rId1" /></Relationships>
</file>

<file path=xl/externalLinks/_rels/externalLink488.xml.rels><Relationships xmlns="http://schemas.openxmlformats.org/package/2006/relationships"><Relationship Type="http://schemas.openxmlformats.org/officeDocument/2006/relationships/externalLinkPath" Target="/Users/eric/Documents/Stock%20Models/Pharma/HYPD.xlsx" TargetMode="External" Id="rId1" /></Relationships>
</file>

<file path=xl/externalLinks/_rels/externalLink489.xml.rels><Relationships xmlns="http://schemas.openxmlformats.org/package/2006/relationships"><Relationship Type="http://schemas.openxmlformats.org/officeDocument/2006/relationships/externalLinkPath" Target="/Users/eric/Documents/Stock%20Models/Pharma/ENLV.xlsx" TargetMode="External" Id="rId1" /></Relationships>
</file>

<file path=xl/externalLinks/_rels/externalLink490.xml.rels><Relationships xmlns="http://schemas.openxmlformats.org/package/2006/relationships"><Relationship Type="http://schemas.openxmlformats.org/officeDocument/2006/relationships/externalLinkPath" Target="/Users/eric/Documents/Stock%20Models/Pharma/MREO.xlsx" TargetMode="External" Id="rId1" /></Relationships>
</file>

<file path=xl/externalLinks/_rels/externalLink491.xml.rels><Relationships xmlns="http://schemas.openxmlformats.org/package/2006/relationships"><Relationship Type="http://schemas.openxmlformats.org/officeDocument/2006/relationships/externalLinkPath" Target="/Users/eric/Documents/Stock%20Models/Pharma/HOWL.xlsx" TargetMode="External" Id="rId1" /></Relationships>
</file>

<file path=xl/externalLinks/_rels/externalLink492.xml.rels><Relationships xmlns="http://schemas.openxmlformats.org/package/2006/relationships"><Relationship Type="http://schemas.openxmlformats.org/officeDocument/2006/relationships/externalLinkPath" Target="/Users/eric/Documents/Stock%20Models/Pharma/CLGN.xlsx" TargetMode="External" Id="rId1" /></Relationships>
</file>

<file path=xl/externalLinks/_rels/externalLink493.xml.rels><Relationships xmlns="http://schemas.openxmlformats.org/package/2006/relationships"><Relationship Type="http://schemas.openxmlformats.org/officeDocument/2006/relationships/externalLinkPath" Target="/Users/eric/Documents/Stock%20Models/Pharma/ELTX.xlsx" TargetMode="External" Id="rId1" /></Relationships>
</file>

<file path=xl/externalLinks/_rels/externalLink494.xml.rels><Relationships xmlns="http://schemas.openxmlformats.org/package/2006/relationships"><Relationship Type="http://schemas.openxmlformats.org/officeDocument/2006/relationships/externalLinkPath" Target="/Users/eric/Documents/Stock%20Models/Pharma/TVGN.xlsx" TargetMode="External" Id="rId1" /></Relationships>
</file>

<file path=xl/externalLinks/_rels/externalLink495.xml.rels><Relationships xmlns="http://schemas.openxmlformats.org/package/2006/relationships"><Relationship Type="http://schemas.openxmlformats.org/officeDocument/2006/relationships/externalLinkPath" Target="/Users/eric/Documents/Stock%20Models/Pharma/INMB.xlsx" TargetMode="External" Id="rId1" /></Relationships>
</file>

<file path=xl/externalLinks/_rels/externalLink496.xml.rels><Relationships xmlns="http://schemas.openxmlformats.org/package/2006/relationships"><Relationship Type="http://schemas.openxmlformats.org/officeDocument/2006/relationships/externalLinkPath" Target="/Users/eric/Documents/Stock%20Models/Pharma/IMA.xlsx" TargetMode="External" Id="rId1" /></Relationships>
</file>

<file path=xl/externalLinks/_rels/externalLink497.xml.rels><Relationships xmlns="http://schemas.openxmlformats.org/package/2006/relationships"><Relationship Type="http://schemas.openxmlformats.org/officeDocument/2006/relationships/externalLinkPath" Target="/Users/eric/Documents/Stock%20Models/Pharma/SER.xlsx" TargetMode="External" Id="rId1" /></Relationships>
</file>

<file path=xl/externalLinks/_rels/externalLink498.xml.rels><Relationships xmlns="http://schemas.openxmlformats.org/package/2006/relationships"><Relationship Type="http://schemas.openxmlformats.org/officeDocument/2006/relationships/externalLinkPath" Target="/Users/eric/Documents/Stock%20Models/Pharma/SDEV.xlsx" TargetMode="External" Id="rId1" /></Relationships>
</file>

<file path=xl/externalLinks/_rels/externalLink499.xml.rels><Relationships xmlns="http://schemas.openxmlformats.org/package/2006/relationships"><Relationship Type="http://schemas.openxmlformats.org/officeDocument/2006/relationships/externalLinkPath" Target="/Users/eric/Documents/Stock%20Models/Pharma/LGVN.xlsx" TargetMode="External" Id="rId1" /></Relationships>
</file>

<file path=xl/externalLinks/_rels/externalLink500.xml.rels><Relationships xmlns="http://schemas.openxmlformats.org/package/2006/relationships"><Relationship Type="http://schemas.openxmlformats.org/officeDocument/2006/relationships/externalLinkPath" Target="/Users/eric/Documents/Stock%20Models/Pharma/ACET.xlsx" TargetMode="External" Id="rId1" /></Relationships>
</file>

<file path=xl/externalLinks/_rels/externalLink501.xml.rels><Relationships xmlns="http://schemas.openxmlformats.org/package/2006/relationships"><Relationship Type="http://schemas.openxmlformats.org/officeDocument/2006/relationships/externalLinkPath" Target="/Users/eric/Documents/Stock%20Models/Pharma/ANVS.xlsx" TargetMode="External" Id="rId1" /></Relationships>
</file>

<file path=xl/externalLinks/_rels/externalLink502.xml.rels><Relationships xmlns="http://schemas.openxmlformats.org/package/2006/relationships"><Relationship Type="http://schemas.openxmlformats.org/officeDocument/2006/relationships/externalLinkPath" Target="/Users/eric/Documents/Stock%20Models/Pharma/ALDX.xlsx" TargetMode="External" Id="rId1" /></Relationships>
</file>

<file path=xl/externalLinks/_rels/externalLink503.xml.rels><Relationships xmlns="http://schemas.openxmlformats.org/package/2006/relationships"><Relationship Type="http://schemas.openxmlformats.org/officeDocument/2006/relationships/externalLinkPath" Target="/Users/eric/Documents/Stock%20Models/Pharma/DWTX.xlsx" TargetMode="External" Id="rId1" /></Relationships>
</file>

<file path=xl/externalLinks/_rels/externalLink504.xml.rels><Relationships xmlns="http://schemas.openxmlformats.org/package/2006/relationships"><Relationship Type="http://schemas.openxmlformats.org/officeDocument/2006/relationships/externalLinkPath" Target="/Users/eric/Documents/Stock%20Models/Pharma/CELU.xlsx" TargetMode="External" Id="rId1" /></Relationships>
</file>

<file path=xl/externalLinks/_rels/externalLink505.xml.rels><Relationships xmlns="http://schemas.openxmlformats.org/package/2006/relationships"><Relationship Type="http://schemas.openxmlformats.org/officeDocument/2006/relationships/externalLinkPath" Target="/Users/eric/Documents/Stock%20Models/Pharma/TIL.xlsx" TargetMode="External" Id="rId1" /></Relationships>
</file>

<file path=xl/externalLinks/_rels/externalLink506.xml.rels><Relationships xmlns="http://schemas.openxmlformats.org/package/2006/relationships"><Relationship Type="http://schemas.openxmlformats.org/officeDocument/2006/relationships/externalLinkPath" Target="/Users/eric/Documents/Stock%20Models/Pharma/CLNN.xlsx" TargetMode="External" Id="rId1" /></Relationships>
</file>

<file path=xl/externalLinks/_rels/externalLink507.xml.rels><Relationships xmlns="http://schemas.openxmlformats.org/package/2006/relationships"><Relationship Type="http://schemas.openxmlformats.org/officeDocument/2006/relationships/externalLinkPath" Target="/Users/eric/Documents/Stock%20Models/Pharma/GRCE.xlsx" TargetMode="External" Id="rId1" /></Relationships>
</file>

<file path=xl/externalLinks/_rels/externalLink508.xml.rels><Relationships xmlns="http://schemas.openxmlformats.org/package/2006/relationships"><Relationship Type="http://schemas.openxmlformats.org/officeDocument/2006/relationships/externalLinkPath" Target="/Users/eric/Documents/Stock%20Models/Pharma/VERU.xlsx" TargetMode="External" Id="rId1" /></Relationships>
</file>

<file path=xl/externalLinks/_rels/externalLink509.xml.rels><Relationships xmlns="http://schemas.openxmlformats.org/package/2006/relationships"><Relationship Type="http://schemas.openxmlformats.org/officeDocument/2006/relationships/externalLinkPath" Target="/Users/eric/Documents/Stock%20Models/Pharma/BTMD.xlsx" TargetMode="External" Id="rId1" /></Relationships>
</file>

<file path=xl/externalLinks/_rels/externalLink510.xml.rels><Relationships xmlns="http://schemas.openxmlformats.org/package/2006/relationships"><Relationship Type="http://schemas.openxmlformats.org/officeDocument/2006/relationships/externalLinkPath" Target="/Users/eric/Documents/Stock%20Models/Pharma/BRTX.xlsx" TargetMode="External" Id="rId1" /></Relationships>
</file>

<file path=xl/externalLinks/_rels/externalLink511.xml.rels><Relationships xmlns="http://schemas.openxmlformats.org/package/2006/relationships"><Relationship Type="http://schemas.openxmlformats.org/officeDocument/2006/relationships/externalLinkPath" Target="/Users/eric/Documents/Stock%20Models/Pharma/EXOZ.xlsx" TargetMode="External" Id="rId1" /></Relationships>
</file>

<file path=xl/externalLinks/_rels/externalLink512.xml.rels><Relationships xmlns="http://schemas.openxmlformats.org/package/2006/relationships"><Relationship Type="http://schemas.openxmlformats.org/officeDocument/2006/relationships/externalLinkPath" Target="/Users/eric/Documents/Stock%20Models/Pharma/BSEM.xlsx" TargetMode="External" Id="rId1" /></Relationships>
</file>

<file path=xl/externalLinks/_rels/externalLink513.xml.rels><Relationships xmlns="http://schemas.openxmlformats.org/package/2006/relationships"><Relationship Type="http://schemas.openxmlformats.org/officeDocument/2006/relationships/externalLinkPath" Target="/Users/eric/Documents/Stock%20Models/Pharma/SCYX.xlsx" TargetMode="External" Id="rId1" /></Relationships>
</file>

<file path=xl/externalLinks/_rels/externalLink514.xml.rels><Relationships xmlns="http://schemas.openxmlformats.org/package/2006/relationships"><Relationship Type="http://schemas.openxmlformats.org/officeDocument/2006/relationships/externalLinkPath" Target="/Users/eric/Documents/Stock%20Models/Pharma/MTNB.xlsx" TargetMode="External" Id="rId1" /></Relationships>
</file>

<file path=xl/externalLinks/_rels/externalLink515.xml.rels><Relationships xmlns="http://schemas.openxmlformats.org/package/2006/relationships"><Relationship Type="http://schemas.openxmlformats.org/officeDocument/2006/relationships/externalLinkPath" Target="/Users/eric/Documents/Stock%20Models/Pharma/CALC.xlsx" TargetMode="External" Id="rId1" /></Relationships>
</file>

<file path=xl/externalLinks/_rels/externalLink516.xml.rels><Relationships xmlns="http://schemas.openxmlformats.org/package/2006/relationships"><Relationship Type="http://schemas.openxmlformats.org/officeDocument/2006/relationships/externalLinkPath" Target="/Users/eric/Documents/Stock%20Models/Pharma/IXHL.xlsx" TargetMode="External" Id="rId1" /></Relationships>
</file>

<file path=xl/externalLinks/_rels/externalLink517.xml.rels><Relationships xmlns="http://schemas.openxmlformats.org/package/2006/relationships"><Relationship Type="http://schemas.openxmlformats.org/officeDocument/2006/relationships/externalLinkPath" Target="/Users/eric/Documents/Stock%20Models/Pharma/NNVC.xlsx" TargetMode="External" Id="rId1" /></Relationships>
</file>

<file path=xl/externalLinks/_rels/externalLink518.xml.rels><Relationships xmlns="http://schemas.openxmlformats.org/package/2006/relationships"><Relationship Type="http://schemas.openxmlformats.org/officeDocument/2006/relationships/externalLinkPath" Target="/Users/eric/Documents/Stock%20Models/Pharma/ELUT.xlsx" TargetMode="External" Id="rId1" /></Relationships>
</file>

<file path=xl/externalLinks/_rels/externalLink519.xml.rels><Relationships xmlns="http://schemas.openxmlformats.org/package/2006/relationships"><Relationship Type="http://schemas.openxmlformats.org/officeDocument/2006/relationships/externalLinkPath" Target="/Users/eric/Documents/Stock%20Models/Pharma/LITS.xlsx" TargetMode="External" Id="rId1" /></Relationships>
</file>

<file path=xl/externalLinks/_rels/externalLink520.xml.rels><Relationships xmlns="http://schemas.openxmlformats.org/package/2006/relationships"><Relationship Type="http://schemas.openxmlformats.org/officeDocument/2006/relationships/externalLinkPath" Target="/Users/eric/Documents/Stock%20Models/Pharma/FLNA.xlsx" TargetMode="External" Id="rId1" /></Relationships>
</file>

<file path=xl/externalLinks/_rels/externalLink521.xml.rels><Relationships xmlns="http://schemas.openxmlformats.org/package/2006/relationships"><Relationship Type="http://schemas.openxmlformats.org/officeDocument/2006/relationships/externalLinkPath" Target="/Users/eric/Documents/Stock%20Models/Pharma/CRVO.xlsx" TargetMode="External" Id="rId1" /></Relationships>
</file>

<file path=xl/externalLinks/_rels/externalLink522.xml.rels><Relationships xmlns="http://schemas.openxmlformats.org/package/2006/relationships"><Relationship Type="http://schemas.openxmlformats.org/officeDocument/2006/relationships/externalLinkPath" Target="/Users/eric/Documents/Stock%20Models/Pharma/ATNM.xlsx" TargetMode="External" Id="rId1" /></Relationships>
</file>

<file path=xl/externalLinks/_rels/externalLink523.xml.rels><Relationships xmlns="http://schemas.openxmlformats.org/package/2006/relationships"><Relationship Type="http://schemas.openxmlformats.org/officeDocument/2006/relationships/externalLinkPath" Target="/Users/eric/Documents/Stock%20Models/Pharma/QNCX.xlsx" TargetMode="External" Id="rId1" /></Relationships>
</file>

<file path=xl/externalLinks/_rels/externalLink524.xml.rels><Relationships xmlns="http://schemas.openxmlformats.org/package/2006/relationships"><Relationship Type="http://schemas.openxmlformats.org/officeDocument/2006/relationships/externalLinkPath" Target="/Users/eric/Documents/Stock%20Models/Pharma/BIAF.xlsx" TargetMode="External" Id="rId1" /></Relationships>
</file>

<file path=xl/externalLinks/_rels/externalLink525.xml.rels><Relationships xmlns="http://schemas.openxmlformats.org/package/2006/relationships"><Relationship Type="http://schemas.openxmlformats.org/officeDocument/2006/relationships/externalLinkPath" Target="/Users/eric/Documents/Stock%20Models/Pharma/CVM.xlsx" TargetMode="External" Id="rId1" /></Relationships>
</file>

<file path=xl/externalLinks/_rels/externalLink526.xml.rels><Relationships xmlns="http://schemas.openxmlformats.org/package/2006/relationships"><Relationship Type="http://schemas.openxmlformats.org/officeDocument/2006/relationships/externalLinkPath" Target="/Users/eric/Documents/Stock%20Models/Pharma/ALGS.xlsx" TargetMode="External" Id="rId1" /></Relationships>
</file>

<file path=xl/externalLinks/_rels/externalLink527.xml.rels><Relationships xmlns="http://schemas.openxmlformats.org/package/2006/relationships"><Relationship Type="http://schemas.openxmlformats.org/officeDocument/2006/relationships/externalLinkPath" Target="/Users/eric/Documents/Stock%20Models/Pharma/GRDX.xlsx" TargetMode="External" Id="rId1" /></Relationships>
</file>

<file path=xl/externalLinks/_rels/externalLink528.xml.rels><Relationships xmlns="http://schemas.openxmlformats.org/package/2006/relationships"><Relationship Type="http://schemas.openxmlformats.org/officeDocument/2006/relationships/externalLinkPath" Target="/Users/eric/Documents/Stock%20Models/Pharma/MGX.xlsx" TargetMode="External" Id="rId1" /></Relationships>
</file>

<file path=xl/externalLinks/_rels/externalLink529.xml.rels><Relationships xmlns="http://schemas.openxmlformats.org/package/2006/relationships"><Relationship Type="http://schemas.openxmlformats.org/officeDocument/2006/relationships/externalLinkPath" Target="/Users/eric/Documents/Stock%20Models/Pharma/BCTX.xlsx" TargetMode="External" Id="rId1" /></Relationships>
</file>

<file path=xl/externalLinks/_rels/externalLink530.xml.rels><Relationships xmlns="http://schemas.openxmlformats.org/package/2006/relationships"><Relationship Type="http://schemas.openxmlformats.org/officeDocument/2006/relationships/externalLinkPath" Target="/Users/eric/Documents/Stock%20Models/Pharma/CPHI.xlsx" TargetMode="External" Id="rId1" /></Relationships>
</file>

<file path=xl/externalLinks/_rels/externalLink531.xml.rels><Relationships xmlns="http://schemas.openxmlformats.org/package/2006/relationships"><Relationship Type="http://schemas.openxmlformats.org/officeDocument/2006/relationships/externalLinkPath" Target="/Users/eric/Documents/Stock%20Models/Pharma/ATOS.xlsx" TargetMode="External" Id="rId1" /></Relationships>
</file>

<file path=xl/externalLinks/_rels/externalLink532.xml.rels><Relationships xmlns="http://schemas.openxmlformats.org/package/2006/relationships"><Relationship Type="http://schemas.openxmlformats.org/officeDocument/2006/relationships/externalLinkPath" Target="/Users/eric/Documents/Stock%20Models/Pharma/RNAZ.xlsx" TargetMode="External" Id="rId1" /></Relationships>
</file>

<file path=xl/externalLinks/_rels/externalLink533.xml.rels><Relationships xmlns="http://schemas.openxmlformats.org/package/2006/relationships"><Relationship Type="http://schemas.openxmlformats.org/officeDocument/2006/relationships/externalLinkPath" Target="/Users/eric/Documents/Stock%20Models/Pharma/NXTC.xlsx" TargetMode="External" Id="rId1" /></Relationships>
</file>

<file path=xl/externalLinks/_rels/externalLink534.xml.rels><Relationships xmlns="http://schemas.openxmlformats.org/package/2006/relationships"><Relationship Type="http://schemas.openxmlformats.org/officeDocument/2006/relationships/externalLinkPath" Target="/Users/eric/Documents/Stock%20Models/Pharma/NSRX.xlsx" TargetMode="External" Id="rId1" /></Relationships>
</file>

<file path=xl/externalLinks/_rels/externalLink535.xml.rels><Relationships xmlns="http://schemas.openxmlformats.org/package/2006/relationships"><Relationship Type="http://schemas.openxmlformats.org/officeDocument/2006/relationships/externalLinkPath" Target="/Users/eric/Documents/Stock%20Models/Pharma/MIRA.xlsx" TargetMode="External" Id="rId1" /></Relationships>
</file>

<file path=xl/externalLinks/_rels/externalLink536.xml.rels><Relationships xmlns="http://schemas.openxmlformats.org/package/2006/relationships"><Relationship Type="http://schemas.openxmlformats.org/officeDocument/2006/relationships/externalLinkPath" Target="/Users/eric/Documents/Stock%20Models/Pharma/SHPH.xlsx" TargetMode="External" Id="rId1" /></Relationships>
</file>

<file path=xl/externalLinks/_rels/externalLink537.xml.rels><Relationships xmlns="http://schemas.openxmlformats.org/package/2006/relationships"><Relationship Type="http://schemas.openxmlformats.org/officeDocument/2006/relationships/externalLinkPath" Target="/Users/eric/Documents/Stock%20Models/Pharma/IGC.xlsx" TargetMode="External" Id="rId1" /></Relationships>
</file>

<file path=xl/externalLinks/_rels/externalLink538.xml.rels><Relationships xmlns="http://schemas.openxmlformats.org/package/2006/relationships"><Relationship Type="http://schemas.openxmlformats.org/officeDocument/2006/relationships/externalLinkPath" Target="/Users/eric/Documents/Stock%20Models/Pharma/VBIO.xlsx" TargetMode="External" Id="rId1" /></Relationships>
</file>

<file path=xl/externalLinks/_rels/externalLink539.xml.rels><Relationships xmlns="http://schemas.openxmlformats.org/package/2006/relationships"><Relationship Type="http://schemas.openxmlformats.org/officeDocument/2006/relationships/externalLinkPath" Target="/Users/eric/Documents/Stock%20Models/Pharma/MCRB.xlsx" TargetMode="External" Id="rId1" /></Relationships>
</file>

<file path=xl/externalLinks/_rels/externalLink540.xml.rels><Relationships xmlns="http://schemas.openxmlformats.org/package/2006/relationships"><Relationship Type="http://schemas.openxmlformats.org/officeDocument/2006/relationships/externalLinkPath" Target="/Users/eric/Documents/Stock%20Models/Pharma/EDSA.xlsx" TargetMode="External" Id="rId1" /></Relationships>
</file>

<file path=xl/externalLinks/_rels/externalLink541.xml.rels><Relationships xmlns="http://schemas.openxmlformats.org/package/2006/relationships"><Relationship Type="http://schemas.openxmlformats.org/officeDocument/2006/relationships/externalLinkPath" Target="/Users/eric/Documents/Stock%20Models/Pharma/LNAI.xlsx" TargetMode="External" Id="rId1" /></Relationships>
</file>

<file path=xl/externalLinks/_rels/externalLink542.xml.rels><Relationships xmlns="http://schemas.openxmlformats.org/package/2006/relationships"><Relationship Type="http://schemas.openxmlformats.org/officeDocument/2006/relationships/externalLinkPath" Target="/Users/eric/Documents/Stock%20Models/Pharma/ABVC.xlsx" TargetMode="External" Id="rId1" /></Relationships>
</file>

<file path=xl/externalLinks/_rels/externalLink543.xml.rels><Relationships xmlns="http://schemas.openxmlformats.org/package/2006/relationships"><Relationship Type="http://schemas.openxmlformats.org/officeDocument/2006/relationships/externalLinkPath" Target="/Users/eric/Documents/Stock%20Models/Pharma/SCLX.xlsx" TargetMode="External" Id="rId1" /></Relationships>
</file>

<file path=xl/externalLinks/_rels/externalLink544.xml.rels><Relationships xmlns="http://schemas.openxmlformats.org/package/2006/relationships"><Relationship Type="http://schemas.openxmlformats.org/officeDocument/2006/relationships/externalLinkPath" Target="/Users/eric/Documents/Stock%20Models/Pharma/FFR.xlsx" TargetMode="External" Id="rId1" /></Relationships>
</file>

<file path=xl/externalLinks/_rels/externalLink545.xml.rels><Relationships xmlns="http://schemas.openxmlformats.org/package/2006/relationships"><Relationship Type="http://schemas.openxmlformats.org/officeDocument/2006/relationships/externalLinkPath" Target="/Users/eric/Documents/Stock%20Models/Pharma/EVAX.xlsx" TargetMode="External" Id="rId1" /></Relationships>
</file>

<file path=xl/externalLinks/_rels/externalLink546.xml.rels><Relationships xmlns="http://schemas.openxmlformats.org/package/2006/relationships"><Relationship Type="http://schemas.openxmlformats.org/officeDocument/2006/relationships/externalLinkPath" Target="/Users/eric/Documents/Stock%20Models/Pharma/BYSI.xlsx" TargetMode="External" Id="rId1" /></Relationships>
</file>

<file path=xl/externalLinks/_rels/externalLink547.xml.rels><Relationships xmlns="http://schemas.openxmlformats.org/package/2006/relationships"><Relationship Type="http://schemas.openxmlformats.org/officeDocument/2006/relationships/externalLinkPath" Target="/Users/eric/Documents/Stock%20Models/Pharma/CNTX.xlsx" TargetMode="External" Id="rId1" /></Relationships>
</file>

<file path=xl/externalLinks/_rels/externalLink548.xml.rels><Relationships xmlns="http://schemas.openxmlformats.org/package/2006/relationships"><Relationship Type="http://schemas.openxmlformats.org/officeDocument/2006/relationships/externalLinkPath" Target="/Users/eric/Documents/Stock%20Models/Pharma/TXMD.xlsx" TargetMode="External" Id="rId1" /></Relationships>
</file>

<file path=xl/externalLinks/_rels/externalLink549.xml.rels><Relationships xmlns="http://schemas.openxmlformats.org/package/2006/relationships"><Relationship Type="http://schemas.openxmlformats.org/officeDocument/2006/relationships/externalLinkPath" Target="/Users/eric/Documents/Stock%20Models/Pharma/KYNB.xlsx" TargetMode="External" Id="rId1" /></Relationships>
</file>

<file path=xl/externalLinks/_rels/externalLink550.xml.rels><Relationships xmlns="http://schemas.openxmlformats.org/package/2006/relationships"><Relationship Type="http://schemas.openxmlformats.org/officeDocument/2006/relationships/externalLinkPath" Target="/Users/eric/Documents/Stock%20Models/Pharma/AYTU.xlsx" TargetMode="External" Id="rId1" /></Relationships>
</file>

<file path=xl/externalLinks/_rels/externalLink551.xml.rels><Relationships xmlns="http://schemas.openxmlformats.org/package/2006/relationships"><Relationship Type="http://schemas.openxmlformats.org/officeDocument/2006/relationships/externalLinkPath" Target="/Users/eric/Documents/Stock%20Models/Pharma/COCP.xlsx" TargetMode="External" Id="rId1" /></Relationships>
</file>

<file path=xl/externalLinks/_rels/externalLink552.xml.rels><Relationships xmlns="http://schemas.openxmlformats.org/package/2006/relationships"><Relationship Type="http://schemas.openxmlformats.org/officeDocument/2006/relationships/externalLinkPath" Target="/Users/eric/Documents/Stock%20Models/Pharma/ESLA.xlsx" TargetMode="External" Id="rId1" /></Relationships>
</file>

<file path=xl/externalLinks/_rels/externalLink553.xml.rels><Relationships xmlns="http://schemas.openxmlformats.org/package/2006/relationships"><Relationship Type="http://schemas.openxmlformats.org/officeDocument/2006/relationships/externalLinkPath" Target="/Users/eric/Documents/Stock%20Models/Pharma/JAGX.xlsx" TargetMode="External" Id="rId1" /></Relationships>
</file>

<file path=xl/externalLinks/_rels/externalLink554.xml.rels><Relationships xmlns="http://schemas.openxmlformats.org/package/2006/relationships"><Relationship Type="http://schemas.openxmlformats.org/officeDocument/2006/relationships/externalLinkPath" Target="/Users/eric/Documents/Stock%20Models/Pharma/NEUP.xlsx" TargetMode="External" Id="rId1" /></Relationships>
</file>

<file path=xl/externalLinks/_rels/externalLink555.xml.rels><Relationships xmlns="http://schemas.openxmlformats.org/package/2006/relationships"><Relationship Type="http://schemas.openxmlformats.org/officeDocument/2006/relationships/externalLinkPath" Target="/Users/eric/Documents/Stock%20Models/Pharma/MRKR.xlsx" TargetMode="External" Id="rId1" /></Relationships>
</file>

<file path=xl/externalLinks/_rels/externalLink556.xml.rels><Relationships xmlns="http://schemas.openxmlformats.org/package/2006/relationships"><Relationship Type="http://schemas.openxmlformats.org/officeDocument/2006/relationships/externalLinkPath" Target="/Users/eric/Documents/Stock%20Models/Pharma/ATYR.xlsx" TargetMode="External" Id="rId1" /></Relationships>
</file>

<file path=xl/externalLinks/_rels/externalLink557.xml.rels><Relationships xmlns="http://schemas.openxmlformats.org/package/2006/relationships"><Relationship Type="http://schemas.openxmlformats.org/officeDocument/2006/relationships/externalLinkPath" Target="/Users/eric/Documents/Stock%20Models/Pharma/AKTX.xlsx" TargetMode="External" Id="rId1" /></Relationships>
</file>

<file path=xl/externalLinks/_rels/externalLink558.xml.rels><Relationships xmlns="http://schemas.openxmlformats.org/package/2006/relationships"><Relationship Type="http://schemas.openxmlformats.org/officeDocument/2006/relationships/externalLinkPath" Target="/Users/eric/Documents/Stock%20Models/Pharma/JSPR.xlsx" TargetMode="External" Id="rId1" /></Relationships>
</file>

<file path=xl/externalLinks/_rels/externalLink559.xml.rels><Relationships xmlns="http://schemas.openxmlformats.org/package/2006/relationships"><Relationship Type="http://schemas.openxmlformats.org/officeDocument/2006/relationships/externalLinkPath" Target="/Users/eric/Documents/Stock%20Models/Pharma/KAPA.xlsx" TargetMode="External" Id="rId1" /></Relationships>
</file>

<file path=xl/externalLinks/_rels/externalLink560.xml.rels><Relationships xmlns="http://schemas.openxmlformats.org/package/2006/relationships"><Relationship Type="http://schemas.openxmlformats.org/officeDocument/2006/relationships/externalLinkPath" Target="/Users/eric/Documents/Stock%20Models/Pharma/GNTA.xlsx" TargetMode="External" Id="rId1" /></Relationships>
</file>

<file path=xl/externalLinks/_rels/externalLink561.xml.rels><Relationships xmlns="http://schemas.openxmlformats.org/package/2006/relationships"><Relationship Type="http://schemas.openxmlformats.org/officeDocument/2006/relationships/externalLinkPath" Target="/Users/eric/Documents/Stock%20Models/Pharma/TCRX.xlsx" TargetMode="External" Id="rId1" /></Relationships>
</file>

<file path=xl/externalLinks/_rels/externalLink562.xml.rels><Relationships xmlns="http://schemas.openxmlformats.org/package/2006/relationships"><Relationship Type="http://schemas.openxmlformats.org/officeDocument/2006/relationships/externalLinkPath" Target="/Users/eric/Documents/Stock%20Models/Pharma/DYAI.xlsx" TargetMode="External" Id="rId1" /></Relationships>
</file>

<file path=xl/externalLinks/_rels/externalLink563.xml.rels><Relationships xmlns="http://schemas.openxmlformats.org/package/2006/relationships"><Relationship Type="http://schemas.openxmlformats.org/officeDocument/2006/relationships/externalLinkPath" Target="/Users/eric/Documents/Stock%20Models/Pharma/PLRZ.xlsx" TargetMode="External" Id="rId1" /></Relationships>
</file>

<file path=xl/externalLinks/_rels/externalLink564.xml.rels><Relationships xmlns="http://schemas.openxmlformats.org/package/2006/relationships"><Relationship Type="http://schemas.openxmlformats.org/officeDocument/2006/relationships/externalLinkPath" Target="/Users/eric/Documents/Stock%20Models/Pharma/ACTU.xlsx" TargetMode="External" Id="rId1" /></Relationships>
</file>

<file path=xl/externalLinks/_rels/externalLink565.xml.rels><Relationships xmlns="http://schemas.openxmlformats.org/package/2006/relationships"><Relationship Type="http://schemas.openxmlformats.org/officeDocument/2006/relationships/externalLinkPath" Target="/Users/eric/Documents/Stock%20Models/Pharma/ALLR.xlsx" TargetMode="External" Id="rId1" /></Relationships>
</file>

<file path=xl/externalLinks/_rels/externalLink566.xml.rels><Relationships xmlns="http://schemas.openxmlformats.org/package/2006/relationships"><Relationship Type="http://schemas.openxmlformats.org/officeDocument/2006/relationships/externalLinkPath" Target="/Users/eric/Documents/Stock%20Models/Pharma/KTTA.xlsx" TargetMode="External" Id="rId1" /></Relationships>
</file>

<file path=xl/externalLinks/_rels/externalLink567.xml.rels><Relationships xmlns="http://schemas.openxmlformats.org/package/2006/relationships"><Relationship Type="http://schemas.openxmlformats.org/officeDocument/2006/relationships/externalLinkPath" Target="/Users/eric/Documents/Stock%20Models/Pharma/BCDA.xlsx" TargetMode="External" Id="rId1" /></Relationships>
</file>

<file path=xl/externalLinks/_rels/externalLink568.xml.rels><Relationships xmlns="http://schemas.openxmlformats.org/package/2006/relationships"><Relationship Type="http://schemas.openxmlformats.org/officeDocument/2006/relationships/externalLinkPath" Target="/Users/eric/Documents/Stock%20Models/Pharma/LPCN.xlsx" TargetMode="External" Id="rId1" /></Relationships>
</file>

<file path=xl/externalLinks/_rels/externalLink569.xml.rels><Relationships xmlns="http://schemas.openxmlformats.org/package/2006/relationships"><Relationship Type="http://schemas.openxmlformats.org/officeDocument/2006/relationships/externalLinkPath" Target="/Users/eric/Documents/Stock%20Models/Pharma/NCEL.xlsx" TargetMode="External" Id="rId1" /></Relationships>
</file>

<file path=xl/externalLinks/_rels/externalLink570.xml.rels><Relationships xmlns="http://schemas.openxmlformats.org/package/2006/relationships"><Relationship Type="http://schemas.openxmlformats.org/officeDocument/2006/relationships/externalLinkPath" Target="/Users/eric/Documents/Stock%20Models/Pharma/TVRD.xlsx" TargetMode="External" Id="rId1" /></Relationships>
</file>

<file path=xl/externalLinks/_rels/externalLink571.xml.rels><Relationships xmlns="http://schemas.openxmlformats.org/package/2006/relationships"><Relationship Type="http://schemas.openxmlformats.org/officeDocument/2006/relationships/externalLinkPath" Target="/Users/eric/Documents/Stock%20Models/Pharma/RKTO.xlsx" TargetMode="External" Id="rId1" /></Relationships>
</file>

<file path=xl/externalLinks/_rels/externalLink572.xml.rels><Relationships xmlns="http://schemas.openxmlformats.org/package/2006/relationships"><Relationship Type="http://schemas.openxmlformats.org/officeDocument/2006/relationships/externalLinkPath" Target="/Users/eric/Documents/Stock%20Models/Pharma/HIND.xlsx" TargetMode="External" Id="rId1" /></Relationships>
</file>

<file path=xl/externalLinks/_rels/externalLink573.xml.rels><Relationships xmlns="http://schemas.openxmlformats.org/package/2006/relationships"><Relationship Type="http://schemas.openxmlformats.org/officeDocument/2006/relationships/externalLinkPath" Target="/Users/eric/Documents/Stock%20Models/Pharma/CNSY.xlsx" TargetMode="External" Id="rId1" /></Relationships>
</file>

<file path=xl/externalLinks/_rels/externalLink574.xml.rels><Relationships xmlns="http://schemas.openxmlformats.org/package/2006/relationships"><Relationship Type="http://schemas.openxmlformats.org/officeDocument/2006/relationships/externalLinkPath" Target="/Users/eric/Documents/Stock%20Models/Pharma/CTXR.xlsx" TargetMode="External" Id="rId1" /></Relationships>
</file>

<file path=xl/externalLinks/_rels/externalLink575.xml.rels><Relationships xmlns="http://schemas.openxmlformats.org/package/2006/relationships"><Relationship Type="http://schemas.openxmlformats.org/officeDocument/2006/relationships/externalLinkPath" Target="/Users/eric/Documents/Stock%20Models/Pharma/ARTL.xlsx" TargetMode="External" Id="rId1" /></Relationships>
</file>

<file path=xl/externalLinks/_rels/externalLink576.xml.rels><Relationships xmlns="http://schemas.openxmlformats.org/package/2006/relationships"><Relationship Type="http://schemas.openxmlformats.org/officeDocument/2006/relationships/externalLinkPath" Target="/Users/eric/Documents/Stock%20Models/Pharma/BFRI.xlsx" TargetMode="External" Id="rId1" /></Relationships>
</file>

<file path=xl/externalLinks/_rels/externalLink577.xml.rels><Relationships xmlns="http://schemas.openxmlformats.org/package/2006/relationships"><Relationship Type="http://schemas.openxmlformats.org/officeDocument/2006/relationships/externalLinkPath" Target="/Users/eric/Documents/Stock%20Models/Pharma/AEON.xlsx" TargetMode="External" Id="rId1" /></Relationships>
</file>

<file path=xl/externalLinks/_rels/externalLink578.xml.rels><Relationships xmlns="http://schemas.openxmlformats.org/package/2006/relationships"><Relationship Type="http://schemas.openxmlformats.org/officeDocument/2006/relationships/externalLinkPath" Target="/Users/eric/Documents/Stock%20Models/Pharma/ASBP.xlsx" TargetMode="External" Id="rId1" /></Relationships>
</file>

<file path=xl/externalLinks/_rels/externalLink579.xml.rels><Relationships xmlns="http://schemas.openxmlformats.org/package/2006/relationships"><Relationship Type="http://schemas.openxmlformats.org/officeDocument/2006/relationships/externalLinkPath" Target="/Users/eric/Documents/Stock%20Models/Pharma/KZIA.xlsx" TargetMode="External" Id="rId1" /></Relationships>
</file>

<file path=xl/externalLinks/_rels/externalLink580.xml.rels><Relationships xmlns="http://schemas.openxmlformats.org/package/2006/relationships"><Relationship Type="http://schemas.openxmlformats.org/officeDocument/2006/relationships/externalLinkPath" Target="/Users/eric/Documents/Stock%20Models/Pharma/ENSC.xlsx" TargetMode="External" Id="rId1" /></Relationships>
</file>

<file path=xl/externalLinks/_rels/externalLink581.xml.rels><Relationships xmlns="http://schemas.openxmlformats.org/package/2006/relationships"><Relationship Type="http://schemas.openxmlformats.org/officeDocument/2006/relationships/externalLinkPath" Target="/Users/eric/Documents/Stock%20Models/Pharma/PTN.xlsx" TargetMode="External" Id="rId1" /></Relationships>
</file>

<file path=xl/externalLinks/_rels/externalLink582.xml.rels><Relationships xmlns="http://schemas.openxmlformats.org/package/2006/relationships"><Relationship Type="http://schemas.openxmlformats.org/officeDocument/2006/relationships/externalLinkPath" Target="/Users/eric/Documents/Stock%20Models/Pharma/PASG.xlsx" TargetMode="External" Id="rId1" /></Relationships>
</file>

<file path=xl/externalLinks/_rels/externalLink583.xml.rels><Relationships xmlns="http://schemas.openxmlformats.org/package/2006/relationships"><Relationship Type="http://schemas.openxmlformats.org/officeDocument/2006/relationships/externalLinkPath" Target="/Users/eric/Documents/Stock%20Models/Pharma/DARE.xlsx" TargetMode="External" Id="rId1" /></Relationships>
</file>

<file path=xl/externalLinks/_rels/externalLink584.xml.rels><Relationships xmlns="http://schemas.openxmlformats.org/package/2006/relationships"><Relationship Type="http://schemas.openxmlformats.org/officeDocument/2006/relationships/externalLinkPath" Target="/Users/eric/Documents/Stock%20Models/Pharma/PLUR.xlsx" TargetMode="External" Id="rId1" /></Relationships>
</file>

<file path=xl/externalLinks/_rels/externalLink585.xml.rels><Relationships xmlns="http://schemas.openxmlformats.org/package/2006/relationships"><Relationship Type="http://schemas.openxmlformats.org/officeDocument/2006/relationships/externalLinkPath" Target="/Users/eric/Documents/Stock%20Models/Pharma/INAB.xlsx" TargetMode="External" Id="rId1" /></Relationships>
</file>

<file path=xl/externalLinks/_rels/externalLink586.xml.rels><Relationships xmlns="http://schemas.openxmlformats.org/package/2006/relationships"><Relationship Type="http://schemas.openxmlformats.org/officeDocument/2006/relationships/externalLinkPath" Target="/Users/eric/Documents/Stock%20Models/Pharma/INTS.xlsx" TargetMode="External" Id="rId1" /></Relationships>
</file>

<file path=xl/externalLinks/_rels/externalLink587.xml.rels><Relationships xmlns="http://schemas.openxmlformats.org/package/2006/relationships"><Relationship Type="http://schemas.openxmlformats.org/officeDocument/2006/relationships/externalLinkPath" Target="/Users/eric/Documents/Stock%20Models/Pharma/CLRB.xlsx" TargetMode="External" Id="rId1" /></Relationships>
</file>

<file path=xl/externalLinks/_rels/externalLink588.xml.rels><Relationships xmlns="http://schemas.openxmlformats.org/package/2006/relationships"><Relationship Type="http://schemas.openxmlformats.org/officeDocument/2006/relationships/externalLinkPath" Target="/Users/eric/Documents/Stock%20Models/Pharma/KPRX.xlsx" TargetMode="External" Id="rId1" /></Relationships>
</file>

<file path=xl/externalLinks/_rels/externalLink589.xml.rels><Relationships xmlns="http://schemas.openxmlformats.org/package/2006/relationships"><Relationship Type="http://schemas.openxmlformats.org/officeDocument/2006/relationships/externalLinkPath" Target="/Users/eric/Documents/Stock%20Models/Pharma/MDXH.xlsx" TargetMode="External" Id="rId1" /></Relationships>
</file>

<file path=xl/externalLinks/_rels/externalLink590.xml.rels><Relationships xmlns="http://schemas.openxmlformats.org/package/2006/relationships"><Relationship Type="http://schemas.openxmlformats.org/officeDocument/2006/relationships/externalLinkPath" Target="/Users/eric/Documents/Stock%20Models/Pharma/QNTM.xlsx" TargetMode="External" Id="rId1" /></Relationships>
</file>

<file path=xl/externalLinks/_rels/externalLink591.xml.rels><Relationships xmlns="http://schemas.openxmlformats.org/package/2006/relationships"><Relationship Type="http://schemas.openxmlformats.org/officeDocument/2006/relationships/externalLinkPath" Target="/Users/eric/Documents/Stock%20Models/Pharma/GDTC.xlsx" TargetMode="External" Id="rId1" /></Relationships>
</file>

<file path=xl/externalLinks/_rels/externalLink592.xml.rels><Relationships xmlns="http://schemas.openxmlformats.org/package/2006/relationships"><Relationship Type="http://schemas.openxmlformats.org/officeDocument/2006/relationships/externalLinkPath" Target="/Users/eric/Documents/Stock%20Models/Pharma/PHIO.xlsx" TargetMode="External" Id="rId1" /></Relationships>
</file>

<file path=xl/externalLinks/_rels/externalLink593.xml.rels><Relationships xmlns="http://schemas.openxmlformats.org/package/2006/relationships"><Relationship Type="http://schemas.openxmlformats.org/officeDocument/2006/relationships/externalLinkPath" Target="/Users/eric/Documents/Stock%20Models/Pharma/TPST.xlsx" TargetMode="External" Id="rId1" /></Relationships>
</file>

<file path=xl/externalLinks/_rels/externalLink594.xml.rels><Relationships xmlns="http://schemas.openxmlformats.org/package/2006/relationships"><Relationship Type="http://schemas.openxmlformats.org/officeDocument/2006/relationships/externalLinkPath" Target="/Users/eric/Documents/Stock%20Models/Pharma/PBM.xlsx" TargetMode="External" Id="rId1" /></Relationships>
</file>

<file path=xl/externalLinks/_rels/externalLink595.xml.rels><Relationships xmlns="http://schemas.openxmlformats.org/package/2006/relationships"><Relationship Type="http://schemas.openxmlformats.org/officeDocument/2006/relationships/externalLinkPath" Target="/Users/eric/Documents/Stock%20Models/Pharma/TOVX.xlsx" TargetMode="External" Id="rId1" /></Relationships>
</file>

<file path=xl/externalLinks/_rels/externalLink596.xml.rels><Relationships xmlns="http://schemas.openxmlformats.org/package/2006/relationships"><Relationship Type="http://schemas.openxmlformats.org/officeDocument/2006/relationships/externalLinkPath" Target="/Users/eric/Documents/Stock%20Models/Pharma/LSTA.xlsx" TargetMode="External" Id="rId1" /></Relationships>
</file>

<file path=xl/externalLinks/_rels/externalLink597.xml.rels><Relationships xmlns="http://schemas.openxmlformats.org/package/2006/relationships"><Relationship Type="http://schemas.openxmlformats.org/officeDocument/2006/relationships/externalLinkPath" Target="/Users/eric/Documents/Stock%20Models/Pharma/CMMB.xlsx" TargetMode="External" Id="rId1" /></Relationships>
</file>

<file path=xl/externalLinks/_rels/externalLink598.xml.rels><Relationships xmlns="http://schemas.openxmlformats.org/package/2006/relationships"><Relationship Type="http://schemas.openxmlformats.org/officeDocument/2006/relationships/externalLinkPath" Target="/Users/eric/Documents/Stock%20Models/Pharma/ADIL.xlsx" TargetMode="External" Id="rId1" /></Relationships>
</file>

<file path=xl/externalLinks/_rels/externalLink599.xml.rels><Relationships xmlns="http://schemas.openxmlformats.org/package/2006/relationships"><Relationship Type="http://schemas.openxmlformats.org/officeDocument/2006/relationships/externalLinkPath" Target="/Users/eric/Documents/Stock%20Models/Pharma/MTVA.xlsx" TargetMode="External" Id="rId1" /></Relationships>
</file>

<file path=xl/externalLinks/_rels/externalLink600.xml.rels><Relationships xmlns="http://schemas.openxmlformats.org/package/2006/relationships"><Relationship Type="http://schemas.openxmlformats.org/officeDocument/2006/relationships/externalLinkPath" Target="/Users/eric/Documents/Stock%20Models/Pharma/VTGN.xlsx" TargetMode="External" Id="rId1" /></Relationships>
</file>

<file path=xl/externalLinks/_rels/externalLink601.xml.rels><Relationships xmlns="http://schemas.openxmlformats.org/package/2006/relationships"><Relationship Type="http://schemas.openxmlformats.org/officeDocument/2006/relationships/externalLinkPath" Target="/Users/eric/Documents/Stock%20Models/Pharma/KPTI.xlsx" TargetMode="External" Id="rId1" /></Relationships>
</file>

<file path=xl/externalLinks/_rels/externalLink602.xml.rels><Relationships xmlns="http://schemas.openxmlformats.org/package/2006/relationships"><Relationship Type="http://schemas.openxmlformats.org/officeDocument/2006/relationships/externalLinkPath" Target="/Users/eric/Documents/Stock%20Models/Pharma/LTRN.xlsx" TargetMode="External" Id="rId1" /></Relationships>
</file>

<file path=xl/externalLinks/_rels/externalLink603.xml.rels><Relationships xmlns="http://schemas.openxmlformats.org/package/2006/relationships"><Relationship Type="http://schemas.openxmlformats.org/officeDocument/2006/relationships/externalLinkPath" Target="/Users/eric/Documents/Stock%20Models/Pharma/BIVI.xlsx" TargetMode="External" Id="rId1" /></Relationships>
</file>

<file path=xl/externalLinks/_rels/externalLink604.xml.rels><Relationships xmlns="http://schemas.openxmlformats.org/package/2006/relationships"><Relationship Type="http://schemas.openxmlformats.org/officeDocument/2006/relationships/externalLinkPath" Target="/Users/eric/Documents/Stock%20Models/Pharma/IMCC.xlsx" TargetMode="External" Id="rId1" /></Relationships>
</file>

<file path=xl/externalLinks/_rels/externalLink605.xml.rels><Relationships xmlns="http://schemas.openxmlformats.org/package/2006/relationships"><Relationship Type="http://schemas.openxmlformats.org/officeDocument/2006/relationships/externalLinkPath" Target="/Users/eric/Documents/Stock%20Models/Pharma/BOLT.xlsx" TargetMode="External" Id="rId1" /></Relationships>
</file>

<file path=xl/externalLinks/_rels/externalLink606.xml.rels><Relationships xmlns="http://schemas.openxmlformats.org/package/2006/relationships"><Relationship Type="http://schemas.openxmlformats.org/officeDocument/2006/relationships/externalLinkPath" Target="/Users/eric/Documents/Stock%20Models/Pharma/RGNT.xlsx" TargetMode="External" Id="rId1" /></Relationships>
</file>

<file path=xl/externalLinks/_rels/externalLink607.xml.rels><Relationships xmlns="http://schemas.openxmlformats.org/package/2006/relationships"><Relationship Type="http://schemas.openxmlformats.org/officeDocument/2006/relationships/externalLinkPath" Target="/Users/eric/Documents/Stock%20Models/Pharma/IMRN.xlsx" TargetMode="External" Id="rId1" /></Relationships>
</file>

<file path=xl/externalLinks/_rels/externalLink608.xml.rels><Relationships xmlns="http://schemas.openxmlformats.org/package/2006/relationships"><Relationship Type="http://schemas.openxmlformats.org/officeDocument/2006/relationships/externalLinkPath" Target="/Users/eric/Documents/Stock%20Models/Pharma/SNGX.xlsx" TargetMode="External" Id="rId1" /></Relationships>
</file>

<file path=xl/externalLinks/_rels/externalLink609.xml.rels><Relationships xmlns="http://schemas.openxmlformats.org/package/2006/relationships"><Relationship Type="http://schemas.openxmlformats.org/officeDocument/2006/relationships/externalLinkPath" Target="/Users/eric/Documents/Stock%20Models/Pharma/APRE.xlsx" TargetMode="External" Id="rId1" /></Relationships>
</file>

<file path=xl/externalLinks/_rels/externalLink610.xml.rels><Relationships xmlns="http://schemas.openxmlformats.org/package/2006/relationships"><Relationship Type="http://schemas.openxmlformats.org/officeDocument/2006/relationships/externalLinkPath" Target="/Users/eric/Documents/Stock%20Models/Pharma/INM.xlsx" TargetMode="External" Id="rId1" /></Relationships>
</file>

<file path=xl/externalLinks/_rels/externalLink611.xml.rels><Relationships xmlns="http://schemas.openxmlformats.org/package/2006/relationships"><Relationship Type="http://schemas.openxmlformats.org/officeDocument/2006/relationships/externalLinkPath" Target="/Users/eric/Documents/Stock%20Models/Pharma/XCUR.xlsx" TargetMode="External" Id="rId1" /></Relationships>
</file>

<file path=xl/externalLinks/_rels/externalLink612.xml.rels><Relationships xmlns="http://schemas.openxmlformats.org/package/2006/relationships"><Relationship Type="http://schemas.openxmlformats.org/officeDocument/2006/relationships/externalLinkPath" Target="/Users/eric/Documents/Stock%20Models/Pharma/CNSP.xlsx" TargetMode="External" Id="rId1" /></Relationships>
</file>

<file path=xl/externalLinks/_rels/externalLink613.xml.rels><Relationships xmlns="http://schemas.openxmlformats.org/package/2006/relationships"><Relationship Type="http://schemas.openxmlformats.org/officeDocument/2006/relationships/externalLinkPath" Target="/Users/eric/Documents/Stock%20Models/Pharma/SNTI.xlsx" TargetMode="External" Id="rId1" /></Relationships>
</file>

<file path=xl/externalLinks/_rels/externalLink614.xml.rels><Relationships xmlns="http://schemas.openxmlformats.org/package/2006/relationships"><Relationship Type="http://schemas.openxmlformats.org/officeDocument/2006/relationships/externalLinkPath" Target="/Users/eric/Documents/Stock%20Models/Pharma/TCRT.xlsx" TargetMode="External" Id="rId1" /></Relationships>
</file>

<file path=xl/externalLinks/_rels/externalLink615.xml.rels><Relationships xmlns="http://schemas.openxmlformats.org/package/2006/relationships"><Relationship Type="http://schemas.openxmlformats.org/officeDocument/2006/relationships/externalLinkPath" Target="/Users/eric/Documents/Stock%20Models/Pharma/FBLG.xlsx" TargetMode="External" Id="rId1" /></Relationships>
</file>

<file path=xl/externalLinks/_rels/externalLink616.xml.rels><Relationships xmlns="http://schemas.openxmlformats.org/package/2006/relationships"><Relationship Type="http://schemas.openxmlformats.org/officeDocument/2006/relationships/externalLinkPath" Target="/Users/eric/Documents/Stock%20Models/Pharma/ALZN.xlsx" TargetMode="External" Id="rId1" /></Relationships>
</file>

<file path=xl/externalLinks/_rels/externalLink617.xml.rels><Relationships xmlns="http://schemas.openxmlformats.org/package/2006/relationships"><Relationship Type="http://schemas.openxmlformats.org/officeDocument/2006/relationships/externalLinkPath" Target="/Users/eric/Documents/Stock%20Models/Pharma/TRAW.xlsx" TargetMode="External" Id="rId1" /></Relationships>
</file>

<file path=xl/externalLinks/_rels/externalLink618.xml.rels><Relationships xmlns="http://schemas.openxmlformats.org/package/2006/relationships"><Relationship Type="http://schemas.openxmlformats.org/officeDocument/2006/relationships/externalLinkPath" Target="/Users/eric/Documents/Stock%20Models/Pharma/ENVB.xlsx" TargetMode="External" Id="rId1" /></Relationships>
</file>

<file path=xl/externalLinks/_rels/externalLink619.xml.rels><Relationships xmlns="http://schemas.openxmlformats.org/package/2006/relationships"><Relationship Type="http://schemas.openxmlformats.org/officeDocument/2006/relationships/externalLinkPath" Target="/Users/eric/Documents/Stock%20Models/Pharma/BGMS.xlsx" TargetMode="External" Id="rId1" /></Relationships>
</file>

<file path=xl/externalLinks/_rels/externalLink620.xml.rels><Relationships xmlns="http://schemas.openxmlformats.org/package/2006/relationships"><Relationship Type="http://schemas.openxmlformats.org/officeDocument/2006/relationships/externalLinkPath" Target="/Users/eric/Documents/Stock%20Models/Pharma/APUS.xlsx" TargetMode="External" Id="rId1" /></Relationships>
</file>

<file path=xl/externalLinks/_rels/externalLink621.xml.rels><Relationships xmlns="http://schemas.openxmlformats.org/package/2006/relationships"><Relationship Type="http://schemas.openxmlformats.org/officeDocument/2006/relationships/externalLinkPath" Target="/Users/eric/Documents/Stock%20Models/Pharma/HLSQ.xlsx" TargetMode="External" Id="rId1" /></Relationships>
</file>

<file path=xl/externalLinks/_rels/externalLink622.xml.rels><Relationships xmlns="http://schemas.openxmlformats.org/package/2006/relationships"><Relationship Type="http://schemas.openxmlformats.org/officeDocument/2006/relationships/externalLinkPath" Target="/Users/eric/Documents/Stock%20Models/Pharma/ACXP.xlsx" TargetMode="External" Id="rId1" /></Relationships>
</file>

<file path=xl/externalLinks/_rels/externalLink623.xml.rels><Relationships xmlns="http://schemas.openxmlformats.org/package/2006/relationships"><Relationship Type="http://schemas.openxmlformats.org/officeDocument/2006/relationships/externalLinkPath" Target="/Users/eric/Documents/Stock%20Models/Pharma/IMNN.xlsx" TargetMode="External" Id="rId1" /></Relationships>
</file>

<file path=xl/externalLinks/_rels/externalLink624.xml.rels><Relationships xmlns="http://schemas.openxmlformats.org/package/2006/relationships"><Relationship Type="http://schemas.openxmlformats.org/officeDocument/2006/relationships/externalLinkPath" Target="/Users/eric/Documents/Stock%20Models/Pharma/AQB.xlsx" TargetMode="External" Id="rId1" /></Relationships>
</file>

<file path=xl/externalLinks/_rels/externalLink625.xml.rels><Relationships xmlns="http://schemas.openxmlformats.org/package/2006/relationships"><Relationship Type="http://schemas.openxmlformats.org/officeDocument/2006/relationships/externalLinkPath" Target="/Users/eric/Documents/Stock%20Models/Pharma/MBRX.xlsx" TargetMode="External" Id="rId1" /></Relationships>
</file>

<file path=xl/externalLinks/_rels/externalLink626.xml.rels><Relationships xmlns="http://schemas.openxmlformats.org/package/2006/relationships"><Relationship Type="http://schemas.openxmlformats.org/officeDocument/2006/relationships/externalLinkPath" Target="/Users/eric/Documents/Stock%20Models/Pharma/SNOA.xlsx" TargetMode="External" Id="rId1" /></Relationships>
</file>

<file path=xl/externalLinks/_rels/externalLink627.xml.rels><Relationships xmlns="http://schemas.openxmlformats.org/package/2006/relationships"><Relationship Type="http://schemas.openxmlformats.org/officeDocument/2006/relationships/externalLinkPath" Target="/Users/eric/Documents/Stock%20Models/Pharma/PULM.xlsx" TargetMode="External" Id="rId1" /></Relationships>
</file>

<file path=xl/externalLinks/_rels/externalLink628.xml.rels><Relationships xmlns="http://schemas.openxmlformats.org/package/2006/relationships"><Relationship Type="http://schemas.openxmlformats.org/officeDocument/2006/relationships/externalLinkPath" Target="/Users/eric/Documents/Stock%20Models/Pharma/AIM.xlsx" TargetMode="External" Id="rId1" /></Relationships>
</file>

<file path=xl/externalLinks/_rels/externalLink629.xml.rels><Relationships xmlns="http://schemas.openxmlformats.org/package/2006/relationships"><Relationship Type="http://schemas.openxmlformats.org/officeDocument/2006/relationships/externalLinkPath" Target="/Users/eric/Documents/Stock%20Models/Pharma/CELZ.xlsx" TargetMode="External" Id="rId1" /></Relationships>
</file>

<file path=xl/externalLinks/_rels/externalLink630.xml.rels><Relationships xmlns="http://schemas.openxmlformats.org/package/2006/relationships"><Relationship Type="http://schemas.openxmlformats.org/officeDocument/2006/relationships/externalLinkPath" Target="/Users/eric/Documents/Stock%20Models/Pharma/GELS.xlsx" TargetMode="External" Id="rId1" /></Relationships>
</file>

<file path=xl/externalLinks/_rels/externalLink631.xml.rels><Relationships xmlns="http://schemas.openxmlformats.org/package/2006/relationships"><Relationship Type="http://schemas.openxmlformats.org/officeDocument/2006/relationships/externalLinkPath" Target="/Users/eric/Documents/Stock%20Models/Pharma/PCSA.xlsx" TargetMode="External" Id="rId1" /></Relationships>
</file>

<file path=xl/externalLinks/_rels/externalLink632.xml.rels><Relationships xmlns="http://schemas.openxmlformats.org/package/2006/relationships"><Relationship Type="http://schemas.openxmlformats.org/officeDocument/2006/relationships/externalLinkPath" Target="/Users/eric/Documents/Stock%20Models/Pharma/XBIO.xlsx" TargetMode="External" Id="rId1" /></Relationships>
</file>

<file path=xl/externalLinks/_rels/externalLink633.xml.rels><Relationships xmlns="http://schemas.openxmlformats.org/package/2006/relationships"><Relationship Type="http://schemas.openxmlformats.org/officeDocument/2006/relationships/externalLinkPath" Target="/Users/eric/Documents/Stock%20Models/Pharma/QCLS.xlsx" TargetMode="External" Id="rId1" /></Relationships>
</file>

<file path=xl/externalLinks/_rels/externalLink634.xml.rels><Relationships xmlns="http://schemas.openxmlformats.org/package/2006/relationships"><Relationship Type="http://schemas.openxmlformats.org/officeDocument/2006/relationships/externalLinkPath" Target="/Users/eric/Documents/Stock%20Models/Pharma/AZTR.xlsx" TargetMode="External" Id="rId1" /></Relationships>
</file>

<file path=xl/externalLinks/_rels/externalLink635.xml.rels><Relationships xmlns="http://schemas.openxmlformats.org/package/2006/relationships"><Relationship Type="http://schemas.openxmlformats.org/officeDocument/2006/relationships/externalLinkPath" Target="/Users/eric/Documents/Stock%20Models/Pharma/NCNA.xlsx" TargetMode="External" Id="rId1" /></Relationships>
</file>

<file path=xl/externalLinks/_rels/externalLink636.xml.rels><Relationships xmlns="http://schemas.openxmlformats.org/package/2006/relationships"><Relationship Type="http://schemas.openxmlformats.org/officeDocument/2006/relationships/externalLinkPath" Target="/Users/eric/Documents/Stock%20Models/Pharma/YCBD.xlsx" TargetMode="External" Id="rId1" /></Relationships>
</file>

<file path=xl/externalLinks/_rels/externalLink637.xml.rels><Relationships xmlns="http://schemas.openxmlformats.org/package/2006/relationships"><Relationship Type="http://schemas.openxmlformats.org/officeDocument/2006/relationships/externalLinkPath" Target="/Users/eric/Documents/Stock%20Models/Pharma/CVKD.xlsx" TargetMode="External" Id="rId1" /></Relationships>
</file>

<file path=xl/externalLinks/_rels/externalLink638.xml.rels><Relationships xmlns="http://schemas.openxmlformats.org/package/2006/relationships"><Relationship Type="http://schemas.openxmlformats.org/officeDocument/2006/relationships/externalLinkPath" Target="/Users/eric/Documents/Stock%20Models/Pharma/PMCB.xlsx" TargetMode="External" Id="rId1" /></Relationships>
</file>

<file path=xl/externalLinks/_rels/externalLink639.xml.rels><Relationships xmlns="http://schemas.openxmlformats.org/package/2006/relationships"><Relationship Type="http://schemas.openxmlformats.org/officeDocument/2006/relationships/externalLinkPath" Target="/Users/eric/Documents/Stock%20Models/Pharma/KALA.xlsx" TargetMode="External" Id="rId1" /></Relationships>
</file>

<file path=xl/externalLinks/_rels/externalLink640.xml.rels><Relationships xmlns="http://schemas.openxmlformats.org/package/2006/relationships"><Relationship Type="http://schemas.openxmlformats.org/officeDocument/2006/relationships/externalLinkPath" Target="/Users/eric/Documents/Stock%20Models/Pharma/ERNA.xlsx" TargetMode="External" Id="rId1" /></Relationships>
</file>

<file path=xl/externalLinks/_rels/externalLink641.xml.rels><Relationships xmlns="http://schemas.openxmlformats.org/package/2006/relationships"><Relationship Type="http://schemas.openxmlformats.org/officeDocument/2006/relationships/externalLinkPath" Target="/Users/eric/Documents/Stock%20Models/Pharma/SNES.xlsx" TargetMode="External" Id="rId1" /></Relationships>
</file>

<file path=xl/externalLinks/_rels/externalLink642.xml.rels><Relationships xmlns="http://schemas.openxmlformats.org/package/2006/relationships"><Relationship Type="http://schemas.openxmlformats.org/officeDocument/2006/relationships/externalLinkPath" Target="/Users/eric/Documents/Stock%20Models/Pharma/DRMA.xlsx" TargetMode="External" Id="rId1" /></Relationships>
</file>

<file path=xl/externalLinks/_rels/externalLink643.xml.rels><Relationships xmlns="http://schemas.openxmlformats.org/package/2006/relationships"><Relationship Type="http://schemas.openxmlformats.org/officeDocument/2006/relationships/externalLinkPath" Target="/Users/eric/Documents/Stock%20Models/Pharma/EVGN.xlsx" TargetMode="External" Id="rId1" /></Relationships>
</file>

<file path=xl/externalLinks/_rels/externalLink644.xml.rels><Relationships xmlns="http://schemas.openxmlformats.org/package/2006/relationships"><Relationship Type="http://schemas.openxmlformats.org/officeDocument/2006/relationships/externalLinkPath" Target="/Users/eric/Documents/Stock%20Models/Pharma/APVO.xlsx" TargetMode="External" Id="rId1" /></Relationships>
</file>

<file path=xl/externalLinks/_rels/externalLink645.xml.rels><Relationships xmlns="http://schemas.openxmlformats.org/package/2006/relationships"><Relationship Type="http://schemas.openxmlformats.org/officeDocument/2006/relationships/externalLinkPath" Target="/Users/eric/Documents/Stock%20Models/Pharma/SXTP.xlsx" TargetMode="External" Id="rId1" /></Relationships>
</file>

<file path=xl/externalLinks/_rels/externalLink646.xml.rels><Relationships xmlns="http://schemas.openxmlformats.org/package/2006/relationships"><Relationship Type="http://schemas.openxmlformats.org/officeDocument/2006/relationships/externalLinkPath" Target="/Users/eric/Documents/Stock%20Models/Pharma/GRI.xlsx" TargetMode="External" Id="rId1" /></Relationships>
</file>

<file path=xl/externalLinks/_rels/externalLink647.xml.rels><Relationships xmlns="http://schemas.openxmlformats.org/package/2006/relationships"><Relationship Type="http://schemas.openxmlformats.org/officeDocument/2006/relationships/externalLinkPath" Target="/Users/eric/Documents/Stock%20Models/Pharma/EOCN.xlsx" TargetMode="External" Id="rId1" /></Relationships>
</file>

<file path=xl/externalLinks/_rels/externalLink648.xml.rels><Relationships xmlns="http://schemas.openxmlformats.org/package/2006/relationships"><Relationship Type="http://schemas.openxmlformats.org/officeDocument/2006/relationships/externalLinkPath" Target="/Users/eric/Documents/Stock%20Models/Pharma/MBIO.xlsx" TargetMode="External" Id="rId1" /></Relationships>
</file>

<file path=xl/externalLinks/_rels/externalLink649.xml.rels><Relationships xmlns="http://schemas.openxmlformats.org/package/2006/relationships"><Relationship Type="http://schemas.openxmlformats.org/officeDocument/2006/relationships/externalLinkPath" Target="/Users/eric/Documents/Stock%20Models/Pharma/SCNI.xlsx" TargetMode="External" Id="rId1" /></Relationships>
</file>

<file path=xl/externalLinks/_rels/externalLink650.xml.rels><Relationships xmlns="http://schemas.openxmlformats.org/package/2006/relationships"><Relationship Type="http://schemas.openxmlformats.org/officeDocument/2006/relationships/externalLinkPath" Target="/Users/eric/Documents/Stock%20Models/Pharma/RDHL.xlsx" TargetMode="External" Id="rId1" /></Relationships>
</file>

<file path=xl/externalLinks/_rels/externalLink651.xml.rels><Relationships xmlns="http://schemas.openxmlformats.org/package/2006/relationships"><Relationship Type="http://schemas.openxmlformats.org/officeDocument/2006/relationships/externalLinkPath" Target="/Users/eric/Documents/Stock%20Models/Pharma/CANF.xlsx" TargetMode="External" Id="rId1" /></Relationships>
</file>

<file path=xl/externalLinks/_rels/externalLink652.xml.rels><Relationships xmlns="http://schemas.openxmlformats.org/package/2006/relationships"><Relationship Type="http://schemas.openxmlformats.org/officeDocument/2006/relationships/externalLinkPath" Target="/Users/eric/Documents/Stock%20Models/Pharma/AKAN.xlsx" TargetMode="External" Id="rId1" /></Relationships>
</file>

<file path=xl/externalLinks/_rels/externalLink653.xml.rels><Relationships xmlns="http://schemas.openxmlformats.org/package/2006/relationships"><Relationship Type="http://schemas.openxmlformats.org/officeDocument/2006/relationships/externalLinkPath" Target="/Users/eric/Documents/Stock%20Models/Pharma/VIVS.xlsx" TargetMode="External" Id="rId1" /></Relationships>
</file>

<file path=xl/externalLinks/_rels/externalLink654.xml.rels><Relationships xmlns="http://schemas.openxmlformats.org/package/2006/relationships"><Relationship Type="http://schemas.openxmlformats.org/officeDocument/2006/relationships/externalLinkPath" Target="/Users/eric/Documents/Stock%20Models/Pharma/HCWB.xlsx" TargetMode="External" Id="rId1" /></Relationships>
</file>

<file path=xl/externalLinks/_rels/externalLink655.xml.rels><Relationships xmlns="http://schemas.openxmlformats.org/package/2006/relationships"><Relationship Type="http://schemas.openxmlformats.org/officeDocument/2006/relationships/externalLinkPath" Target="/Users/eric/Documents/Stock%20Models/Pharma/CLDI.xlsx" TargetMode="External" Id="rId1" /></Relationships>
</file>

<file path=xl/externalLinks/_rels/externalLink656.xml.rels><Relationships xmlns="http://schemas.openxmlformats.org/package/2006/relationships"><Relationship Type="http://schemas.openxmlformats.org/officeDocument/2006/relationships/externalLinkPath" Target="/Users/eric/Documents/Stock%20Models/Pharma/JUNS.xlsx" TargetMode="External" Id="rId1" /></Relationships>
</file>

<file path=xl/externalLinks/_rels/externalLink657.xml.rels><Relationships xmlns="http://schemas.openxmlformats.org/package/2006/relationships"><Relationship Type="http://schemas.openxmlformats.org/officeDocument/2006/relationships/externalLinkPath" Target="/Users/eric/Documents/Stock%20Models/Pharma/PPCB.xlsx" TargetMode="External" Id="rId1" /></Relationships>
</file>

<file path=xl/externalLinks/_rels/externalLink658.xml.rels><Relationships xmlns="http://schemas.openxmlformats.org/package/2006/relationships"><Relationship Type="http://schemas.openxmlformats.org/officeDocument/2006/relationships/externalLinkPath" Target="/Users/eric/Documents/Stock%20Models/Pharma/OGEN.xlsx" TargetMode="External" Id="rId1" /></Relationships>
</file>

<file path=xl/externalLinks/_rels/externalLink659.xml.rels><Relationships xmlns="http://schemas.openxmlformats.org/package/2006/relationships"><Relationship Type="http://schemas.openxmlformats.org/officeDocument/2006/relationships/externalLinkPath" Target="/Users/eric/Documents/Stock%20Models/Pharma/REVB.xlsx" TargetMode="External" Id="rId1" /></Relationships>
</file>

<file path=xl/externalLinks/_rels/externalLink660.xml.rels><Relationships xmlns="http://schemas.openxmlformats.org/package/2006/relationships"><Relationship Type="http://schemas.openxmlformats.org/officeDocument/2006/relationships/externalLinkPath" Target="/Users/eric/Documents/Stock%20Models/Pharma/ONCO.xlsx" TargetMode="External" Id="rId1" /></Relationships>
</file>

<file path=xl/externalLinks/_rels/externalLink661.xml.rels><Relationships xmlns="http://schemas.openxmlformats.org/package/2006/relationships"><Relationship Type="http://schemas.openxmlformats.org/officeDocument/2006/relationships/externalLinkPath" Target="/Users/eric/Documents/Stock%20Models/Pharma/SILO.xlsx" TargetMode="External" Id="rId1" /></Relationships>
</file>

<file path=xl/externalLinks/_rels/externalLink662.xml.rels><Relationships xmlns="http://schemas.openxmlformats.org/package/2006/relationships"><Relationship Type="http://schemas.openxmlformats.org/officeDocument/2006/relationships/externalLinkPath" Target="/Users/eric/Documents/Stock%20Models/Pharma/GOVX.xlsx" TargetMode="External" Id="rId1" /></Relationships>
</file>

<file path=xl/externalLinks/_rels/externalLink663.xml.rels><Relationships xmlns="http://schemas.openxmlformats.org/package/2006/relationships"><Relationship Type="http://schemas.openxmlformats.org/officeDocument/2006/relationships/externalLinkPath" Target="/Users/eric/Documents/Stock%20Models/Pharma/GNPX.xlsx" TargetMode="External" Id="rId1" /></Relationships>
</file>

<file path=xl/externalLinks/_rels/externalLink664.xml.rels><Relationships xmlns="http://schemas.openxmlformats.org/package/2006/relationships"><Relationship Type="http://schemas.openxmlformats.org/officeDocument/2006/relationships/externalLinkPath" Target="/Users/eric/Documents/Stock%20Models/Pharma/LABT.xlsx" TargetMode="External" Id="rId1" /></Relationships>
</file>

<file path=xl/externalLinks/_rels/externalLink665.xml.rels><Relationships xmlns="http://schemas.openxmlformats.org/package/2006/relationships"><Relationship Type="http://schemas.openxmlformats.org/officeDocument/2006/relationships/externalLinkPath" Target="/Users/eric/Documents/Stock%20Models/Pharma/BBLG.xlsx" TargetMode="External" Id="rId1" /></Relationships>
</file>

<file path=xl/externalLinks/_rels/externalLink666.xml.rels><Relationships xmlns="http://schemas.openxmlformats.org/package/2006/relationships"><Relationship Type="http://schemas.openxmlformats.org/officeDocument/2006/relationships/externalLinkPath" Target="/Users/eric/Documents/Stock%20Models/Pharma/PPBT.xlsx" TargetMode="External" Id="rId1" /></Relationships>
</file>

<file path=xl/externalLinks/_rels/externalLink667.xml.rels><Relationships xmlns="http://schemas.openxmlformats.org/package/2006/relationships"><Relationship Type="http://schemas.openxmlformats.org/officeDocument/2006/relationships/externalLinkPath" Target="/Users/eric/Documents/Stock%20Models/Pharma/BDRX.xlsx" TargetMode="External" Id="rId1" /></Relationships>
</file>

<file path=xl/externalLinks/_rels/externalLink668.xml.rels><Relationships xmlns="http://schemas.openxmlformats.org/package/2006/relationships"><Relationship Type="http://schemas.openxmlformats.org/officeDocument/2006/relationships/externalLinkPath" Target="/Users/eric/Documents/Stock%20Models/Pharma/CMND.xlsx" TargetMode="External" Id="rId1" /></Relationships>
</file>

<file path=xl/externalLinks/_rels/externalLink669.xml.rels><Relationships xmlns="http://schemas.openxmlformats.org/package/2006/relationships"><Relationship Type="http://schemas.openxmlformats.org/officeDocument/2006/relationships/externalLinkPath" Target="/Users/eric/Documents/Stock%20Models/Pharma/SBFM.xlsx" TargetMode="External" Id="rId1" /></Relationships>
</file>

<file path=xl/externalLinks/_rels/externalLink670.xml.rels><Relationships xmlns="http://schemas.openxmlformats.org/package/2006/relationships"><Relationship Type="http://schemas.openxmlformats.org/officeDocument/2006/relationships/externalLinkPath" Target="/Users/eric/Documents/Stock%20Models/Pharma/CRIS.xlsx" TargetMode="External" Id="rId1" /></Relationships>
</file>

<file path=xl/externalLinks/_rels/externalLink671.xml.rels><Relationships xmlns="http://schemas.openxmlformats.org/package/2006/relationships"><Relationship Type="http://schemas.openxmlformats.org/officeDocument/2006/relationships/externalLinkPath" Target="/Users/eric/Documents/Stock%20Models/Pharma/SLXN.xlsx" TargetMode="External" Id="rId1" /></Relationships>
</file>

<file path=xl/externalLinks/_rels/externalLink672.xml.rels><Relationships xmlns="http://schemas.openxmlformats.org/package/2006/relationships"><Relationship Type="http://schemas.openxmlformats.org/officeDocument/2006/relationships/externalLinkPath" Target="/Users/eric/Documents/Stock%20Models/Pharma/DCOY.xlsx" TargetMode="External" Id="rId1" /></Relationships>
</file>

<file path=xl/externalLinks/_rels/externalLink673.xml.rels><Relationships xmlns="http://schemas.openxmlformats.org/package/2006/relationships"><Relationship Type="http://schemas.openxmlformats.org/officeDocument/2006/relationships/externalLinkPath" Target="/Users/eric/Documents/Stock%20Models/Pharma/PRFX.xlsx" TargetMode="External" Id="rId1" /></Relationships>
</file>

<file path=xl/externalLinks/_rels/externalLink674.xml.rels><Relationships xmlns="http://schemas.openxmlformats.org/package/2006/relationships"><Relationship Type="http://schemas.openxmlformats.org/officeDocument/2006/relationships/externalLinkPath" Target="/Users/eric/Documents/Stock%20Models/Pharma/SPRC.xlsx" TargetMode="External" Id="rId1" /></Relationships>
</file>

<file path=xl/externalLinks/_rels/externalLink675.xml.rels><Relationships xmlns="http://schemas.openxmlformats.org/package/2006/relationships"><Relationship Type="http://schemas.openxmlformats.org/officeDocument/2006/relationships/externalLinkPath" Target="/Users/eric/Documents/Stock%20Models/Pharma/SXTC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891.35706500000003</v>
          </cell>
        </row>
        <row r="7">
          <cell r="C7">
            <v>9010</v>
          </cell>
        </row>
        <row r="8">
          <cell r="C8">
            <v>54908</v>
          </cell>
        </row>
        <row r="11">
          <cell r="C11">
            <v>734.21432802039237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259.4</v>
          </cell>
        </row>
        <row r="4">
          <cell r="C4">
            <v>2409.898597</v>
          </cell>
        </row>
        <row r="5">
          <cell r="C5">
            <v>625127.6960617999</v>
          </cell>
        </row>
        <row r="7">
          <cell r="C7">
            <v>20758.0</v>
          </cell>
        </row>
        <row r="8">
          <cell r="C8">
            <v>49036.0</v>
          </cell>
        </row>
        <row r="9">
          <cell r="C9">
            <v>653405.6960617999</v>
          </cell>
        </row>
        <row r="11">
          <cell r="C11">
            <v>172.80445083300157</v>
          </cell>
        </row>
        <row r="12">
          <cell r="C12">
            <v>-0.33383018183114266</v>
          </cell>
        </row>
        <row r="13">
          <cell r="C13">
            <v>-11.734103681873716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289.15</v>
          </cell>
        </row>
        <row r="4">
          <cell r="C4">
            <v>1767.117285</v>
          </cell>
        </row>
        <row r="5">
          <cell r="C5">
            <v>510961.96295774996</v>
          </cell>
        </row>
        <row r="7">
          <cell r="C7">
            <v>6569</v>
          </cell>
        </row>
        <row r="8">
          <cell r="C8">
            <v>70822.0</v>
          </cell>
        </row>
        <row r="9">
          <cell r="C9">
            <v>575214.96295775</v>
          </cell>
        </row>
        <row r="11">
          <cell r="C11">
            <v>130.4871413635997</v>
          </cell>
        </row>
        <row r="12">
          <cell r="C12">
            <v>-0.5487216276548514</v>
          </cell>
        </row>
        <row r="13">
          <cell r="C13">
            <v>-36.36034831723125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148.3</v>
          </cell>
        </row>
        <row r="4">
          <cell r="C4">
            <v>2467.171638</v>
          </cell>
        </row>
        <row r="5">
          <cell r="C5">
            <v>365881.5539154</v>
          </cell>
        </row>
        <row r="7">
          <cell r="C7">
            <v>7141.0</v>
          </cell>
        </row>
        <row r="8">
          <cell r="C8">
            <v>53906.0</v>
          </cell>
        </row>
        <row r="9">
          <cell r="C9">
            <v>412646.5539154</v>
          </cell>
        </row>
        <row r="11">
          <cell r="C11">
            <v>83.652528548422</v>
          </cell>
        </row>
        <row r="12">
          <cell r="C12">
            <v>-0.43592361059728935</v>
          </cell>
        </row>
        <row r="13">
          <cell r="C13">
            <v>-18.954903371826134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153.64</v>
          </cell>
        </row>
        <row r="4">
          <cell r="C4">
            <v>1908.151679</v>
          </cell>
        </row>
        <row r="5">
          <cell r="C5">
            <v>293168.42396156</v>
          </cell>
        </row>
        <row r="7">
          <cell r="C7">
            <v>11533.0</v>
          </cell>
        </row>
        <row r="8">
          <cell r="C8">
            <v>1476.0</v>
          </cell>
        </row>
        <row r="9">
          <cell r="C9">
            <v>283111.42396156</v>
          </cell>
        </row>
        <row r="11">
          <cell r="C11">
            <v>177.13279023029418</v>
          </cell>
        </row>
        <row r="12">
          <cell r="C12">
            <v>0.15290803326148272</v>
          </cell>
        </row>
        <row r="13">
          <cell r="C13">
            <v>5.270545371566345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168.82</v>
          </cell>
        </row>
        <row r="4">
          <cell r="C4">
            <v>1550.957927</v>
          </cell>
        </row>
        <row r="5">
          <cell r="C5">
            <v>261832.71723614</v>
          </cell>
        </row>
        <row r="7">
          <cell r="C7">
            <v>5741.0</v>
          </cell>
        </row>
        <row r="8">
          <cell r="C8">
            <v>27819.0</v>
          </cell>
        </row>
        <row r="9">
          <cell r="C9">
            <v>283910.71723614</v>
          </cell>
        </row>
        <row r="11">
          <cell r="C11">
            <v>142.276648139986</v>
          </cell>
        </row>
        <row r="12">
          <cell r="C12">
            <v>-0.1572287161474587</v>
          </cell>
        </row>
        <row r="13">
          <cell r="C13">
            <v>-14.23507344438751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438.94</v>
          </cell>
        </row>
        <row r="4">
          <cell r="C4">
            <v>540.632005</v>
          </cell>
        </row>
        <row r="5">
          <cell r="C5">
            <v>237305.0122747</v>
          </cell>
        </row>
        <row r="7">
          <cell r="C7">
            <v>13989</v>
          </cell>
        </row>
        <row r="8">
          <cell r="C8">
            <v>57304.0</v>
          </cell>
        </row>
        <row r="9">
          <cell r="C9">
            <v>280620.0122747</v>
          </cell>
        </row>
        <row r="11">
          <cell r="C11">
            <v>271.63788606981916</v>
          </cell>
        </row>
        <row r="12">
          <cell r="C12">
            <v>-0.38115030284362517</v>
          </cell>
        </row>
        <row r="13">
          <cell r="C13">
            <v>-80.11919309142638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156.51</v>
          </cell>
        </row>
        <row r="4">
          <cell r="C4">
            <v>1239.955155</v>
          </cell>
        </row>
        <row r="5">
          <cell r="C5">
            <v>194065.38130905002</v>
          </cell>
        </row>
        <row r="7">
          <cell r="C7">
            <v>3179</v>
          </cell>
        </row>
        <row r="8">
          <cell r="C8">
            <v>26246.0</v>
          </cell>
        </row>
        <row r="9">
          <cell r="C9">
            <v>217132.38130905002</v>
          </cell>
        </row>
        <row r="11">
          <cell r="C11">
            <v>71.51196925752382</v>
          </cell>
        </row>
        <row r="12">
          <cell r="C12">
            <v>-0.5430837054659522</v>
          </cell>
        </row>
        <row r="13">
          <cell r="C13">
            <v>-18.60309214166701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39.345</v>
          </cell>
        </row>
        <row r="4">
          <cell r="C4">
            <v>4444</v>
          </cell>
        </row>
        <row r="5">
          <cell r="C5">
            <v>174849.18</v>
          </cell>
        </row>
        <row r="7">
          <cell r="C7">
            <v>3984.042152803914</v>
          </cell>
        </row>
        <row r="8">
          <cell r="C8">
            <v>19715.167482122695</v>
          </cell>
        </row>
        <row r="9">
          <cell r="C9">
            <v>190580.30532931877</v>
          </cell>
        </row>
        <row r="11">
          <cell r="C11">
            <v>37.44090648315759</v>
          </cell>
        </row>
        <row r="12">
          <cell r="C12">
            <v>-0.04839480281719177</v>
          </cell>
        </row>
        <row r="13">
          <cell r="C13">
            <v>-3.539857184815207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30.13</v>
          </cell>
        </row>
        <row r="4">
          <cell r="C4">
            <v>5699.673589</v>
          </cell>
        </row>
        <row r="5">
          <cell r="C5">
            <v>171731.16523657</v>
          </cell>
        </row>
        <row r="7">
          <cell r="C7">
            <v>8257.0</v>
          </cell>
        </row>
        <row r="8">
          <cell r="C8">
            <v>63194.0</v>
          </cell>
        </row>
        <row r="9">
          <cell r="C9">
            <v>226668.16523657</v>
          </cell>
        </row>
        <row r="11">
          <cell r="C11">
            <v>27.862901109003456</v>
          </cell>
        </row>
        <row r="12">
          <cell r="C12">
            <v>-0.07524390610675546</v>
          </cell>
        </row>
        <row r="13">
          <cell r="C13">
            <v>-9.638622131980478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514.65</v>
          </cell>
        </row>
        <row r="4">
          <cell r="C4">
            <v>253.460924</v>
          </cell>
        </row>
        <row r="5">
          <cell r="C5">
            <v>130443.6645366</v>
          </cell>
        </row>
        <row r="7">
          <cell r="C7">
            <v>7852.4</v>
          </cell>
        </row>
        <row r="8">
          <cell r="C8">
            <v>0</v>
          </cell>
        </row>
        <row r="9">
          <cell r="C9">
            <v>122591.2645366</v>
          </cell>
        </row>
        <row r="11">
          <cell r="C11">
            <v>402.45949901286946</v>
          </cell>
        </row>
        <row r="12">
          <cell r="C12">
            <v>-0.21799378410012726</v>
          </cell>
        </row>
        <row r="13">
          <cell r="C13">
            <v>30.980712435183893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61.715</v>
          </cell>
        </row>
        <row r="4">
          <cell r="C4">
            <v>2042.714656</v>
          </cell>
        </row>
        <row r="5">
          <cell r="C5">
            <v>126066.13499504002</v>
          </cell>
        </row>
        <row r="7">
          <cell r="C7">
            <v>11067.0</v>
          </cell>
        </row>
        <row r="8">
          <cell r="C8">
            <v>43120.0</v>
          </cell>
        </row>
        <row r="9">
          <cell r="C9">
            <v>158119.13499504002</v>
          </cell>
        </row>
        <row r="11">
          <cell r="C11">
            <v>71.54578944152681</v>
          </cell>
        </row>
        <row r="12">
          <cell r="C12">
            <v>0.15929335561090174</v>
          </cell>
        </row>
        <row r="13">
          <cell r="C13">
            <v>-15.691374174974342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50.645</v>
          </cell>
        </row>
        <row r="4">
          <cell r="C4">
            <v>2157.722513</v>
          </cell>
        </row>
        <row r="5">
          <cell r="C5">
            <v>109277.85667088501</v>
          </cell>
        </row>
        <row r="7">
          <cell r="C7">
            <v>4529.9977330008405</v>
          </cell>
        </row>
        <row r="8">
          <cell r="C8">
            <v>23630.132419421516</v>
          </cell>
        </row>
        <row r="9">
          <cell r="C9">
            <v>128377.99135730568</v>
          </cell>
        </row>
        <row r="11">
          <cell r="C11">
            <v>66.38616887121952</v>
          </cell>
        </row>
        <row r="12">
          <cell r="C12">
            <v>0.31081387839311914</v>
          </cell>
        </row>
        <row r="13">
          <cell r="C13">
            <v>-8.851988414332624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41.4</v>
          </cell>
        </row>
        <row r="4">
          <cell r="C4">
            <v>2438.854192</v>
          </cell>
        </row>
        <row r="5">
          <cell r="C5">
            <v>100968.56354879998</v>
          </cell>
        </row>
        <row r="7">
          <cell r="C7">
            <v>9508.805491475834</v>
          </cell>
        </row>
        <row r="8">
          <cell r="C8">
            <v>20919.372081246835</v>
          </cell>
        </row>
        <row r="9">
          <cell r="C9">
            <v>112379.13013857098</v>
          </cell>
        </row>
        <row r="11">
          <cell r="C11">
            <v>66.8224694064455</v>
          </cell>
        </row>
        <row r="12">
          <cell r="C12">
            <v>0.6140693093344325</v>
          </cell>
        </row>
        <row r="13">
          <cell r="C13">
            <v>-4.678658784604783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242.08</v>
          </cell>
        </row>
        <row r="4">
          <cell r="C4">
            <v>399.235889</v>
          </cell>
        </row>
        <row r="5">
          <cell r="C5">
            <v>96647.02400912</v>
          </cell>
        </row>
        <row r="7">
          <cell r="C7">
            <v>5138.0</v>
          </cell>
        </row>
        <row r="8">
          <cell r="C8">
            <v>591</v>
          </cell>
        </row>
        <row r="9">
          <cell r="C9">
            <v>92100.02400912</v>
          </cell>
        </row>
        <row r="11">
          <cell r="C11">
            <v>3.485350300841989</v>
          </cell>
        </row>
        <row r="12">
          <cell r="C12">
            <v>-0.9856024855384915</v>
          </cell>
        </row>
        <row r="13">
          <cell r="C13">
            <v>11.38925664070246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807.48</v>
          </cell>
        </row>
        <row r="4">
          <cell r="C4">
            <v>102.954988</v>
          </cell>
        </row>
        <row r="5">
          <cell r="C5">
            <v>83134.09371024</v>
          </cell>
        </row>
        <row r="7">
          <cell r="C7">
            <v>7994.6</v>
          </cell>
        </row>
        <row r="8">
          <cell r="C8">
            <v>1986.6</v>
          </cell>
        </row>
        <row r="9">
          <cell r="C9">
            <v>77126.09371024</v>
          </cell>
        </row>
        <row r="11">
          <cell r="C11">
            <v>711.4802631914101</v>
          </cell>
        </row>
        <row r="12">
          <cell r="C12">
            <v>-0.11888806757887482</v>
          </cell>
        </row>
        <row r="13">
          <cell r="C13">
            <v>58.35559905072302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20.08</v>
          </cell>
        </row>
        <row r="4">
          <cell r="C4">
            <v>3181.9</v>
          </cell>
        </row>
        <row r="5">
          <cell r="C5">
            <v>63892.551999999996</v>
          </cell>
        </row>
        <row r="7">
          <cell r="C7">
            <v>2437.1155549930386</v>
          </cell>
        </row>
        <row r="8">
          <cell r="C8">
            <v>28574.03493228705</v>
          </cell>
        </row>
        <row r="9">
          <cell r="C9">
            <v>90029.471377294</v>
          </cell>
        </row>
        <row r="11">
          <cell r="C11">
            <v>17.467484760387503</v>
          </cell>
        </row>
        <row r="12">
          <cell r="C12">
            <v>-0.13010534061815215</v>
          </cell>
        </row>
        <row r="13">
          <cell r="C13">
            <v>-8.214249152171348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405.92</v>
          </cell>
        </row>
        <row r="4">
          <cell r="C4">
            <v>144.14417</v>
          </cell>
        </row>
        <row r="5">
          <cell r="C5">
            <v>58511.001486400004</v>
          </cell>
        </row>
        <row r="7">
          <cell r="C7">
            <v>1091.502</v>
          </cell>
        </row>
        <row r="8">
          <cell r="C8">
            <v>80.291</v>
          </cell>
        </row>
        <row r="9">
          <cell r="C9">
            <v>57499.7904864</v>
          </cell>
        </row>
        <row r="11">
          <cell r="C11">
            <v>127.26848818885195</v>
          </cell>
        </row>
        <row r="12">
          <cell r="C12">
            <v>-0.6864690377688906</v>
          </cell>
        </row>
        <row r="13">
          <cell r="C13">
            <v>7.015275054135037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869.72</v>
          </cell>
        </row>
        <row r="4">
          <cell r="C4">
            <v>61.883306</v>
          </cell>
        </row>
        <row r="5">
          <cell r="C5">
            <v>53821.14889432</v>
          </cell>
        </row>
        <row r="7">
          <cell r="C7">
            <v>3491.289</v>
          </cell>
        </row>
        <row r="8">
          <cell r="C8">
            <v>0</v>
          </cell>
        </row>
        <row r="9">
          <cell r="C9">
            <v>50329.859894320005</v>
          </cell>
        </row>
        <row r="11">
          <cell r="C11">
            <v>725.2073168670735</v>
          </cell>
        </row>
        <row r="12">
          <cell r="C12">
            <v>-0.16616000912124196</v>
          </cell>
        </row>
        <row r="13">
          <cell r="C13">
            <v>56.41729936018609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40.855</v>
          </cell>
        </row>
        <row r="4">
          <cell r="C4">
            <v>1165.296084</v>
          </cell>
        </row>
        <row r="5">
          <cell r="C5">
            <v>47608.17151182</v>
          </cell>
        </row>
        <row r="7">
          <cell r="C7">
            <v>3655</v>
          </cell>
        </row>
        <row r="8">
          <cell r="C8">
            <v>4500</v>
          </cell>
        </row>
        <row r="9">
          <cell r="C9">
            <v>48453.17151182</v>
          </cell>
        </row>
        <row r="11">
          <cell r="C11">
            <v>33.64755349924853</v>
          </cell>
        </row>
        <row r="12">
          <cell r="C12">
            <v>-0.17641528578512955</v>
          </cell>
        </row>
        <row r="13">
          <cell r="C13">
            <v>-0.7251375951590342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10.17</v>
          </cell>
        </row>
        <row r="4">
          <cell r="C4">
            <v>4476.176824</v>
          </cell>
        </row>
        <row r="5">
          <cell r="C5">
            <v>45522.71830008</v>
          </cell>
        </row>
        <row r="7">
          <cell r="C7">
            <v>1765.592286868741</v>
          </cell>
        </row>
        <row r="8">
          <cell r="C8">
            <v>11480.35045139954</v>
          </cell>
        </row>
        <row r="9">
          <cell r="C9">
            <v>55237.476464610794</v>
          </cell>
        </row>
        <row r="11">
          <cell r="C11">
            <v>5.973576044156449</v>
          </cell>
        </row>
        <row r="12">
          <cell r="C12">
            <v>-0.41262772427173566</v>
          </cell>
        </row>
        <row r="13">
          <cell r="C13">
            <v>-2.1703249327513157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384.5</v>
          </cell>
        </row>
        <row r="4">
          <cell r="C4">
            <v>113.70187730769231</v>
          </cell>
        </row>
        <row r="5">
          <cell r="C5">
            <v>43718.37182480769</v>
          </cell>
        </row>
        <row r="7">
          <cell r="C7">
            <v>5098.041</v>
          </cell>
        </row>
        <row r="8">
          <cell r="C8">
            <v>1144.241</v>
          </cell>
        </row>
        <row r="9">
          <cell r="C9">
            <v>39764.571824807696</v>
          </cell>
        </row>
        <row r="11">
          <cell r="C11">
            <v>433.277632060473</v>
          </cell>
        </row>
        <row r="12">
          <cell r="C12">
            <v>0.12685990132762814</v>
          </cell>
        </row>
        <row r="13">
          <cell r="C13">
            <v>34.77339243309497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196.55</v>
          </cell>
        </row>
        <row r="4">
          <cell r="C4">
            <v>214.336418</v>
          </cell>
        </row>
        <row r="5">
          <cell r="C5">
            <v>42127.8229579</v>
          </cell>
        </row>
        <row r="7">
          <cell r="C7">
            <v>3937.969</v>
          </cell>
        </row>
        <row r="8">
          <cell r="C8">
            <v>487.434</v>
          </cell>
        </row>
        <row r="9">
          <cell r="C9">
            <v>38677.28795790001</v>
          </cell>
        </row>
        <row r="11">
          <cell r="C11">
            <v>7.0773885152687885</v>
          </cell>
        </row>
        <row r="12">
          <cell r="C12">
            <v>-0.9639919180093168</v>
          </cell>
        </row>
        <row r="13">
          <cell r="C13">
            <v>16.098687438174878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62.25</v>
          </cell>
        </row>
        <row r="4">
          <cell r="C4">
            <v>575.001204</v>
          </cell>
        </row>
        <row r="5">
          <cell r="C5">
            <v>35793.824949</v>
          </cell>
        </row>
        <row r="7">
          <cell r="C7">
            <v>836.986</v>
          </cell>
        </row>
        <row r="8">
          <cell r="C8">
            <v>8961.892</v>
          </cell>
        </row>
        <row r="9">
          <cell r="C9">
            <v>43918.730949000004</v>
          </cell>
        </row>
        <row r="11">
          <cell r="C11">
            <v>25.647486483584522</v>
          </cell>
        </row>
        <row r="12">
          <cell r="C12">
            <v>-0.5879921850026583</v>
          </cell>
        </row>
        <row r="13">
          <cell r="C13">
            <v>-14.130241716850387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243.1</v>
          </cell>
        </row>
        <row r="4">
          <cell r="C4">
            <v>147.637117</v>
          </cell>
        </row>
        <row r="5">
          <cell r="C5">
            <v>35890.583142699994</v>
          </cell>
        </row>
        <row r="7">
          <cell r="C7">
            <v>4282.7</v>
          </cell>
        </row>
        <row r="8">
          <cell r="C8">
            <v>6288.5</v>
          </cell>
        </row>
        <row r="9">
          <cell r="C9">
            <v>37896.3831427</v>
          </cell>
        </row>
        <row r="11">
          <cell r="C11">
            <v>193.21229447287226</v>
          </cell>
        </row>
        <row r="12">
          <cell r="C12">
            <v>-0.20521474918604576</v>
          </cell>
        </row>
        <row r="13">
          <cell r="C13">
            <v>-13.586014416686288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80.04</v>
          </cell>
        </row>
        <row r="4">
          <cell r="C4">
            <v>413.223602</v>
          </cell>
        </row>
        <row r="5">
          <cell r="C5">
            <v>33074.41710408001</v>
          </cell>
        </row>
        <row r="7">
          <cell r="C7">
            <v>1676.0</v>
          </cell>
        </row>
        <row r="8">
          <cell r="C8">
            <v>9048</v>
          </cell>
        </row>
        <row r="9">
          <cell r="C9">
            <v>40446.41710408001</v>
          </cell>
        </row>
        <row r="11">
          <cell r="C11">
            <v>103.19817392209127</v>
          </cell>
        </row>
        <row r="12">
          <cell r="C12">
            <v>0.2893325077722546</v>
          </cell>
        </row>
        <row r="13">
          <cell r="C13">
            <v>-17.84022007532861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230.71</v>
          </cell>
        </row>
        <row r="4">
          <cell r="C4">
            <v>133.809118</v>
          </cell>
        </row>
        <row r="5">
          <cell r="C5">
            <v>30871.101613780003</v>
          </cell>
        </row>
        <row r="7">
          <cell r="C7">
            <v>3308.147</v>
          </cell>
        </row>
        <row r="8">
          <cell r="C8">
            <v>1010.981</v>
          </cell>
        </row>
        <row r="9">
          <cell r="C9">
            <v>28573.935613780002</v>
          </cell>
        </row>
        <row r="11">
          <cell r="C11">
            <v>288.29953858447794</v>
          </cell>
        </row>
        <row r="12">
          <cell r="C12">
            <v>0.24961873600831308</v>
          </cell>
        </row>
        <row r="13">
          <cell r="C13">
            <v>17.167484804735054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34.92</v>
          </cell>
        </row>
        <row r="4">
          <cell r="C4">
            <v>722.323015</v>
          </cell>
        </row>
        <row r="5">
          <cell r="C5">
            <v>25223.519683800005</v>
          </cell>
        </row>
        <row r="7">
          <cell r="C7">
            <v>3842.0820000000003</v>
          </cell>
        </row>
        <row r="8">
          <cell r="C8">
            <v>0</v>
          </cell>
        </row>
        <row r="9">
          <cell r="C9">
            <v>21381.437683800003</v>
          </cell>
        </row>
        <row r="11">
          <cell r="C11">
            <v>5.395354442666823</v>
          </cell>
        </row>
        <row r="12">
          <cell r="C12">
            <v>-0.8454938590301597</v>
          </cell>
        </row>
        <row r="13">
          <cell r="C13">
            <v>5.31906352174034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39.07</v>
          </cell>
        </row>
        <row r="4">
          <cell r="C4">
            <v>642.38408</v>
          </cell>
        </row>
        <row r="5">
          <cell r="C5">
            <v>25097.946005600003</v>
          </cell>
        </row>
        <row r="7">
          <cell r="C7">
            <v>1715</v>
          </cell>
        </row>
        <row r="8">
          <cell r="C8">
            <v>5274.0</v>
          </cell>
        </row>
        <row r="9">
          <cell r="C9">
            <v>28656.946005600003</v>
          </cell>
        </row>
        <row r="11">
          <cell r="C11">
            <v>32.94412009233552</v>
          </cell>
        </row>
        <row r="12">
          <cell r="C12">
            <v>-0.15679242149128447</v>
          </cell>
        </row>
        <row r="13">
          <cell r="C13">
            <v>-5.540299192968792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553.88</v>
          </cell>
        </row>
        <row r="4">
          <cell r="C4">
            <v>42.890692</v>
          </cell>
        </row>
        <row r="5">
          <cell r="C5">
            <v>23756.29648496</v>
          </cell>
        </row>
        <row r="7">
          <cell r="C7">
            <v>2662.3</v>
          </cell>
        </row>
        <row r="8">
          <cell r="C8">
            <v>0</v>
          </cell>
        </row>
        <row r="9">
          <cell r="C9">
            <v>21093.99648496</v>
          </cell>
        </row>
        <row r="11">
          <cell r="C11">
            <v>478.8181686189655</v>
          </cell>
        </row>
        <row r="12">
          <cell r="C12">
            <v>-0.13552002488090287</v>
          </cell>
        </row>
        <row r="13">
          <cell r="C13">
            <v>62.07174274548893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116.615</v>
          </cell>
        </row>
        <row r="4">
          <cell r="C4">
            <v>199.782155</v>
          </cell>
        </row>
        <row r="5">
          <cell r="C5">
            <v>23297.596005325</v>
          </cell>
        </row>
        <row r="7">
          <cell r="C7">
            <v>4015.825</v>
          </cell>
        </row>
        <row r="8">
          <cell r="C8">
            <v>0</v>
          </cell>
        </row>
        <row r="9">
          <cell r="C9">
            <v>19281.771005324998</v>
          </cell>
        </row>
        <row r="11">
          <cell r="C11">
            <v>88.66765363149035</v>
          </cell>
        </row>
        <row r="12">
          <cell r="C12">
            <v>-0.23965481600574234</v>
          </cell>
        </row>
        <row r="13">
          <cell r="C13">
            <v>20.101019533000834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91.17</v>
          </cell>
        </row>
        <row r="4">
          <cell r="C4">
            <v>251.204366</v>
          </cell>
        </row>
        <row r="5">
          <cell r="C5">
            <v>22902.30204822</v>
          </cell>
        </row>
        <row r="7">
          <cell r="C7">
            <v>16741.349237607606</v>
          </cell>
        </row>
        <row r="8">
          <cell r="C8" t="str">
            <v>empty</v>
          </cell>
        </row>
        <row r="9">
          <cell r="C9">
            <v>6160.952810612394</v>
          </cell>
        </row>
        <row r="11">
          <cell r="C11">
            <v>66.36803771565039</v>
          </cell>
        </row>
        <row r="12">
          <cell r="C12">
            <v>-0.27204082795162454</v>
          </cell>
        </row>
        <row r="13">
          <cell r="C13">
            <v>66.64434024051798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18.65</v>
          </cell>
        </row>
        <row r="4">
          <cell r="C4">
            <v>1148.590864</v>
          </cell>
        </row>
        <row r="5">
          <cell r="C5">
            <v>21421.2196136</v>
          </cell>
        </row>
        <row r="7">
          <cell r="C7">
            <v>886.5</v>
          </cell>
        </row>
        <row r="8">
          <cell r="C8">
            <v>13348.6</v>
          </cell>
        </row>
        <row r="9">
          <cell r="C9">
            <v>33883.3196136</v>
          </cell>
        </row>
        <row r="11">
          <cell r="C11">
            <v>10.885889625674809</v>
          </cell>
        </row>
        <row r="12">
          <cell r="C12">
            <v>-0.4163061862908949</v>
          </cell>
        </row>
        <row r="13">
          <cell r="C13">
            <v>-10.849903469195626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95.67</v>
          </cell>
        </row>
        <row r="4">
          <cell r="C4">
            <v>218.381503</v>
          </cell>
        </row>
        <row r="5">
          <cell r="C5">
            <v>20892.55839201</v>
          </cell>
        </row>
        <row r="7">
          <cell r="C7">
            <v>1160.312</v>
          </cell>
        </row>
        <row r="8">
          <cell r="C8">
            <v>543.513</v>
          </cell>
        </row>
        <row r="9">
          <cell r="C9">
            <v>20275.759392009997</v>
          </cell>
        </row>
        <row r="11">
          <cell r="C11">
            <v>9.316283129202091</v>
          </cell>
        </row>
        <row r="12">
          <cell r="C12">
            <v>-0.9026206425295067</v>
          </cell>
        </row>
        <row r="13">
          <cell r="C13">
            <v>2.824410453846908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64.39</v>
          </cell>
        </row>
        <row r="4">
          <cell r="C4">
            <v>247.781692</v>
          </cell>
        </row>
        <row r="5">
          <cell r="C5">
            <v>15954.663147879999</v>
          </cell>
        </row>
        <row r="7">
          <cell r="C7">
            <v>839.385</v>
          </cell>
        </row>
        <row r="8">
          <cell r="C8">
            <v>0</v>
          </cell>
        </row>
        <row r="9">
          <cell r="C9">
            <v>15115.278147879999</v>
          </cell>
        </row>
        <row r="11">
          <cell r="C11">
            <v>57.04621643374132</v>
          </cell>
        </row>
        <row r="12">
          <cell r="C12">
            <v>-0.11405161618665449</v>
          </cell>
        </row>
        <row r="13">
          <cell r="C13">
            <v>3.3875989514188967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234.33</v>
          </cell>
        </row>
        <row r="4">
          <cell r="C4">
            <v>61.977408</v>
          </cell>
        </row>
        <row r="5">
          <cell r="C5">
            <v>14523.16601664</v>
          </cell>
        </row>
        <row r="7">
          <cell r="C7">
            <v>693.2324312158893</v>
          </cell>
        </row>
        <row r="8">
          <cell r="C8">
            <v>916.7219940358971</v>
          </cell>
        </row>
        <row r="9">
          <cell r="C9">
            <v>14746.655579460008</v>
          </cell>
        </row>
        <row r="11">
          <cell r="C11">
            <v>61.68385597677369</v>
          </cell>
        </row>
        <row r="12">
          <cell r="C12">
            <v>-0.7367650067137212</v>
          </cell>
        </row>
        <row r="13">
          <cell r="C13">
            <v>-3.6059843422301205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124.37</v>
          </cell>
        </row>
        <row r="4">
          <cell r="C4">
            <v>113.498</v>
          </cell>
        </row>
        <row r="5">
          <cell r="C5">
            <v>14115.746260000002</v>
          </cell>
        </row>
        <row r="7">
          <cell r="C7">
            <v>231.003</v>
          </cell>
        </row>
        <row r="8">
          <cell r="C8">
            <v>2146.654</v>
          </cell>
        </row>
        <row r="9">
          <cell r="C9">
            <v>16031.397260000002</v>
          </cell>
        </row>
        <row r="11">
          <cell r="C11">
            <v>64.59378115326906</v>
          </cell>
        </row>
        <row r="12">
          <cell r="C12">
            <v>-0.4806321367430324</v>
          </cell>
        </row>
        <row r="13">
          <cell r="C13">
            <v>-16.878279793476537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142</v>
          </cell>
        </row>
        <row r="4">
          <cell r="C4">
            <v>101.649181</v>
          </cell>
        </row>
        <row r="5">
          <cell r="C5">
            <v>14434.183702</v>
          </cell>
        </row>
        <row r="7">
          <cell r="C7">
            <v>389.79999999999995</v>
          </cell>
        </row>
        <row r="8">
          <cell r="C8">
            <v>0</v>
          </cell>
        </row>
        <row r="9">
          <cell r="C9">
            <v>14044.383702000001</v>
          </cell>
        </row>
        <row r="11">
          <cell r="C11">
            <v>166.5269222105302</v>
          </cell>
        </row>
        <row r="12">
          <cell r="C12">
            <v>0.17272480429950843</v>
          </cell>
        </row>
        <row r="13">
          <cell r="C13">
            <v>3.83475790129583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213.76</v>
          </cell>
        </row>
        <row r="4">
          <cell r="C4">
            <v>64.914577</v>
          </cell>
        </row>
        <row r="5">
          <cell r="C5">
            <v>13876.139979519998</v>
          </cell>
        </row>
        <row r="7">
          <cell r="C7">
            <v>2199.8</v>
          </cell>
        </row>
        <row r="8">
          <cell r="C8">
            <v>4351.4</v>
          </cell>
        </row>
        <row r="9">
          <cell r="C9">
            <v>16027.739979519998</v>
          </cell>
        </row>
        <row r="11">
          <cell r="C11">
            <v>148.69299690082684</v>
          </cell>
        </row>
        <row r="12">
          <cell r="C12">
            <v>-0.30439279144448517</v>
          </cell>
        </row>
        <row r="13">
          <cell r="C13">
            <v>-33.14509774900019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906.705602</v>
          </cell>
        </row>
        <row r="7">
          <cell r="C7">
            <v>2690.6779999999999</v>
          </cell>
        </row>
        <row r="8">
          <cell r="C8">
            <v>0</v>
          </cell>
        </row>
        <row r="11">
          <cell r="C11">
            <v>5.475264046248677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195.48747399999999</v>
          </cell>
        </row>
        <row r="7">
          <cell r="C7">
            <v>1720.1599999999999</v>
          </cell>
        </row>
        <row r="8">
          <cell r="C8">
            <v>3505</v>
          </cell>
        </row>
        <row r="11">
          <cell r="C11">
            <v>54.634523514083696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83.17</v>
          </cell>
        </row>
        <row r="4">
          <cell r="C4">
            <v>153.876032</v>
          </cell>
        </row>
        <row r="5">
          <cell r="C5">
            <v>12797.869581440002</v>
          </cell>
        </row>
        <row r="7">
          <cell r="C7">
            <v>468.093</v>
          </cell>
        </row>
        <row r="8">
          <cell r="C8">
            <v>0</v>
          </cell>
        </row>
        <row r="9">
          <cell r="C9">
            <v>12329.77658144</v>
          </cell>
        </row>
        <row r="11">
          <cell r="C11">
            <v>35.801052651703614</v>
          </cell>
        </row>
        <row r="12">
          <cell r="C12">
            <v>-0.5695436737801658</v>
          </cell>
        </row>
        <row r="13">
          <cell r="C13">
            <v>3.0420137166001266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108.09839700000001</v>
          </cell>
        </row>
        <row r="7">
          <cell r="C7">
            <v>544.64699999999993</v>
          </cell>
        </row>
        <row r="8">
          <cell r="C8">
            <v>0</v>
          </cell>
        </row>
        <row r="11">
          <cell r="C11">
            <v>53.906272937291462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22.7</v>
          </cell>
        </row>
        <row r="4">
          <cell r="C4">
            <v>499.62183</v>
          </cell>
        </row>
        <row r="5">
          <cell r="C5">
            <v>11341.415540999998</v>
          </cell>
        </row>
        <row r="7">
          <cell r="C7">
            <v>530</v>
          </cell>
        </row>
        <row r="8">
          <cell r="C8">
            <v>3918.0</v>
          </cell>
        </row>
        <row r="9">
          <cell r="C9">
            <v>14729.415540999998</v>
          </cell>
        </row>
        <row r="11">
          <cell r="C11">
            <v>18.889598233038516</v>
          </cell>
        </row>
        <row r="12">
          <cell r="C12">
            <v>-0.16785910867671738</v>
          </cell>
        </row>
        <row r="13">
          <cell r="C13">
            <v>-6.781128838986079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13.26</v>
          </cell>
        </row>
        <row r="4">
          <cell r="C4">
            <v>834.65697</v>
          </cell>
        </row>
        <row r="5">
          <cell r="C5">
            <v>11067.5514222</v>
          </cell>
        </row>
        <row r="7">
          <cell r="C7">
            <v>609.8146588037068</v>
          </cell>
        </row>
        <row r="8">
          <cell r="C8">
            <v>492.48104465037915</v>
          </cell>
        </row>
        <row r="9">
          <cell r="C9">
            <v>10950.217808046673</v>
          </cell>
        </row>
        <row r="11">
          <cell r="C11">
            <v>9.862006649741975</v>
          </cell>
        </row>
        <row r="12">
          <cell r="C12">
            <v>-0.25625892535882544</v>
          </cell>
        </row>
        <row r="13">
          <cell r="C13">
            <v>0.1405770494594057</v>
          </cell>
        </row>
        <row r="14">
          <cell r="C14" t="str">
            <v>Base</v>
          </cell>
        </row>
        <row r="15">
          <cell r="C15" t="str">
            <v>Reviewed 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56.44</v>
          </cell>
        </row>
        <row r="4">
          <cell r="C4">
            <v>193.573759</v>
          </cell>
        </row>
        <row r="5">
          <cell r="C5">
            <v>10925.302957959999</v>
          </cell>
        </row>
        <row r="7">
          <cell r="C7">
            <v>874.005</v>
          </cell>
        </row>
        <row r="8">
          <cell r="C8">
            <v>4186.142</v>
          </cell>
        </row>
        <row r="9">
          <cell r="C9">
            <v>14237.43995796</v>
          </cell>
        </row>
        <row r="11">
          <cell r="C11">
            <v>30.76438873871339</v>
          </cell>
        </row>
        <row r="12">
          <cell r="C12">
            <v>-0.4549186970461837</v>
          </cell>
        </row>
        <row r="13">
          <cell r="C13">
            <v>-17.110464853864826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467.54</v>
          </cell>
        </row>
        <row r="4">
          <cell r="C4">
            <v>23.104126</v>
          </cell>
        </row>
        <row r="5">
          <cell r="C5">
            <v>10802.10307004</v>
          </cell>
        </row>
        <row r="7">
          <cell r="C7">
            <v>838.753</v>
          </cell>
        </row>
        <row r="8">
          <cell r="C8">
            <v>340.794</v>
          </cell>
        </row>
        <row r="9">
          <cell r="C9">
            <v>10304.14407004</v>
          </cell>
        </row>
        <row r="11">
          <cell r="C11">
            <v>21.552817016319946</v>
          </cell>
        </row>
        <row r="12">
          <cell r="C12">
            <v>-0.9539016618549858</v>
          </cell>
        </row>
        <row r="13">
          <cell r="C13">
            <v>21.552817016319946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8.77</v>
          </cell>
        </row>
        <row r="4">
          <cell r="C4">
            <v>1059.836273</v>
          </cell>
        </row>
        <row r="5">
          <cell r="C5">
            <v>9294.764114209998</v>
          </cell>
        </row>
        <row r="7">
          <cell r="C7">
            <v>357.37100000000004</v>
          </cell>
        </row>
        <row r="8">
          <cell r="C8">
            <v>415.086</v>
          </cell>
        </row>
        <row r="9">
          <cell r="C9">
            <v>9352.479114209998</v>
          </cell>
        </row>
        <row r="11">
          <cell r="C11">
            <v>-0.05445652453150184</v>
          </cell>
        </row>
        <row r="12">
          <cell r="C12">
            <v>-1.006209409866762</v>
          </cell>
        </row>
        <row r="13">
          <cell r="C13">
            <v>-0.05445652453150184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66.23</v>
          </cell>
        </row>
        <row r="4">
          <cell r="C4">
            <v>148.805278</v>
          </cell>
        </row>
        <row r="5">
          <cell r="C5">
            <v>9855.37356194</v>
          </cell>
        </row>
        <row r="7">
          <cell r="C7">
            <v>1486.838</v>
          </cell>
        </row>
        <row r="8">
          <cell r="C8">
            <v>0</v>
          </cell>
        </row>
        <row r="9">
          <cell r="C9">
            <v>8368.53556194</v>
          </cell>
        </row>
        <row r="11">
          <cell r="C11">
            <v>15.897805318070404</v>
          </cell>
        </row>
        <row r="12">
          <cell r="C12">
            <v>-0.7599606625687694</v>
          </cell>
        </row>
        <row r="13">
          <cell r="C13">
            <v>9.99183644547877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325.42</v>
          </cell>
        </row>
        <row r="4">
          <cell r="C4">
            <v>29.598836</v>
          </cell>
        </row>
        <row r="5">
          <cell r="C5">
            <v>9632.05321112</v>
          </cell>
        </row>
        <row r="7">
          <cell r="C7">
            <v>845.6310000000001</v>
          </cell>
        </row>
        <row r="8">
          <cell r="C8">
            <v>0</v>
          </cell>
        </row>
        <row r="9">
          <cell r="C9">
            <v>8786.42221112</v>
          </cell>
        </row>
        <row r="11">
          <cell r="C11">
            <v>175.66781215787773</v>
          </cell>
        </row>
        <row r="12">
          <cell r="C12">
            <v>-0.46018126680020366</v>
          </cell>
        </row>
        <row r="13">
          <cell r="C13">
            <v>28.569738350521625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113.46</v>
          </cell>
        </row>
        <row r="4">
          <cell r="C4">
            <v>83.150618</v>
          </cell>
        </row>
        <row r="5">
          <cell r="C5">
            <v>9434.269118279999</v>
          </cell>
        </row>
        <row r="7">
          <cell r="C7">
            <v>690.985</v>
          </cell>
        </row>
        <row r="8">
          <cell r="C8">
            <v>0</v>
          </cell>
        </row>
        <row r="9">
          <cell r="C9">
            <v>8743.284118279998</v>
          </cell>
        </row>
        <row r="11">
          <cell r="C11">
            <v>6.7639931170779</v>
          </cell>
        </row>
        <row r="12">
          <cell r="C12">
            <v>-0.9403843370608329</v>
          </cell>
        </row>
        <row r="13">
          <cell r="C13">
            <v>8.310040461755799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31.11</v>
          </cell>
        </row>
        <row r="4">
          <cell r="C4">
            <v>282.595186</v>
          </cell>
        </row>
        <row r="5">
          <cell r="C5">
            <v>8791.53623646</v>
          </cell>
        </row>
        <row r="7">
          <cell r="C7">
            <v>102.2</v>
          </cell>
        </row>
        <row r="8">
          <cell r="C8">
            <v>393.151</v>
          </cell>
        </row>
        <row r="9">
          <cell r="C9">
            <v>9082.48723646</v>
          </cell>
        </row>
        <row r="11">
          <cell r="C11">
            <v>21.409854727715675</v>
          </cell>
        </row>
        <row r="12">
          <cell r="C12">
            <v>-0.31180151952055046</v>
          </cell>
        </row>
        <row r="13">
          <cell r="C13">
            <v>-1.0295681399187033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139.02341799999999</v>
          </cell>
        </row>
        <row r="7">
          <cell r="C7">
            <v>1704.0029999999999</v>
          </cell>
        </row>
        <row r="8">
          <cell r="C8">
            <v>1166.06</v>
          </cell>
        </row>
        <row r="11">
          <cell r="C11">
            <v>44.742934152609983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159.58</v>
          </cell>
        </row>
        <row r="4">
          <cell r="C4">
            <v>52.380818</v>
          </cell>
        </row>
        <row r="5">
          <cell r="C5">
            <v>8358.93093644</v>
          </cell>
        </row>
        <row r="7">
          <cell r="C7">
            <v>319.85</v>
          </cell>
        </row>
        <row r="8">
          <cell r="C8">
            <v>187.958</v>
          </cell>
        </row>
        <row r="9">
          <cell r="C9">
            <v>8227.03893644</v>
          </cell>
        </row>
        <row r="11">
          <cell r="C11">
            <v>63.20889061029985</v>
          </cell>
        </row>
        <row r="12">
          <cell r="C12">
            <v>-0.6039046834797603</v>
          </cell>
        </row>
        <row r="13">
          <cell r="C13">
            <v>2.517944641490708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137.99</v>
          </cell>
        </row>
        <row r="4">
          <cell r="C4">
            <v>64.708285</v>
          </cell>
        </row>
        <row r="5">
          <cell r="C5">
            <v>8929.09624715</v>
          </cell>
        </row>
        <row r="7">
          <cell r="C7">
            <v>782.576</v>
          </cell>
        </row>
        <row r="8">
          <cell r="C8">
            <v>0</v>
          </cell>
        </row>
        <row r="9">
          <cell r="C9">
            <v>8146.520247150001</v>
          </cell>
        </row>
        <row r="11">
          <cell r="C11">
            <v>12.093907294869583</v>
          </cell>
        </row>
        <row r="12">
          <cell r="C12">
            <v>-0.9123566396487457</v>
          </cell>
        </row>
        <row r="13">
          <cell r="C13">
            <v>12.093907294869583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142.7</v>
          </cell>
        </row>
        <row r="4">
          <cell r="C4">
            <v>62.707424</v>
          </cell>
        </row>
        <row r="5">
          <cell r="C5">
            <v>8948.3494048</v>
          </cell>
        </row>
        <row r="7">
          <cell r="C7">
            <v>166.839</v>
          </cell>
        </row>
        <row r="8">
          <cell r="C8">
            <v>15</v>
          </cell>
        </row>
        <row r="9">
          <cell r="C9">
            <v>8796.5104048</v>
          </cell>
        </row>
        <row r="11">
          <cell r="C11">
            <v>15.588532270153587</v>
          </cell>
        </row>
        <row r="12">
          <cell r="C12">
            <v>-0.8907601102301781</v>
          </cell>
        </row>
        <row r="13">
          <cell r="C13">
            <v>2.4213879364586877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54.53</v>
          </cell>
        </row>
        <row r="4">
          <cell r="C4">
            <v>153.069053</v>
          </cell>
        </row>
        <row r="5">
          <cell r="C5">
            <v>8346.85546009</v>
          </cell>
        </row>
        <row r="7">
          <cell r="C7">
            <v>612.3</v>
          </cell>
        </row>
        <row r="8">
          <cell r="C8">
            <v>745.387</v>
          </cell>
        </row>
        <row r="9">
          <cell r="C9">
            <v>8479.94246009</v>
          </cell>
        </row>
        <row r="11">
          <cell r="C11">
            <v>31.00164458988266</v>
          </cell>
        </row>
        <row r="12">
          <cell r="C12">
            <v>-0.4314754338917539</v>
          </cell>
        </row>
        <row r="13">
          <cell r="C13">
            <v>-0.8694572638402617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58.92</v>
          </cell>
        </row>
        <row r="4">
          <cell r="C4">
            <v>141.254467</v>
          </cell>
        </row>
        <row r="5">
          <cell r="C5">
            <v>8322.71319564</v>
          </cell>
        </row>
        <row r="7">
          <cell r="C7">
            <v>1601.96</v>
          </cell>
        </row>
        <row r="8">
          <cell r="C8">
            <v>864.073</v>
          </cell>
        </row>
        <row r="9">
          <cell r="C9">
            <v>7584.826195640001</v>
          </cell>
        </row>
        <row r="11">
          <cell r="C11">
            <v>5.223813559113851</v>
          </cell>
        </row>
        <row r="12">
          <cell r="C12">
            <v>-0.9113405709586923</v>
          </cell>
        </row>
        <row r="13">
          <cell r="C13">
            <v>5.223813559113851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45.4</v>
          </cell>
        </row>
        <row r="4">
          <cell r="C4">
            <v>166.184322</v>
          </cell>
        </row>
        <row r="5">
          <cell r="C5">
            <v>7544.7682188</v>
          </cell>
        </row>
        <row r="7">
          <cell r="C7">
            <v>2054.585</v>
          </cell>
        </row>
        <row r="8">
          <cell r="C8">
            <v>0</v>
          </cell>
        </row>
        <row r="9">
          <cell r="C9">
            <v>5490.1832188</v>
          </cell>
        </row>
        <row r="11">
          <cell r="C11">
            <v>12.785845823339901</v>
          </cell>
        </row>
        <row r="12">
          <cell r="C12">
            <v>-0.7183734400145396</v>
          </cell>
        </row>
        <row r="13">
          <cell r="C13">
            <v>12.363290202549912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29.163921000000002</v>
          </cell>
        </row>
        <row r="7">
          <cell r="C7">
            <v>1373.84</v>
          </cell>
        </row>
        <row r="8">
          <cell r="C8">
            <v>0</v>
          </cell>
        </row>
        <row r="11">
          <cell r="C11">
            <v>272.58648743171324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91.4</v>
          </cell>
        </row>
        <row r="4">
          <cell r="C4">
            <v>88.173762</v>
          </cell>
        </row>
        <row r="5">
          <cell r="C5">
            <v>8059.0818468</v>
          </cell>
        </row>
        <row r="7">
          <cell r="C7">
            <v>1145.346</v>
          </cell>
        </row>
        <row r="8">
          <cell r="C8">
            <v>0</v>
          </cell>
        </row>
        <row r="9">
          <cell r="C9">
            <v>6913.7358468</v>
          </cell>
        </row>
        <row r="11">
          <cell r="C11">
            <v>19.508076889165785</v>
          </cell>
        </row>
        <row r="12">
          <cell r="C12">
            <v>-0.7865637101841818</v>
          </cell>
        </row>
        <row r="13">
          <cell r="C13">
            <v>12.98964651185009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92.59</v>
          </cell>
        </row>
        <row r="4">
          <cell r="C4">
            <v>78.536412</v>
          </cell>
        </row>
        <row r="5">
          <cell r="C5">
            <v>7271.68638708</v>
          </cell>
        </row>
        <row r="7">
          <cell r="C7">
            <v>581.4268834749338</v>
          </cell>
        </row>
        <row r="8">
          <cell r="C8" t="str">
            <v>empty</v>
          </cell>
        </row>
        <row r="9">
          <cell r="C9">
            <v>6690.259503605066</v>
          </cell>
        </row>
        <row r="11">
          <cell r="C11">
            <v>22.950633622880922</v>
          </cell>
        </row>
        <row r="12">
          <cell r="C12">
            <v>-0.7521262164069454</v>
          </cell>
        </row>
        <row r="13">
          <cell r="C13">
            <v>7.403277902165097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44.11</v>
          </cell>
        </row>
        <row r="4">
          <cell r="C4">
            <v>167.763272</v>
          </cell>
        </row>
        <row r="5">
          <cell r="C5">
            <v>7400.03792792</v>
          </cell>
        </row>
        <row r="7">
          <cell r="C7">
            <v>656.577</v>
          </cell>
        </row>
        <row r="8">
          <cell r="C8">
            <v>1503.111</v>
          </cell>
        </row>
        <row r="9">
          <cell r="C9">
            <v>8246.57192792</v>
          </cell>
        </row>
        <row r="11">
          <cell r="C11">
            <v>12.355105948043038</v>
          </cell>
        </row>
        <row r="12">
          <cell r="C12">
            <v>-0.7199023815905001</v>
          </cell>
        </row>
        <row r="13">
          <cell r="C13">
            <v>-5.0460031561616185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14.86</v>
          </cell>
        </row>
        <row r="4">
          <cell r="C4">
            <v>452.971432</v>
          </cell>
        </row>
        <row r="5">
          <cell r="C5">
            <v>6731.15547952</v>
          </cell>
        </row>
        <row r="7">
          <cell r="C7">
            <v>297.674</v>
          </cell>
        </row>
        <row r="8">
          <cell r="C8">
            <v>0</v>
          </cell>
        </row>
        <row r="9">
          <cell r="C9">
            <v>6433.48147952</v>
          </cell>
        </row>
        <row r="11">
          <cell r="C11">
            <v>0.1576083713009876</v>
          </cell>
        </row>
        <row r="12">
          <cell r="C12">
            <v>-0.9893937838962996</v>
          </cell>
        </row>
        <row r="13">
          <cell r="C13">
            <v>0.6571584408440133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19.84</v>
          </cell>
        </row>
        <row r="4">
          <cell r="C4">
            <v>319.353919</v>
          </cell>
        </row>
        <row r="5">
          <cell r="C5">
            <v>6335.98175296</v>
          </cell>
        </row>
        <row r="7">
          <cell r="C7">
            <v>127.637</v>
          </cell>
        </row>
        <row r="8">
          <cell r="C8">
            <v>2670.296</v>
          </cell>
        </row>
        <row r="9">
          <cell r="C9">
            <v>8878.64075296</v>
          </cell>
        </row>
        <row r="11">
          <cell r="C11">
            <v>17.53203349331973</v>
          </cell>
        </row>
        <row r="12">
          <cell r="C12">
            <v>-0.11632895698993295</v>
          </cell>
        </row>
        <row r="13">
          <cell r="C13">
            <v>-7.961884444574483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90.2</v>
          </cell>
        </row>
        <row r="4">
          <cell r="C4">
            <v>68.852082</v>
          </cell>
        </row>
        <row r="5">
          <cell r="C5">
            <v>6210.4577964</v>
          </cell>
        </row>
        <row r="7">
          <cell r="C7">
            <v>330.89700000000005</v>
          </cell>
        </row>
        <row r="8">
          <cell r="C8">
            <v>106.102</v>
          </cell>
        </row>
        <row r="9">
          <cell r="C9">
            <v>5985.6627964</v>
          </cell>
        </row>
        <row r="11">
          <cell r="C11">
            <v>3.7457419713281723</v>
          </cell>
        </row>
        <row r="12">
          <cell r="C12">
            <v>-0.9584729271471378</v>
          </cell>
        </row>
        <row r="13">
          <cell r="C13">
            <v>3.264897639551409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306.4</v>
          </cell>
        </row>
        <row r="4">
          <cell r="C4">
            <v>19.935609</v>
          </cell>
        </row>
        <row r="5">
          <cell r="C5">
            <v>6108.2705976</v>
          </cell>
        </row>
        <row r="7">
          <cell r="C7">
            <v>1357.758</v>
          </cell>
        </row>
        <row r="8">
          <cell r="C8">
            <v>1126.594</v>
          </cell>
        </row>
        <row r="9">
          <cell r="C9">
            <v>5877.1065976</v>
          </cell>
        </row>
        <row r="11">
          <cell r="C11">
            <v>94.07907295624256</v>
          </cell>
        </row>
        <row r="12">
          <cell r="C12">
            <v>-0.6929534172446392</v>
          </cell>
        </row>
        <row r="13">
          <cell r="C13">
            <v>11.595532396326593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154.45</v>
          </cell>
        </row>
        <row r="4">
          <cell r="C4">
            <v>39.33996</v>
          </cell>
        </row>
        <row r="5">
          <cell r="C5">
            <v>6076.056822</v>
          </cell>
        </row>
        <row r="7">
          <cell r="C7">
            <v>492.422</v>
          </cell>
        </row>
        <row r="8">
          <cell r="C8">
            <v>0</v>
          </cell>
        </row>
        <row r="9">
          <cell r="C9">
            <v>5583.634822</v>
          </cell>
        </row>
        <row r="11">
          <cell r="C11">
            <v>32.943785371448655</v>
          </cell>
        </row>
        <row r="12">
          <cell r="C12">
            <v>-0.7867025874299213</v>
          </cell>
        </row>
        <row r="13">
          <cell r="C13">
            <v>12.517094577625398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187.89448199999998</v>
          </cell>
        </row>
        <row r="7">
          <cell r="C7">
            <v>863.7</v>
          </cell>
        </row>
        <row r="8">
          <cell r="C8">
            <v>230</v>
          </cell>
        </row>
        <row r="11">
          <cell r="C11">
            <v>18.914297835030432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28.59</v>
          </cell>
        </row>
        <row r="4">
          <cell r="C4">
            <v>206.552682</v>
          </cell>
        </row>
        <row r="5">
          <cell r="C5">
            <v>5905.34117838</v>
          </cell>
        </row>
        <row r="7">
          <cell r="C7">
            <v>797.798</v>
          </cell>
        </row>
        <row r="8">
          <cell r="C8">
            <v>0</v>
          </cell>
        </row>
        <row r="9">
          <cell r="C9">
            <v>5107.54317838</v>
          </cell>
        </row>
        <row r="11">
          <cell r="C11">
            <v>6.570822979428436</v>
          </cell>
        </row>
        <row r="12">
          <cell r="C12">
            <v>-0.7701705848398588</v>
          </cell>
        </row>
        <row r="13">
          <cell r="C13">
            <v>3.862443190159109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92.97</v>
          </cell>
        </row>
        <row r="4">
          <cell r="C4">
            <v>62.849457</v>
          </cell>
        </row>
        <row r="5">
          <cell r="C5">
            <v>5843.11401729</v>
          </cell>
        </row>
        <row r="7">
          <cell r="C7">
            <v>125.903</v>
          </cell>
        </row>
        <row r="8">
          <cell r="C8">
            <v>0</v>
          </cell>
        </row>
        <row r="9">
          <cell r="C9">
            <v>5717.21101729</v>
          </cell>
        </row>
        <row r="11">
          <cell r="C11">
            <v>15.200950251294206</v>
          </cell>
        </row>
        <row r="12">
          <cell r="C12">
            <v>-0.8364961788609853</v>
          </cell>
        </row>
        <row r="13">
          <cell r="C13">
            <v>2.0032472197810716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61.93</v>
          </cell>
        </row>
        <row r="4">
          <cell r="C4">
            <v>88.640375</v>
          </cell>
        </row>
        <row r="5">
          <cell r="C5">
            <v>5489.49842375</v>
          </cell>
        </row>
        <row r="7">
          <cell r="C7">
            <v>1028.278</v>
          </cell>
        </row>
        <row r="8">
          <cell r="C8">
            <v>3</v>
          </cell>
        </row>
        <row r="9">
          <cell r="C9">
            <v>4464.22042375</v>
          </cell>
        </row>
        <row r="11">
          <cell r="C11">
            <v>11.364760055678994</v>
          </cell>
        </row>
        <row r="12">
          <cell r="C12">
            <v>-0.8164902300067981</v>
          </cell>
        </row>
        <row r="13">
          <cell r="C13">
            <v>11.566715506336699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124.67</v>
          </cell>
        </row>
        <row r="4">
          <cell r="C4">
            <v>44.666234</v>
          </cell>
        </row>
        <row r="5">
          <cell r="C5">
            <v>5568.5393927800005</v>
          </cell>
        </row>
        <row r="7">
          <cell r="C7">
            <v>861.609</v>
          </cell>
        </row>
        <row r="8">
          <cell r="C8">
            <v>0</v>
          </cell>
        </row>
        <row r="9">
          <cell r="C9">
            <v>4706.93039278</v>
          </cell>
        </row>
        <row r="11">
          <cell r="C11">
            <v>3.466444000775628</v>
          </cell>
        </row>
        <row r="12">
          <cell r="C12">
            <v>-0.9721950429070696</v>
          </cell>
        </row>
        <row r="13">
          <cell r="C13">
            <v>19.28994058464835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2.2145</v>
          </cell>
        </row>
        <row r="4">
          <cell r="C4">
            <v>2610.81439</v>
          </cell>
        </row>
        <row r="5">
          <cell r="C5">
            <v>5781.648466655</v>
          </cell>
        </row>
        <row r="7">
          <cell r="C7">
            <v>3.25</v>
          </cell>
        </row>
        <row r="8">
          <cell r="C8">
            <v>4.479</v>
          </cell>
        </row>
        <row r="9">
          <cell r="C9">
            <v>5782.877466655001</v>
          </cell>
        </row>
        <row r="11">
          <cell r="C11">
            <v>-0.00047073434431315513</v>
          </cell>
        </row>
        <row r="12">
          <cell r="C12">
            <v>-1.0002125691326769</v>
          </cell>
        </row>
        <row r="13">
          <cell r="C13">
            <v>-0.00047073434431315513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85.07</v>
          </cell>
        </row>
        <row r="4">
          <cell r="C4">
            <v>64.932203</v>
          </cell>
        </row>
        <row r="5">
          <cell r="C5">
            <v>5523.782509209999</v>
          </cell>
        </row>
        <row r="7">
          <cell r="C7">
            <v>438.291</v>
          </cell>
        </row>
        <row r="8">
          <cell r="C8">
            <v>750.079</v>
          </cell>
        </row>
        <row r="9">
          <cell r="C9">
            <v>5835.570509209999</v>
          </cell>
        </row>
        <row r="11">
          <cell r="C11">
            <v>33.89270040632059</v>
          </cell>
        </row>
        <row r="12">
          <cell r="C12">
            <v>-0.6015904501431693</v>
          </cell>
        </row>
        <row r="13">
          <cell r="C13">
            <v>-4.801746831229489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62.92</v>
          </cell>
        </row>
        <row r="4">
          <cell r="C4">
            <v>83.460802</v>
          </cell>
        </row>
        <row r="5">
          <cell r="C5">
            <v>5251.35366184</v>
          </cell>
        </row>
        <row r="7">
          <cell r="C7">
            <v>2229.082</v>
          </cell>
        </row>
        <row r="8">
          <cell r="C8">
            <v>590.97</v>
          </cell>
        </row>
        <row r="9">
          <cell r="C9">
            <v>3613.2416618400002</v>
          </cell>
        </row>
        <row r="11">
          <cell r="C11">
            <v>47.505232158878805</v>
          </cell>
        </row>
        <row r="12">
          <cell r="C12">
            <v>-0.2449899529739542</v>
          </cell>
        </row>
        <row r="13">
          <cell r="C13">
            <v>19.627321577858787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41.36</v>
          </cell>
        </row>
        <row r="4">
          <cell r="C4">
            <v>121.785282</v>
          </cell>
        </row>
        <row r="5">
          <cell r="C5">
            <v>5037.03926352</v>
          </cell>
        </row>
        <row r="7">
          <cell r="C7">
            <v>492.088</v>
          </cell>
        </row>
        <row r="8">
          <cell r="C8">
            <v>196.203</v>
          </cell>
        </row>
        <row r="9">
          <cell r="C9">
            <v>4741.15426352</v>
          </cell>
        </row>
        <row r="11">
          <cell r="C11">
            <v>13.60851654870379</v>
          </cell>
        </row>
        <row r="12">
          <cell r="C12">
            <v>-0.6709739712595795</v>
          </cell>
        </row>
        <row r="13">
          <cell r="C13">
            <v>2.4295628760789008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7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79.09</v>
          </cell>
        </row>
        <row r="4">
          <cell r="C4">
            <v>66.209699</v>
          </cell>
        </row>
        <row r="5">
          <cell r="C5">
            <v>5236.525093910001</v>
          </cell>
        </row>
        <row r="7">
          <cell r="C7">
            <v>873.5640000000001</v>
          </cell>
        </row>
        <row r="8">
          <cell r="C8">
            <v>0</v>
          </cell>
        </row>
        <row r="9">
          <cell r="C9">
            <v>4362.96109391</v>
          </cell>
        </row>
        <row r="11">
          <cell r="C11">
            <v>17.090735471016487</v>
          </cell>
        </row>
        <row r="12">
          <cell r="C12">
            <v>-0.7839077573521749</v>
          </cell>
        </row>
        <row r="13">
          <cell r="C13">
            <v>13.193897770174127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7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49.88</v>
          </cell>
        </row>
        <row r="4">
          <cell r="C4">
            <v>96.692653</v>
          </cell>
        </row>
        <row r="5">
          <cell r="C5">
            <v>4823.029531640001</v>
          </cell>
        </row>
        <row r="7">
          <cell r="C7">
            <v>2364.352</v>
          </cell>
        </row>
        <row r="8">
          <cell r="C8">
            <v>586.198</v>
          </cell>
        </row>
        <row r="9">
          <cell r="C9">
            <v>3044.8755316400006</v>
          </cell>
        </row>
        <row r="11">
          <cell r="C11">
            <v>29.73820942814595</v>
          </cell>
        </row>
        <row r="12">
          <cell r="C12">
            <v>-0.40380494330100347</v>
          </cell>
        </row>
        <row r="13">
          <cell r="C13">
            <v>18.389752942242673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8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10.45</v>
          </cell>
        </row>
        <row r="4">
          <cell r="C4">
            <v>495.884376</v>
          </cell>
        </row>
        <row r="5">
          <cell r="C5">
            <v>5181.991729199999</v>
          </cell>
        </row>
        <row r="7">
          <cell r="C7">
            <v>14.192455</v>
          </cell>
        </row>
        <row r="8">
          <cell r="C8">
            <v>0</v>
          </cell>
        </row>
        <row r="9">
          <cell r="C9">
            <v>5167.799274199999</v>
          </cell>
        </row>
        <row r="11">
          <cell r="C11">
            <v>0.02862049237058439</v>
          </cell>
        </row>
        <row r="12">
          <cell r="C12">
            <v>-0.9972611969023364</v>
          </cell>
        </row>
        <row r="13">
          <cell r="C13">
            <v>0.02862049237058439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8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14.62</v>
          </cell>
        </row>
        <row r="4">
          <cell r="C4">
            <v>349.762035</v>
          </cell>
        </row>
        <row r="5">
          <cell r="C5">
            <v>5113.5209517</v>
          </cell>
        </row>
        <row r="7">
          <cell r="C7">
            <v>384.3</v>
          </cell>
        </row>
        <row r="8">
          <cell r="C8">
            <v>0</v>
          </cell>
        </row>
        <row r="9">
          <cell r="C9">
            <v>4729.2209517</v>
          </cell>
        </row>
        <row r="11">
          <cell r="C11">
            <v>1.7540709637896892</v>
          </cell>
        </row>
        <row r="12">
          <cell r="C12">
            <v>-0.8800225058967381</v>
          </cell>
        </row>
        <row r="13">
          <cell r="C13">
            <v>1.0987470381112117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8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52.3</v>
          </cell>
        </row>
        <row r="4">
          <cell r="C4">
            <v>94.261082</v>
          </cell>
        </row>
        <row r="5">
          <cell r="C5">
            <v>4929.8545886</v>
          </cell>
        </row>
        <row r="7">
          <cell r="C7">
            <v>293.645</v>
          </cell>
        </row>
        <row r="8">
          <cell r="C8">
            <v>602.781</v>
          </cell>
        </row>
        <row r="9">
          <cell r="C9">
            <v>5238.990588600001</v>
          </cell>
        </row>
        <row r="11">
          <cell r="C11">
            <v>21.127019530816117</v>
          </cell>
        </row>
        <row r="12">
          <cell r="C12">
            <v>-0.5960416915713935</v>
          </cell>
        </row>
        <row r="13">
          <cell r="C13">
            <v>-3.2795719446547404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127.23</v>
          </cell>
        </row>
        <row r="4">
          <cell r="C4">
            <v>41.780136</v>
          </cell>
        </row>
        <row r="5">
          <cell r="C5">
            <v>5315.68670328</v>
          </cell>
        </row>
        <row r="7">
          <cell r="C7">
            <v>819.894</v>
          </cell>
        </row>
        <row r="8">
          <cell r="C8">
            <v>0</v>
          </cell>
        </row>
        <row r="9">
          <cell r="C9">
            <v>4495.79270328</v>
          </cell>
        </row>
        <row r="11">
          <cell r="C11">
            <v>38.37328074426848</v>
          </cell>
        </row>
        <row r="12">
          <cell r="C12">
            <v>-0.6983943979857858</v>
          </cell>
        </row>
        <row r="13">
          <cell r="C13">
            <v>19.62401462742965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8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35.09</v>
          </cell>
        </row>
        <row r="4">
          <cell r="C4">
            <v>134.36695</v>
          </cell>
        </row>
        <row r="5">
          <cell r="C5">
            <v>4714.9362755</v>
          </cell>
        </row>
        <row r="7">
          <cell r="C7">
            <v>1083.8790000000001</v>
          </cell>
        </row>
        <row r="8">
          <cell r="C8">
            <v>36.467</v>
          </cell>
        </row>
        <row r="9">
          <cell r="C9">
            <v>3667.5242755000004</v>
          </cell>
        </row>
        <row r="11">
          <cell r="C11">
            <v>16.05695248785764</v>
          </cell>
        </row>
        <row r="12">
          <cell r="C12">
            <v>-0.542406597667209</v>
          </cell>
        </row>
        <row r="13">
          <cell r="C13">
            <v>7.795160938013403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8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9.58</v>
          </cell>
        </row>
        <row r="4">
          <cell r="C4">
            <v>488.846722</v>
          </cell>
        </row>
        <row r="5">
          <cell r="C5">
            <v>4683.15159676</v>
          </cell>
        </row>
        <row r="7">
          <cell r="C7">
            <v>57.026</v>
          </cell>
        </row>
        <row r="8">
          <cell r="C8">
            <v>36.145</v>
          </cell>
        </row>
        <row r="9">
          <cell r="C9">
            <v>4662.27059676</v>
          </cell>
        </row>
        <row r="11">
          <cell r="C11">
            <v>-0.2085343619569626</v>
          </cell>
        </row>
        <row r="12">
          <cell r="C12">
            <v>-1.0217676787011443</v>
          </cell>
        </row>
        <row r="13">
          <cell r="C13">
            <v>0.04271482053632345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39.75</v>
          </cell>
        </row>
        <row r="4">
          <cell r="C4">
            <v>108.604129</v>
          </cell>
        </row>
        <row r="5">
          <cell r="C5">
            <v>4317.01412775</v>
          </cell>
        </row>
        <row r="7">
          <cell r="C7">
            <v>72.319</v>
          </cell>
        </row>
        <row r="8">
          <cell r="C8">
            <v>0</v>
          </cell>
        </row>
        <row r="9">
          <cell r="C9">
            <v>4244.695127749999</v>
          </cell>
        </row>
        <row r="11">
          <cell r="C11">
            <v>0.8491666065029759</v>
          </cell>
        </row>
        <row r="12">
          <cell r="C12">
            <v>-0.9786373180753968</v>
          </cell>
        </row>
        <row r="13">
          <cell r="C13">
            <v>0.6658954927947537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8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78.75</v>
          </cell>
        </row>
        <row r="4">
          <cell r="C4">
            <v>55.934378</v>
          </cell>
        </row>
        <row r="5">
          <cell r="C5">
            <v>4404.8322675</v>
          </cell>
        </row>
        <row r="7">
          <cell r="C7">
            <v>886.813</v>
          </cell>
        </row>
        <row r="8">
          <cell r="C8">
            <v>0</v>
          </cell>
        </row>
        <row r="9">
          <cell r="C9">
            <v>3518.0192675</v>
          </cell>
        </row>
        <row r="11">
          <cell r="C11">
            <v>34.01252467926737</v>
          </cell>
        </row>
        <row r="12">
          <cell r="C12">
            <v>-0.5680949247077158</v>
          </cell>
        </row>
        <row r="13">
          <cell r="C13">
            <v>15.854525100824397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34.77</v>
          </cell>
        </row>
        <row r="4">
          <cell r="C4">
            <v>118.013649</v>
          </cell>
        </row>
        <row r="5">
          <cell r="C5">
            <v>4103.33457573</v>
          </cell>
        </row>
        <row r="7">
          <cell r="C7">
            <v>222</v>
          </cell>
        </row>
        <row r="8">
          <cell r="C8">
            <v>487</v>
          </cell>
        </row>
        <row r="9">
          <cell r="C9">
            <v>4368.33457573</v>
          </cell>
        </row>
        <row r="11">
          <cell r="C11">
            <v>28.18145573331213</v>
          </cell>
        </row>
        <row r="12">
          <cell r="C12">
            <v>-0.18948933755213893</v>
          </cell>
        </row>
        <row r="13">
          <cell r="C13">
            <v>-2.2455029756769913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25.255</v>
          </cell>
        </row>
        <row r="4">
          <cell r="C4">
            <v>168.610367</v>
          </cell>
        </row>
        <row r="5">
          <cell r="C5">
            <v>4258.254818585</v>
          </cell>
        </row>
        <row r="7">
          <cell r="C7">
            <v>1013.99</v>
          </cell>
        </row>
        <row r="8">
          <cell r="C8">
            <v>0</v>
          </cell>
        </row>
        <row r="9">
          <cell r="C9">
            <v>3244.2648185850003</v>
          </cell>
        </row>
        <row r="11">
          <cell r="C11">
            <v>3.7852885847835798</v>
          </cell>
        </row>
        <row r="12">
          <cell r="C12">
            <v>-0.8501172605510362</v>
          </cell>
        </row>
        <row r="13">
          <cell r="C13">
            <v>6.013805782179455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32.82</v>
          </cell>
        </row>
        <row r="4">
          <cell r="C4">
            <v>125.691961</v>
          </cell>
        </row>
        <row r="5">
          <cell r="C5">
            <v>4125.21016002</v>
          </cell>
        </row>
        <row r="7">
          <cell r="C7">
            <v>238.55200000000002</v>
          </cell>
        </row>
        <row r="8">
          <cell r="C8">
            <v>108.9</v>
          </cell>
        </row>
        <row r="9">
          <cell r="C9">
            <v>3995.5581600200003</v>
          </cell>
        </row>
        <row r="11">
          <cell r="C11">
            <v>17.866044506123085</v>
          </cell>
        </row>
        <row r="12">
          <cell r="C12">
            <v>-0.4556354507579804</v>
          </cell>
        </row>
        <row r="13">
          <cell r="C13">
            <v>1.031505905138993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11.16</v>
          </cell>
        </row>
        <row r="4">
          <cell r="C4">
            <v>338.777049</v>
          </cell>
        </row>
        <row r="5">
          <cell r="C5">
            <v>3780.75186684</v>
          </cell>
        </row>
        <row r="7">
          <cell r="C7">
            <v>141.866</v>
          </cell>
        </row>
        <row r="8">
          <cell r="C8">
            <v>405.024</v>
          </cell>
        </row>
        <row r="9">
          <cell r="C9">
            <v>4043.9098668399997</v>
          </cell>
        </row>
        <row r="11">
          <cell r="C11">
            <v>11.325641162457769</v>
          </cell>
        </row>
        <row r="12">
          <cell r="C12">
            <v>0.014842398069692564</v>
          </cell>
        </row>
        <row r="13">
          <cell r="C13">
            <v>-0.7767881583973536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13.755</v>
          </cell>
        </row>
        <row r="4">
          <cell r="C4">
            <v>262.609433</v>
          </cell>
        </row>
        <row r="5">
          <cell r="C5">
            <v>3612.1927509150005</v>
          </cell>
        </row>
        <row r="7">
          <cell r="C7">
            <v>1132</v>
          </cell>
        </row>
        <row r="8">
          <cell r="C8">
            <v>8553.0</v>
          </cell>
        </row>
        <row r="9">
          <cell r="C9">
            <v>11033.192750915001</v>
          </cell>
        </row>
        <row r="11">
          <cell r="C11">
            <v>10.85280996028869</v>
          </cell>
        </row>
        <row r="12">
          <cell r="C12">
            <v>-0.21099164229089862</v>
          </cell>
        </row>
        <row r="13">
          <cell r="C13">
            <v>-28.258695490195887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18.45</v>
          </cell>
        </row>
        <row r="4">
          <cell r="C4">
            <v>219.141631</v>
          </cell>
        </row>
        <row r="5">
          <cell r="C5">
            <v>4043.16309195</v>
          </cell>
        </row>
        <row r="7">
          <cell r="C7">
            <v>121.189</v>
          </cell>
        </row>
        <row r="8">
          <cell r="C8">
            <v>0</v>
          </cell>
        </row>
        <row r="9">
          <cell r="C9">
            <v>3921.97409195</v>
          </cell>
        </row>
        <row r="11">
          <cell r="C11">
            <v>0.09941138712932078</v>
          </cell>
        </row>
        <row r="12">
          <cell r="C12">
            <v>-0.9946118489360801</v>
          </cell>
        </row>
        <row r="13">
          <cell r="C13">
            <v>0.5530167839263732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9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44.79</v>
          </cell>
        </row>
        <row r="4">
          <cell r="C4">
            <v>80.390731</v>
          </cell>
        </row>
        <row r="5">
          <cell r="C5">
            <v>3600.70084149</v>
          </cell>
        </row>
        <row r="7">
          <cell r="C7">
            <v>299.521</v>
          </cell>
        </row>
        <row r="8">
          <cell r="C8">
            <v>0</v>
          </cell>
        </row>
        <row r="9">
          <cell r="C9">
            <v>3301.17984149</v>
          </cell>
        </row>
        <row r="11">
          <cell r="C11">
            <v>26.3696919364776</v>
          </cell>
        </row>
        <row r="12">
          <cell r="C12">
            <v>-0.41125938967453446</v>
          </cell>
        </row>
        <row r="13">
          <cell r="C13">
            <v>3.7258151067192062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19.01</v>
          </cell>
        </row>
        <row r="4">
          <cell r="C4">
            <v>184.9431845</v>
          </cell>
        </row>
        <row r="5">
          <cell r="C5">
            <v>3515.7699373450005</v>
          </cell>
        </row>
        <row r="7">
          <cell r="C7">
            <v>901.9</v>
          </cell>
        </row>
        <row r="8">
          <cell r="C8">
            <v>319.1</v>
          </cell>
        </row>
        <row r="9">
          <cell r="C9">
            <v>2932.9699373450003</v>
          </cell>
        </row>
        <row r="11">
          <cell r="C11">
            <v>24.93830421292855</v>
          </cell>
        </row>
        <row r="12">
          <cell r="C12">
            <v>0.31185187863906094</v>
          </cell>
        </row>
        <row r="13">
          <cell r="C13">
            <v>3.151238049542723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69.2</v>
          </cell>
        </row>
        <row r="4">
          <cell r="C4">
            <v>51.734223</v>
          </cell>
        </row>
        <row r="5">
          <cell r="C5">
            <v>3580.0082316000003</v>
          </cell>
        </row>
        <row r="7">
          <cell r="C7">
            <v>373.636</v>
          </cell>
        </row>
        <row r="8">
          <cell r="C8">
            <v>0</v>
          </cell>
        </row>
        <row r="9">
          <cell r="C9">
            <v>3206.3722316000003</v>
          </cell>
        </row>
        <row r="11">
          <cell r="C11">
            <v>35.32363809606347</v>
          </cell>
        </row>
        <row r="12">
          <cell r="C12">
            <v>-0.48954280208000767</v>
          </cell>
        </row>
        <row r="13">
          <cell r="C13">
            <v>7.222221159096176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20.44</v>
          </cell>
        </row>
        <row r="4">
          <cell r="C4">
            <v>172.305518</v>
          </cell>
        </row>
        <row r="5">
          <cell r="C5">
            <v>3521.92478792</v>
          </cell>
        </row>
        <row r="7">
          <cell r="C7">
            <v>956.474</v>
          </cell>
        </row>
        <row r="8">
          <cell r="C8">
            <v>0</v>
          </cell>
        </row>
        <row r="9">
          <cell r="C9">
            <v>2565.45078792</v>
          </cell>
        </row>
        <row r="11">
          <cell r="C11">
            <v>21.156942163348617</v>
          </cell>
        </row>
        <row r="12">
          <cell r="C12">
            <v>0.035075448304726864</v>
          </cell>
        </row>
        <row r="13">
          <cell r="C13">
            <v>5.551035225697183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36.27</v>
          </cell>
        </row>
        <row r="4">
          <cell r="C4">
            <v>96.840432</v>
          </cell>
        </row>
        <row r="5">
          <cell r="C5">
            <v>3512.4024686400007</v>
          </cell>
        </row>
        <row r="7">
          <cell r="C7">
            <v>930.686</v>
          </cell>
        </row>
        <row r="8">
          <cell r="C8">
            <v>0</v>
          </cell>
        </row>
        <row r="9">
          <cell r="C9">
            <v>2581.7164686400006</v>
          </cell>
        </row>
        <row r="11">
          <cell r="C11">
            <v>16.622505025658594</v>
          </cell>
        </row>
        <row r="12">
          <cell r="C12">
            <v>-0.5417009918483984</v>
          </cell>
        </row>
        <row r="13">
          <cell r="C13">
            <v>9.610510618126941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9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35.36</v>
          </cell>
        </row>
        <row r="4">
          <cell r="C4">
            <v>96.489484</v>
          </cell>
        </row>
        <row r="5">
          <cell r="C5">
            <v>3411.86815424</v>
          </cell>
        </row>
        <row r="7">
          <cell r="C7">
            <v>828.9549999999999</v>
          </cell>
        </row>
        <row r="8">
          <cell r="C8">
            <v>0</v>
          </cell>
        </row>
        <row r="9">
          <cell r="C9">
            <v>2582.91315424</v>
          </cell>
        </row>
        <row r="11">
          <cell r="C11">
            <v>8.591143465955314</v>
          </cell>
        </row>
        <row r="12">
          <cell r="C12">
            <v>-0.7570377979085036</v>
          </cell>
        </row>
        <row r="13">
          <cell r="C13">
            <v>8.591143465955314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0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36.35</v>
          </cell>
        </row>
        <row r="4">
          <cell r="C4">
            <v>89.508891</v>
          </cell>
        </row>
        <row r="5">
          <cell r="C5">
            <v>3253.6481878500003</v>
          </cell>
        </row>
        <row r="7">
          <cell r="C7">
            <v>284.181</v>
          </cell>
        </row>
        <row r="8">
          <cell r="C8">
            <v>0</v>
          </cell>
        </row>
        <row r="9">
          <cell r="C9">
            <v>2969.4671878500003</v>
          </cell>
        </row>
        <row r="11">
          <cell r="C11">
            <v>3.1748913077249497</v>
          </cell>
        </row>
        <row r="12">
          <cell r="C12">
            <v>-0.9126577356884471</v>
          </cell>
        </row>
        <row r="13">
          <cell r="C13">
            <v>3.1748913077249497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0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71.225</v>
          </cell>
        </row>
        <row r="4">
          <cell r="C4">
            <v>43.882996</v>
          </cell>
        </row>
        <row r="5">
          <cell r="C5">
            <v>3125.5663901</v>
          </cell>
        </row>
        <row r="7">
          <cell r="C7">
            <v>449.69</v>
          </cell>
        </row>
        <row r="8">
          <cell r="C8">
            <v>72.762</v>
          </cell>
        </row>
        <row r="9">
          <cell r="C9">
            <v>2748.6383901</v>
          </cell>
        </row>
        <row r="11">
          <cell r="C11">
            <v>55.991126072867225</v>
          </cell>
        </row>
        <row r="12">
          <cell r="C12">
            <v>-0.2138838038207479</v>
          </cell>
        </row>
        <row r="13">
          <cell r="C13">
            <v>8.589386194142259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26.71</v>
          </cell>
        </row>
        <row r="4">
          <cell r="C4">
            <v>116.652937</v>
          </cell>
        </row>
        <row r="5">
          <cell r="C5">
            <v>3115.79994727</v>
          </cell>
        </row>
        <row r="7">
          <cell r="C7">
            <v>501.663</v>
          </cell>
        </row>
        <row r="8">
          <cell r="C8">
            <v>0</v>
          </cell>
        </row>
        <row r="9">
          <cell r="C9">
            <v>2614.13694727</v>
          </cell>
        </row>
        <row r="11">
          <cell r="C11">
            <v>24.729219088501925</v>
          </cell>
        </row>
        <row r="12">
          <cell r="C12">
            <v>-0.07415877616990174</v>
          </cell>
        </row>
        <row r="13">
          <cell r="C13">
            <v>4.300474663574051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0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28.77</v>
          </cell>
        </row>
        <row r="4">
          <cell r="C4">
            <v>111.423048</v>
          </cell>
        </row>
        <row r="5">
          <cell r="C5">
            <v>3205.64109096</v>
          </cell>
        </row>
        <row r="7">
          <cell r="C7">
            <v>250.76</v>
          </cell>
        </row>
        <row r="8">
          <cell r="C8">
            <v>0</v>
          </cell>
        </row>
        <row r="9">
          <cell r="C9">
            <v>2954.8810909599997</v>
          </cell>
        </row>
        <row r="11">
          <cell r="C11">
            <v>6.561183727238602</v>
          </cell>
        </row>
        <row r="12">
          <cell r="C12">
            <v>-0.7719435617921931</v>
          </cell>
        </row>
        <row r="13">
          <cell r="C13">
            <v>2.2505218130453586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0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23.75</v>
          </cell>
        </row>
        <row r="4">
          <cell r="C4">
            <v>127.333376</v>
          </cell>
        </row>
        <row r="5">
          <cell r="C5">
            <v>3024.16768</v>
          </cell>
        </row>
        <row r="7">
          <cell r="C7">
            <v>702.0</v>
          </cell>
        </row>
        <row r="8">
          <cell r="C8">
            <v>101</v>
          </cell>
        </row>
        <row r="9">
          <cell r="C9">
            <v>2423.16768</v>
          </cell>
        </row>
        <row r="11">
          <cell r="C11">
            <v>-0.19540691435743784</v>
          </cell>
        </row>
        <row r="12">
          <cell r="C12">
            <v>-1.0082276595518922</v>
          </cell>
        </row>
        <row r="13">
          <cell r="C13">
            <v>4.7198937064230515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18.93</v>
          </cell>
        </row>
        <row r="4">
          <cell r="C4">
            <v>159.847403</v>
          </cell>
        </row>
        <row r="5">
          <cell r="C5">
            <v>3025.91133879</v>
          </cell>
        </row>
        <row r="7">
          <cell r="C7">
            <v>710.471</v>
          </cell>
        </row>
        <row r="8">
          <cell r="C8">
            <v>0</v>
          </cell>
        </row>
        <row r="9">
          <cell r="C9">
            <v>2315.44033879</v>
          </cell>
        </row>
        <row r="11">
          <cell r="C11">
            <v>-2.3063698562511807</v>
          </cell>
        </row>
        <row r="12">
          <cell r="C12">
            <v>-1.1218367594427459</v>
          </cell>
        </row>
        <row r="13">
          <cell r="C13">
            <v>4.444682782866356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0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27.08</v>
          </cell>
        </row>
        <row r="4">
          <cell r="C4">
            <v>121.938652</v>
          </cell>
        </row>
        <row r="5">
          <cell r="C5">
            <v>3302.09869616</v>
          </cell>
        </row>
        <row r="7">
          <cell r="C7">
            <v>1120.697</v>
          </cell>
        </row>
        <row r="8">
          <cell r="C8">
            <v>6.41</v>
          </cell>
        </row>
        <row r="9">
          <cell r="C9">
            <v>2187.81169616</v>
          </cell>
        </row>
        <row r="11">
          <cell r="C11">
            <v>9.873735701697253</v>
          </cell>
        </row>
        <row r="12">
          <cell r="C12">
            <v>-0.6353864216507661</v>
          </cell>
        </row>
        <row r="13">
          <cell r="C13">
            <v>9.138095113598597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0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60</v>
          </cell>
        </row>
        <row r="4">
          <cell r="C4">
            <v>48.931908</v>
          </cell>
        </row>
        <row r="5">
          <cell r="C5">
            <v>2935.91448</v>
          </cell>
        </row>
        <row r="7">
          <cell r="C7">
            <v>754.044</v>
          </cell>
        </row>
        <row r="8">
          <cell r="C8">
            <v>753.235</v>
          </cell>
        </row>
        <row r="9">
          <cell r="C9">
            <v>2935.10548</v>
          </cell>
        </row>
        <row r="11">
          <cell r="C11">
            <v>92.51595840937553</v>
          </cell>
        </row>
        <row r="12">
          <cell r="C12">
            <v>0.5419326401562587</v>
          </cell>
        </row>
        <row r="13">
          <cell r="C13">
            <v>0.0165331791272061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0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41.25</v>
          </cell>
        </row>
        <row r="4">
          <cell r="C4">
            <v>73.270761</v>
          </cell>
        </row>
        <row r="5">
          <cell r="C5">
            <v>3022.41889125</v>
          </cell>
        </row>
        <row r="7">
          <cell r="C7">
            <v>895.155</v>
          </cell>
        </row>
        <row r="8">
          <cell r="C8">
            <v>0</v>
          </cell>
        </row>
        <row r="9">
          <cell r="C9">
            <v>2127.2638912499997</v>
          </cell>
        </row>
        <row r="11">
          <cell r="C11">
            <v>10.426732449352585</v>
          </cell>
        </row>
        <row r="12">
          <cell r="C12">
            <v>-0.7472307285005434</v>
          </cell>
        </row>
        <row r="13">
          <cell r="C13">
            <v>12.217083428408776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0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16.27</v>
          </cell>
        </row>
        <row r="4">
          <cell r="C4">
            <v>186.746431</v>
          </cell>
        </row>
        <row r="5">
          <cell r="C5">
            <v>3038.36443237</v>
          </cell>
        </row>
        <row r="7">
          <cell r="C7">
            <v>898.475</v>
          </cell>
        </row>
        <row r="8">
          <cell r="C8">
            <v>199.328</v>
          </cell>
        </row>
        <row r="9">
          <cell r="C9">
            <v>2339.21743237</v>
          </cell>
        </row>
        <row r="11">
          <cell r="C11">
            <v>5.039099830822037</v>
          </cell>
        </row>
        <row r="12">
          <cell r="C12">
            <v>-0.6902827393471397</v>
          </cell>
        </row>
        <row r="13">
          <cell r="C13">
            <v>3.743830584906868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25.08</v>
          </cell>
        </row>
        <row r="4">
          <cell r="C4">
            <v>112.244539</v>
          </cell>
        </row>
        <row r="5">
          <cell r="C5">
            <v>2815.09303812</v>
          </cell>
        </row>
        <row r="7">
          <cell r="C7">
            <v>617.522</v>
          </cell>
        </row>
        <row r="8">
          <cell r="C8">
            <v>238.104</v>
          </cell>
        </row>
        <row r="9">
          <cell r="C9">
            <v>2435.67503812</v>
          </cell>
        </row>
        <row r="11">
          <cell r="C11">
            <v>1.6158726427105166</v>
          </cell>
        </row>
        <row r="12">
          <cell r="C12">
            <v>-0.9355712662396126</v>
          </cell>
        </row>
        <row r="13">
          <cell r="C13">
            <v>3.380280264681741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26.1</v>
          </cell>
        </row>
        <row r="4">
          <cell r="C4">
            <v>103.781683</v>
          </cell>
        </row>
        <row r="5">
          <cell r="C5">
            <v>2708.7019263</v>
          </cell>
        </row>
        <row r="7">
          <cell r="C7">
            <v>443.529</v>
          </cell>
        </row>
        <row r="8">
          <cell r="C8">
            <v>0</v>
          </cell>
        </row>
        <row r="9">
          <cell r="C9">
            <v>2265.1729263</v>
          </cell>
        </row>
        <row r="11">
          <cell r="C11">
            <v>4.273673226131821</v>
          </cell>
        </row>
        <row r="12">
          <cell r="C12">
            <v>-0.8362577307995471</v>
          </cell>
        </row>
        <row r="13">
          <cell r="C13">
            <v>4.273673226131821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14.74</v>
          </cell>
        </row>
        <row r="4">
          <cell r="C4">
            <v>174.46552400000002</v>
          </cell>
        </row>
        <row r="5">
          <cell r="C5">
            <v>2571.62182376</v>
          </cell>
        </row>
        <row r="7">
          <cell r="C7">
            <v>1367.2749999999999</v>
          </cell>
        </row>
        <row r="8">
          <cell r="C8">
            <v>93.16</v>
          </cell>
        </row>
        <row r="9">
          <cell r="C9">
            <v>1297.5068237600003</v>
          </cell>
        </row>
        <row r="11">
          <cell r="C11">
            <v>9.49556209155936</v>
          </cell>
        </row>
        <row r="12">
          <cell r="C12">
            <v>-0.3557963302876961</v>
          </cell>
        </row>
        <row r="13">
          <cell r="C13">
            <v>7.3029614722046725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24.93</v>
          </cell>
        </row>
        <row r="4">
          <cell r="C4">
            <v>103.287665</v>
          </cell>
        </row>
        <row r="5">
          <cell r="C5">
            <v>2574.96148845</v>
          </cell>
        </row>
        <row r="7">
          <cell r="C7">
            <v>1200</v>
          </cell>
        </row>
        <row r="8">
          <cell r="C8">
            <v>100.258</v>
          </cell>
        </row>
        <row r="9">
          <cell r="C9">
            <v>1475.2194884500002</v>
          </cell>
        </row>
        <row r="11">
          <cell r="C11">
            <v>2.0615725162469447</v>
          </cell>
        </row>
        <row r="12">
          <cell r="C12">
            <v>-0.917305554903853</v>
          </cell>
        </row>
        <row r="13">
          <cell r="C13">
            <v>10.647370138534935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11.23</v>
          </cell>
        </row>
        <row r="4">
          <cell r="C4">
            <v>223.98468</v>
          </cell>
        </row>
        <row r="5">
          <cell r="C5">
            <v>2515.3479564</v>
          </cell>
        </row>
        <row r="7">
          <cell r="C7">
            <v>136.02</v>
          </cell>
        </row>
        <row r="8">
          <cell r="C8">
            <v>196.589</v>
          </cell>
        </row>
        <row r="9">
          <cell r="C9">
            <v>2575.9169564</v>
          </cell>
        </row>
        <row r="11">
          <cell r="C11">
            <v>7.907532460597641</v>
          </cell>
        </row>
        <row r="12">
          <cell r="C12">
            <v>-0.29585641490671055</v>
          </cell>
        </row>
        <row r="13">
          <cell r="C13">
            <v>-0.27041581593884007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53.5</v>
          </cell>
        </row>
        <row r="4">
          <cell r="C4">
            <v>48.160096</v>
          </cell>
        </row>
        <row r="5">
          <cell r="C5">
            <v>2576.565136</v>
          </cell>
        </row>
        <row r="7">
          <cell r="C7">
            <v>418.581</v>
          </cell>
        </row>
        <row r="8">
          <cell r="C8">
            <v>0</v>
          </cell>
        </row>
        <row r="9">
          <cell r="C9">
            <v>2157.984136</v>
          </cell>
        </row>
        <row r="11">
          <cell r="C11">
            <v>16.801182763198536</v>
          </cell>
        </row>
        <row r="12">
          <cell r="C12">
            <v>-0.6859592006878779</v>
          </cell>
        </row>
        <row r="13">
          <cell r="C13">
            <v>8.6914486216971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21.5</v>
          </cell>
        </row>
        <row r="4">
          <cell r="C4">
            <v>119.537169</v>
          </cell>
        </row>
        <row r="5">
          <cell r="C5">
            <v>2570.0491335</v>
          </cell>
        </row>
        <row r="7">
          <cell r="C7">
            <v>633.854</v>
          </cell>
        </row>
        <row r="8">
          <cell r="C8">
            <v>0</v>
          </cell>
        </row>
        <row r="9">
          <cell r="C9">
            <v>1936.1951335</v>
          </cell>
        </row>
        <row r="11">
          <cell r="C11">
            <v>19.946918185779268</v>
          </cell>
        </row>
        <row r="12">
          <cell r="C12">
            <v>-0.07223636345212714</v>
          </cell>
        </row>
        <row r="13">
          <cell r="C13">
            <v>5.302568274809988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49.35</v>
          </cell>
        </row>
        <row r="4">
          <cell r="C4">
            <v>47.374522</v>
          </cell>
        </row>
        <row r="5">
          <cell r="C5">
            <v>2337.9326607</v>
          </cell>
        </row>
        <row r="7">
          <cell r="C7">
            <v>89.127</v>
          </cell>
        </row>
        <row r="8">
          <cell r="C8">
            <v>2021.3239999999998</v>
          </cell>
        </row>
        <row r="9">
          <cell r="C9">
            <v>4270.1296606999995</v>
          </cell>
        </row>
        <row r="11">
          <cell r="C11">
            <v>21.35821045832537</v>
          </cell>
        </row>
        <row r="12">
          <cell r="C12">
            <v>-0.5672095145222823</v>
          </cell>
        </row>
        <row r="13">
          <cell r="C13">
            <v>-40.785572464456735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6.415</v>
          </cell>
        </row>
        <row r="4">
          <cell r="C4">
            <v>373.990561</v>
          </cell>
        </row>
        <row r="5">
          <cell r="C5">
            <v>2399.149448815</v>
          </cell>
        </row>
        <row r="7">
          <cell r="C7">
            <v>1825</v>
          </cell>
        </row>
        <row r="8">
          <cell r="C8">
            <v>20741.0</v>
          </cell>
        </row>
        <row r="9">
          <cell r="C9">
            <v>21315.149448815</v>
          </cell>
        </row>
        <row r="11">
          <cell r="C11">
            <v>10.708239624250202</v>
          </cell>
        </row>
        <row r="12">
          <cell r="C12">
            <v>0.6692501362821828</v>
          </cell>
        </row>
        <row r="13">
          <cell r="C13">
            <v>-50.57881661350271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16.17</v>
          </cell>
        </row>
        <row r="4">
          <cell r="C4">
            <v>138.769245</v>
          </cell>
        </row>
        <row r="5">
          <cell r="C5">
            <v>2243.8986916500003</v>
          </cell>
        </row>
        <row r="7">
          <cell r="C7">
            <v>399.7</v>
          </cell>
        </row>
        <row r="8">
          <cell r="C8">
            <v>3294.8</v>
          </cell>
        </row>
        <row r="9">
          <cell r="C9">
            <v>5138.99869165</v>
          </cell>
        </row>
        <row r="11">
          <cell r="C11">
            <v>13.749304210124896</v>
          </cell>
        </row>
        <row r="12">
          <cell r="C12">
            <v>-0.14970289362245548</v>
          </cell>
        </row>
        <row r="13">
          <cell r="C13">
            <v>-20.862691873837033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6.83</v>
          </cell>
        </row>
        <row r="4">
          <cell r="C4">
            <v>358.035247</v>
          </cell>
        </row>
        <row r="5">
          <cell r="C5">
            <v>2445.3807370100003</v>
          </cell>
        </row>
        <row r="7">
          <cell r="C7">
            <v>38.698</v>
          </cell>
        </row>
        <row r="8">
          <cell r="C8">
            <v>93.88</v>
          </cell>
        </row>
        <row r="9">
          <cell r="C9">
            <v>2500.5627370100005</v>
          </cell>
        </row>
        <row r="11">
          <cell r="C11">
            <v>-0.15412449043040724</v>
          </cell>
        </row>
        <row r="12">
          <cell r="C12">
            <v>-1.0225658111903964</v>
          </cell>
        </row>
        <row r="13">
          <cell r="C13">
            <v>-0.15412449043040724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38.7</v>
          </cell>
        </row>
        <row r="4">
          <cell r="C4">
            <v>58.236393</v>
          </cell>
        </row>
        <row r="5">
          <cell r="C5">
            <v>2253.7484091</v>
          </cell>
        </row>
        <row r="7">
          <cell r="C7">
            <v>667.791</v>
          </cell>
        </row>
        <row r="8">
          <cell r="C8">
            <v>153.961</v>
          </cell>
        </row>
        <row r="9">
          <cell r="C9">
            <v>1739.9184091</v>
          </cell>
        </row>
        <row r="11">
          <cell r="C11">
            <v>89.02470217703323</v>
          </cell>
        </row>
        <row r="12">
          <cell r="C12">
            <v>1.300379901215329</v>
          </cell>
        </row>
        <row r="13">
          <cell r="C13">
            <v>8.823176943668198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41.23</v>
          </cell>
        </row>
        <row r="4">
          <cell r="C4">
            <v>58.127013</v>
          </cell>
        </row>
        <row r="5">
          <cell r="C5">
            <v>2396.57674599</v>
          </cell>
        </row>
        <row r="7">
          <cell r="C7">
            <v>372.067</v>
          </cell>
        </row>
        <row r="8">
          <cell r="C8">
            <v>0</v>
          </cell>
        </row>
        <row r="9">
          <cell r="C9">
            <v>2024.5097459899998</v>
          </cell>
        </row>
        <row r="11">
          <cell r="C11">
            <v>22.845623795053047</v>
          </cell>
        </row>
        <row r="12">
          <cell r="C12">
            <v>-0.4458980403819295</v>
          </cell>
        </row>
        <row r="13">
          <cell r="C13">
            <v>6.40093100947747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16.74</v>
          </cell>
        </row>
        <row r="4">
          <cell r="C4">
            <v>133.051168</v>
          </cell>
        </row>
        <row r="5">
          <cell r="C5">
            <v>2227.2765523199996</v>
          </cell>
        </row>
        <row r="7">
          <cell r="C7">
            <v>443.023</v>
          </cell>
        </row>
        <row r="8">
          <cell r="C8">
            <v>0</v>
          </cell>
        </row>
        <row r="9">
          <cell r="C9">
            <v>1784.2535523199995</v>
          </cell>
        </row>
        <row r="11">
          <cell r="C11">
            <v>14.629782246270619</v>
          </cell>
        </row>
        <row r="12">
          <cell r="C12">
            <v>-0.12605840822756154</v>
          </cell>
        </row>
        <row r="13">
          <cell r="C13">
            <v>3.3297189845037667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79.48</v>
          </cell>
        </row>
        <row r="4">
          <cell r="C4">
            <v>38.392844</v>
          </cell>
        </row>
        <row r="5">
          <cell r="C5">
            <v>3051.46324112</v>
          </cell>
        </row>
        <row r="7">
          <cell r="C7">
            <v>717.7460000000001</v>
          </cell>
        </row>
        <row r="8">
          <cell r="C8">
            <v>59.34</v>
          </cell>
        </row>
        <row r="9">
          <cell r="C9">
            <v>2393.05724112</v>
          </cell>
        </row>
        <row r="11">
          <cell r="C11">
            <v>17.58044085446541</v>
          </cell>
        </row>
        <row r="12">
          <cell r="C12">
            <v>-0.7788067330842299</v>
          </cell>
        </row>
        <row r="13">
          <cell r="C13">
            <v>17.149185405488588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30.29</v>
          </cell>
        </row>
        <row r="4">
          <cell r="C4">
            <v>78.529532</v>
          </cell>
        </row>
        <row r="5">
          <cell r="C5">
            <v>2378.65952428</v>
          </cell>
        </row>
        <row r="7">
          <cell r="C7">
            <v>717.587</v>
          </cell>
        </row>
        <row r="8">
          <cell r="C8">
            <v>0</v>
          </cell>
        </row>
        <row r="9">
          <cell r="C9">
            <v>1661.07252428</v>
          </cell>
        </row>
        <row r="11">
          <cell r="C11">
            <v>21.88935766592821</v>
          </cell>
        </row>
        <row r="12">
          <cell r="C12">
            <v>-0.27734045341933944</v>
          </cell>
        </row>
        <row r="13">
          <cell r="C13">
            <v>9.137797994262845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22.43</v>
          </cell>
        </row>
        <row r="4">
          <cell r="C4">
            <v>113.292269</v>
          </cell>
        </row>
        <row r="5">
          <cell r="C5">
            <v>2541.14559367</v>
          </cell>
        </row>
        <row r="7">
          <cell r="C7">
            <v>981.53</v>
          </cell>
        </row>
        <row r="8">
          <cell r="C8">
            <v>355.801</v>
          </cell>
        </row>
        <row r="9">
          <cell r="C9">
            <v>1915.4165936699999</v>
          </cell>
        </row>
        <row r="11">
          <cell r="C11">
            <v>5.523139447405718</v>
          </cell>
        </row>
        <row r="12">
          <cell r="C12">
            <v>-0.753761058965416</v>
          </cell>
        </row>
        <row r="13">
          <cell r="C13">
            <v>5.523139447405718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40.58</v>
          </cell>
        </row>
        <row r="4">
          <cell r="C4">
            <v>51.206614</v>
          </cell>
        </row>
        <row r="5">
          <cell r="C5">
            <v>2077.96439612</v>
          </cell>
        </row>
        <row r="7">
          <cell r="C7">
            <v>162.458</v>
          </cell>
        </row>
        <row r="8">
          <cell r="C8">
            <v>0</v>
          </cell>
        </row>
        <row r="9">
          <cell r="C9">
            <v>1915.5063961199999</v>
          </cell>
        </row>
        <row r="11">
          <cell r="C11">
            <v>20.363223827287637</v>
          </cell>
        </row>
        <row r="12">
          <cell r="C12">
            <v>-0.49819556857349334</v>
          </cell>
        </row>
        <row r="13">
          <cell r="C13">
            <v>3.172597977284731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11.98</v>
          </cell>
        </row>
        <row r="4">
          <cell r="C4">
            <v>201.945709</v>
          </cell>
        </row>
        <row r="5">
          <cell r="C5">
            <v>2419.30959382</v>
          </cell>
        </row>
        <row r="7">
          <cell r="C7">
            <v>138.343</v>
          </cell>
        </row>
        <row r="8">
          <cell r="C8">
            <v>0</v>
          </cell>
        </row>
        <row r="9">
          <cell r="C9">
            <v>2280.96659382</v>
          </cell>
        </row>
        <row r="11">
          <cell r="C11">
            <v>4.653746253841952</v>
          </cell>
        </row>
        <row r="12">
          <cell r="C12">
            <v>-0.611540379478969</v>
          </cell>
        </row>
        <row r="13">
          <cell r="C13">
            <v>0.6850504558133493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30.06</v>
          </cell>
        </row>
        <row r="4">
          <cell r="C4">
            <v>72.063335</v>
          </cell>
        </row>
        <row r="5">
          <cell r="C5">
            <v>2166.2238500999997</v>
          </cell>
        </row>
        <row r="7">
          <cell r="C7">
            <v>499.161</v>
          </cell>
        </row>
        <row r="8">
          <cell r="C8">
            <v>75.228</v>
          </cell>
        </row>
        <row r="9">
          <cell r="C9">
            <v>1742.2908500999997</v>
          </cell>
        </row>
        <row r="11">
          <cell r="C11">
            <v>42.12567643579655</v>
          </cell>
        </row>
        <row r="12">
          <cell r="C12">
            <v>0.4013864416432651</v>
          </cell>
        </row>
        <row r="13">
          <cell r="C13">
            <v>5.882783526463215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7.94</v>
          </cell>
        </row>
        <row r="4">
          <cell r="C4">
            <v>255.535105</v>
          </cell>
        </row>
        <row r="5">
          <cell r="C5">
            <v>2028.9487337</v>
          </cell>
        </row>
        <row r="7">
          <cell r="C7">
            <v>352.573</v>
          </cell>
        </row>
        <row r="8">
          <cell r="C8">
            <v>395.4</v>
          </cell>
        </row>
        <row r="9">
          <cell r="C9">
            <v>2071.7757337000003</v>
          </cell>
        </row>
        <row r="11">
          <cell r="C11">
            <v>10.220888152556942</v>
          </cell>
        </row>
        <row r="12">
          <cell r="C12">
            <v>0.2872655103975996</v>
          </cell>
        </row>
        <row r="13">
          <cell r="C13">
            <v>-0.16759732483722736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30.75</v>
          </cell>
        </row>
        <row r="4">
          <cell r="C4">
            <v>65.897071</v>
          </cell>
        </row>
        <row r="5">
          <cell r="C5">
            <v>2026.33493325</v>
          </cell>
        </row>
        <row r="7">
          <cell r="C7">
            <v>3373.710684746525</v>
          </cell>
        </row>
        <row r="8">
          <cell r="C8" t="str">
            <v>empty</v>
          </cell>
        </row>
        <row r="9">
          <cell r="C9">
            <v>-1347.3757514965253</v>
          </cell>
        </row>
        <row r="11">
          <cell r="C11">
            <v>51.19667131709883</v>
          </cell>
        </row>
        <row r="12">
          <cell r="C12">
            <v>0.6649324005560595</v>
          </cell>
        </row>
        <row r="13">
          <cell r="C13">
            <v>51.19667131709883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10.78</v>
          </cell>
        </row>
        <row r="4">
          <cell r="C4">
            <v>192.382935</v>
          </cell>
        </row>
        <row r="5">
          <cell r="C5">
            <v>2073.8880393</v>
          </cell>
        </row>
        <row r="7">
          <cell r="C7">
            <v>325.42</v>
          </cell>
        </row>
        <row r="8">
          <cell r="C8">
            <v>93.571</v>
          </cell>
        </row>
        <row r="9">
          <cell r="C9">
            <v>1842.0390392999998</v>
          </cell>
        </row>
        <row r="11">
          <cell r="C11">
            <v>8.378173685373211</v>
          </cell>
        </row>
        <row r="12">
          <cell r="C12">
            <v>-0.22280392529005455</v>
          </cell>
        </row>
        <row r="13">
          <cell r="C13">
            <v>1.2051432732326286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11.13</v>
          </cell>
        </row>
        <row r="4">
          <cell r="C4">
            <v>182.320306</v>
          </cell>
        </row>
        <row r="5">
          <cell r="C5">
            <v>2029.22500578</v>
          </cell>
        </row>
        <row r="7">
          <cell r="C7">
            <v>121.747</v>
          </cell>
        </row>
        <row r="8">
          <cell r="C8">
            <v>252.58999999999997</v>
          </cell>
        </row>
        <row r="9">
          <cell r="C9">
            <v>2160.06800578</v>
          </cell>
        </row>
        <row r="11">
          <cell r="C11">
            <v>8.03996188991319</v>
          </cell>
        </row>
        <row r="12">
          <cell r="C12">
            <v>-0.2776314564318787</v>
          </cell>
        </row>
        <row r="13">
          <cell r="C13">
            <v>-0.7176545655863477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17.92</v>
          </cell>
        </row>
        <row r="4">
          <cell r="C4">
            <v>113.577629</v>
          </cell>
        </row>
        <row r="5">
          <cell r="C5">
            <v>2035.3111116800003</v>
          </cell>
        </row>
        <row r="7">
          <cell r="C7">
            <v>519.996</v>
          </cell>
        </row>
        <row r="8">
          <cell r="C8">
            <v>0</v>
          </cell>
        </row>
        <row r="9">
          <cell r="C9">
            <v>1515.3151116800004</v>
          </cell>
        </row>
        <row r="11">
          <cell r="C11">
            <v>8.065223843104745</v>
          </cell>
        </row>
        <row r="12">
          <cell r="C12">
            <v>-0.549931705183887</v>
          </cell>
        </row>
        <row r="13">
          <cell r="C13">
            <v>4.578331178228769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59.701881999999998</v>
          </cell>
        </row>
        <row r="7">
          <cell r="C7">
            <v>964.827</v>
          </cell>
        </row>
        <row r="8">
          <cell r="C8">
            <v>0</v>
          </cell>
        </row>
        <row r="11">
          <cell r="C11">
            <v>34.937731338792659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8.97</v>
          </cell>
        </row>
        <row r="4">
          <cell r="C4">
            <v>200.623358</v>
          </cell>
        </row>
        <row r="5">
          <cell r="C5">
            <v>1799.59152126</v>
          </cell>
        </row>
        <row r="7">
          <cell r="C7">
            <v>9.81957</v>
          </cell>
        </row>
        <row r="8">
          <cell r="C8">
            <v>1.618465</v>
          </cell>
        </row>
        <row r="9">
          <cell r="C9">
            <v>1791.39041626</v>
          </cell>
        </row>
        <row r="11">
          <cell r="C11">
            <v>0.04087811649528865</v>
          </cell>
        </row>
        <row r="12">
          <cell r="C12">
            <v>-0.9954427963773368</v>
          </cell>
        </row>
        <row r="13">
          <cell r="C13">
            <v>0.04087811649528865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11.43</v>
          </cell>
        </row>
        <row r="4">
          <cell r="C4">
            <v>164.945726</v>
          </cell>
        </row>
        <row r="5">
          <cell r="C5">
            <v>1885.32964818</v>
          </cell>
        </row>
        <row r="7">
          <cell r="C7">
            <v>719.3399999999999</v>
          </cell>
        </row>
        <row r="8">
          <cell r="C8">
            <v>291.49</v>
          </cell>
        </row>
        <row r="9">
          <cell r="C9">
            <v>1457.4796481800001</v>
          </cell>
        </row>
        <row r="11">
          <cell r="C11">
            <v>3.183496572136895</v>
          </cell>
        </row>
        <row r="12">
          <cell r="C12">
            <v>-0.7214788650798867</v>
          </cell>
        </row>
        <row r="13">
          <cell r="C13">
            <v>2.5938835177820847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3.66</v>
          </cell>
        </row>
        <row r="4">
          <cell r="C4">
            <v>535.34217</v>
          </cell>
        </row>
        <row r="5">
          <cell r="C5">
            <v>1959.3523422</v>
          </cell>
        </row>
        <row r="7">
          <cell r="C7">
            <v>545.683</v>
          </cell>
        </row>
        <row r="8">
          <cell r="C8">
            <v>14.196</v>
          </cell>
        </row>
        <row r="9">
          <cell r="C9">
            <v>1427.8653422</v>
          </cell>
        </row>
        <row r="11">
          <cell r="C11">
            <v>0.5446031029996193</v>
          </cell>
        </row>
        <row r="12">
          <cell r="C12">
            <v>-0.8512013379782462</v>
          </cell>
        </row>
        <row r="13">
          <cell r="C13">
            <v>0.9927986805149311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30.9</v>
          </cell>
        </row>
        <row r="4">
          <cell r="C4">
            <v>65.21059</v>
          </cell>
        </row>
        <row r="5">
          <cell r="C5">
            <v>2015.0072309999998</v>
          </cell>
        </row>
        <row r="7">
          <cell r="C7">
            <v>328.22708602937035</v>
          </cell>
        </row>
        <row r="8">
          <cell r="C8" t="str">
            <v>empty</v>
          </cell>
        </row>
        <row r="9">
          <cell r="C9">
            <v>1686.7801449706294</v>
          </cell>
        </row>
        <row r="11">
          <cell r="C11">
            <v>7.930988684556087</v>
          </cell>
        </row>
        <row r="12">
          <cell r="C12">
            <v>-0.7433336995289292</v>
          </cell>
        </row>
        <row r="13">
          <cell r="C13">
            <v>5.033340229391735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19.17</v>
          </cell>
        </row>
        <row r="4">
          <cell r="C4">
            <v>105.627021</v>
          </cell>
        </row>
        <row r="5">
          <cell r="C5">
            <v>2024.8699925700002</v>
          </cell>
        </row>
        <row r="7">
          <cell r="C7">
            <v>788.489</v>
          </cell>
        </row>
        <row r="8">
          <cell r="C8">
            <v>847.623</v>
          </cell>
        </row>
        <row r="9">
          <cell r="C9">
            <v>2084.0039925700003</v>
          </cell>
        </row>
        <row r="11">
          <cell r="C11">
            <v>14.829629866902051</v>
          </cell>
        </row>
        <row r="12">
          <cell r="C12">
            <v>-0.22641471742816643</v>
          </cell>
        </row>
        <row r="13">
          <cell r="C13">
            <v>-0.5598378089258053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88.406885000000003</v>
          </cell>
        </row>
        <row r="7">
          <cell r="C7">
            <v>661.4</v>
          </cell>
        </row>
        <row r="8">
          <cell r="C8">
            <v>100</v>
          </cell>
        </row>
        <row r="11">
          <cell r="C11">
            <v>23.020628641109727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9.15</v>
          </cell>
        </row>
        <row r="4">
          <cell r="C4">
            <v>197.837597</v>
          </cell>
        </row>
        <row r="5">
          <cell r="C5">
            <v>1810.21401255</v>
          </cell>
        </row>
        <row r="7">
          <cell r="C7">
            <v>137.917</v>
          </cell>
        </row>
        <row r="8">
          <cell r="C8">
            <v>0</v>
          </cell>
        </row>
        <row r="9">
          <cell r="C9">
            <v>1672.29701255</v>
          </cell>
        </row>
        <row r="11">
          <cell r="C11">
            <v>0.6971222967290692</v>
          </cell>
        </row>
        <row r="12">
          <cell r="C12">
            <v>-0.923811770849282</v>
          </cell>
        </row>
        <row r="13">
          <cell r="C13">
            <v>0.6971222967290692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26.91</v>
          </cell>
        </row>
        <row r="4">
          <cell r="C4">
            <v>70.959241</v>
          </cell>
        </row>
        <row r="5">
          <cell r="C5">
            <v>1909.5131753100002</v>
          </cell>
        </row>
        <row r="7">
          <cell r="C7">
            <v>270.699</v>
          </cell>
        </row>
        <row r="8">
          <cell r="C8">
            <v>0</v>
          </cell>
        </row>
        <row r="9">
          <cell r="C9">
            <v>1638.81417531</v>
          </cell>
        </row>
        <row r="11">
          <cell r="C11">
            <v>16.909931381150553</v>
          </cell>
        </row>
        <row r="12">
          <cell r="C12">
            <v>-0.3716116171999051</v>
          </cell>
        </row>
        <row r="13">
          <cell r="C13">
            <v>3.814851965510736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39.35</v>
          </cell>
        </row>
        <row r="4">
          <cell r="C4">
            <v>46.676947</v>
          </cell>
        </row>
        <row r="5">
          <cell r="C5">
            <v>1836.73786445</v>
          </cell>
        </row>
        <row r="7">
          <cell r="C7">
            <v>372.322</v>
          </cell>
        </row>
        <row r="8">
          <cell r="C8">
            <v>0</v>
          </cell>
        </row>
        <row r="9">
          <cell r="C9">
            <v>1464.4158644499998</v>
          </cell>
        </row>
        <row r="11">
          <cell r="C11">
            <v>7.976571389726925</v>
          </cell>
        </row>
        <row r="12">
          <cell r="C12">
            <v>-0.7972917054707261</v>
          </cell>
        </row>
        <row r="13">
          <cell r="C13">
            <v>7.976571389726925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123.92</v>
          </cell>
        </row>
        <row r="4">
          <cell r="C4">
            <v>14.408407</v>
          </cell>
        </row>
        <row r="5">
          <cell r="C5">
            <v>1785.48979544</v>
          </cell>
        </row>
        <row r="7">
          <cell r="C7">
            <v>250.584</v>
          </cell>
        </row>
        <row r="8">
          <cell r="C8">
            <v>0</v>
          </cell>
        </row>
        <row r="9">
          <cell r="C9">
            <v>1534.90579544</v>
          </cell>
        </row>
        <row r="11">
          <cell r="C11">
            <v>17.39151316311373</v>
          </cell>
        </row>
        <row r="12">
          <cell r="C12">
            <v>-0.8596553166307801</v>
          </cell>
        </row>
        <row r="13">
          <cell r="C13">
            <v>17.39151316311373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12.41</v>
          </cell>
        </row>
        <row r="4">
          <cell r="C4">
            <v>129.68627759999998</v>
          </cell>
        </row>
        <row r="5">
          <cell r="C5">
            <v>1609.4067050159997</v>
          </cell>
        </row>
        <row r="7">
          <cell r="C7">
            <v>129.975</v>
          </cell>
        </row>
        <row r="8">
          <cell r="C8">
            <v>126.87</v>
          </cell>
        </row>
        <row r="9">
          <cell r="C9">
            <v>1606.3017050159997</v>
          </cell>
        </row>
        <row r="11">
          <cell r="C11">
            <v>0.02394239434936168</v>
          </cell>
        </row>
        <row r="12">
          <cell r="C12">
            <v>-0.9980707176189072</v>
          </cell>
        </row>
        <row r="13">
          <cell r="C13">
            <v>0.02394239434936168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24.94</v>
          </cell>
        </row>
        <row r="4">
          <cell r="C4">
            <v>74.353397</v>
          </cell>
        </row>
        <row r="5">
          <cell r="C5">
            <v>1854.37372118</v>
          </cell>
        </row>
        <row r="7">
          <cell r="C7">
            <v>377.815</v>
          </cell>
        </row>
        <row r="8">
          <cell r="C8">
            <v>104.89500000000001</v>
          </cell>
        </row>
        <row r="9">
          <cell r="C9">
            <v>1581.45372118</v>
          </cell>
        </row>
        <row r="11">
          <cell r="C11">
            <v>-0.2709043622380798</v>
          </cell>
        </row>
        <row r="12">
          <cell r="C12">
            <v>-1.0108622438748227</v>
          </cell>
        </row>
        <row r="13">
          <cell r="C13">
            <v>3.6705787632002873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12.83</v>
          </cell>
        </row>
        <row r="4">
          <cell r="C4">
            <v>142.475841</v>
          </cell>
        </row>
        <row r="5">
          <cell r="C5">
            <v>1827.96504003</v>
          </cell>
        </row>
        <row r="7">
          <cell r="C7">
            <v>318.87</v>
          </cell>
        </row>
        <row r="8">
          <cell r="C8">
            <v>0</v>
          </cell>
        </row>
        <row r="9">
          <cell r="C9">
            <v>1509.0950400299998</v>
          </cell>
        </row>
        <row r="11">
          <cell r="C11">
            <v>11.170019962828746</v>
          </cell>
        </row>
        <row r="12">
          <cell r="C12">
            <v>-0.12938269970157856</v>
          </cell>
        </row>
        <row r="13">
          <cell r="C13">
            <v>2.2380636447690807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35.01</v>
          </cell>
        </row>
        <row r="4">
          <cell r="C4">
            <v>48.880564</v>
          </cell>
        </row>
        <row r="5">
          <cell r="C5">
            <v>1711.30854564</v>
          </cell>
        </row>
        <row r="7">
          <cell r="C7">
            <v>109.29499999999999</v>
          </cell>
        </row>
        <row r="8">
          <cell r="C8">
            <v>188.734</v>
          </cell>
        </row>
        <row r="9">
          <cell r="C9">
            <v>1790.7475456399998</v>
          </cell>
        </row>
        <row r="11">
          <cell r="C11">
            <v>1.2256017952827458</v>
          </cell>
        </row>
        <row r="12">
          <cell r="C12">
            <v>-0.964992807903949</v>
          </cell>
        </row>
        <row r="13">
          <cell r="C13">
            <v>-1.6251653724781085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10.74</v>
          </cell>
        </row>
        <row r="4">
          <cell r="C4">
            <v>169.215958</v>
          </cell>
        </row>
        <row r="5">
          <cell r="C5">
            <v>1817.37938892</v>
          </cell>
        </row>
        <row r="7">
          <cell r="C7">
            <v>528.593</v>
          </cell>
        </row>
        <row r="8">
          <cell r="C8">
            <v>0</v>
          </cell>
        </row>
        <row r="9">
          <cell r="C9">
            <v>1288.7863889200003</v>
          </cell>
        </row>
        <row r="11">
          <cell r="C11">
            <v>3.123777486754529</v>
          </cell>
        </row>
        <row r="12">
          <cell r="C12">
            <v>-0.7091454854046062</v>
          </cell>
        </row>
        <row r="13">
          <cell r="C13">
            <v>3.123777486754529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20.27</v>
          </cell>
        </row>
        <row r="4">
          <cell r="C4">
            <v>90.038969</v>
          </cell>
        </row>
        <row r="5">
          <cell r="C5">
            <v>1825.0899016299998</v>
          </cell>
        </row>
        <row r="7">
          <cell r="C7">
            <v>122.831</v>
          </cell>
        </row>
        <row r="8">
          <cell r="C8">
            <v>0</v>
          </cell>
        </row>
        <row r="9">
          <cell r="C9">
            <v>1702.2589016299999</v>
          </cell>
        </row>
        <row r="11">
          <cell r="C11">
            <v>12.827396433555357</v>
          </cell>
        </row>
        <row r="12">
          <cell r="C12">
            <v>-0.36717333825577914</v>
          </cell>
        </row>
        <row r="13">
          <cell r="C13">
            <v>1.3641982062233522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72.67</v>
          </cell>
        </row>
        <row r="4">
          <cell r="C4">
            <v>22.970352</v>
          </cell>
        </row>
        <row r="5">
          <cell r="C5">
            <v>1669.25547984</v>
          </cell>
        </row>
        <row r="7">
          <cell r="C7">
            <v>360.212</v>
          </cell>
        </row>
        <row r="8">
          <cell r="C8">
            <v>301.484</v>
          </cell>
        </row>
        <row r="9">
          <cell r="C9">
            <v>1610.5274798399998</v>
          </cell>
        </row>
        <row r="11">
          <cell r="C11">
            <v>158.06464336162114</v>
          </cell>
        </row>
        <row r="12">
          <cell r="C12">
            <v>1.1751017388416285</v>
          </cell>
        </row>
        <row r="13">
          <cell r="C13">
            <v>2.5566869850318366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11.82</v>
          </cell>
        </row>
        <row r="4">
          <cell r="C4">
            <v>151.043781</v>
          </cell>
        </row>
        <row r="5">
          <cell r="C5">
            <v>1785.3374914199999</v>
          </cell>
        </row>
        <row r="7">
          <cell r="C7">
            <v>267.866</v>
          </cell>
        </row>
        <row r="8">
          <cell r="C8">
            <v>259.48</v>
          </cell>
        </row>
        <row r="9">
          <cell r="C9">
            <v>1776.95149142</v>
          </cell>
        </row>
        <row r="11">
          <cell r="C11">
            <v>11.020127029402353</v>
          </cell>
        </row>
        <row r="12">
          <cell r="C12">
            <v>-0.06767114810470787</v>
          </cell>
        </row>
        <row r="13">
          <cell r="C13">
            <v>0.05552032625560378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28.18</v>
          </cell>
        </row>
        <row r="4">
          <cell r="C4">
            <v>65.176723</v>
          </cell>
        </row>
        <row r="5">
          <cell r="C5">
            <v>1836.6800541399998</v>
          </cell>
        </row>
        <row r="7">
          <cell r="C7">
            <v>673.9</v>
          </cell>
        </row>
        <row r="8">
          <cell r="C8">
            <v>297.01599999999996</v>
          </cell>
        </row>
        <row r="9">
          <cell r="C9">
            <v>1459.7960541399998</v>
          </cell>
        </row>
        <row r="11">
          <cell r="C11">
            <v>29.99798730954797</v>
          </cell>
        </row>
        <row r="12">
          <cell r="C12">
            <v>0.06451338926713879</v>
          </cell>
        </row>
        <row r="13">
          <cell r="C13">
            <v>5.782493851370834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11.84</v>
          </cell>
        </row>
        <row r="4">
          <cell r="C4">
            <v>140.126693</v>
          </cell>
        </row>
        <row r="5">
          <cell r="C5">
            <v>1659.1000451199998</v>
          </cell>
        </row>
        <row r="7">
          <cell r="C7">
            <v>437.75899999999996</v>
          </cell>
        </row>
        <row r="8">
          <cell r="C8">
            <v>0</v>
          </cell>
        </row>
        <row r="9">
          <cell r="C9">
            <v>1221.3410451199998</v>
          </cell>
        </row>
        <row r="11">
          <cell r="C11">
            <v>1.9003168674395607</v>
          </cell>
        </row>
        <row r="12">
          <cell r="C12">
            <v>-0.8395002645743614</v>
          </cell>
        </row>
        <row r="13">
          <cell r="C13">
            <v>3.124022915462652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38.8</v>
          </cell>
        </row>
        <row r="4">
          <cell r="C4">
            <v>40.601603</v>
          </cell>
        </row>
        <row r="5">
          <cell r="C5">
            <v>1575.3421963999997</v>
          </cell>
        </row>
        <row r="7">
          <cell r="C7">
            <v>81.994</v>
          </cell>
        </row>
        <row r="8">
          <cell r="C8">
            <v>732.794</v>
          </cell>
        </row>
        <row r="9">
          <cell r="C9">
            <v>2226.1421963999996</v>
          </cell>
        </row>
        <row r="11">
          <cell r="C11">
            <v>90.16967970162064</v>
          </cell>
        </row>
        <row r="12">
          <cell r="C12">
            <v>1.3239608170520785</v>
          </cell>
        </row>
        <row r="13">
          <cell r="C13">
            <v>-16.028923784117588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5.03</v>
          </cell>
        </row>
        <row r="4">
          <cell r="C4">
            <v>312.021375</v>
          </cell>
        </row>
        <row r="5">
          <cell r="C5">
            <v>1569.46751625</v>
          </cell>
        </row>
        <row r="7">
          <cell r="C7">
            <v>172.359</v>
          </cell>
        </row>
        <row r="8">
          <cell r="C8">
            <v>1299.068</v>
          </cell>
        </row>
        <row r="9">
          <cell r="C9">
            <v>2696.17651625</v>
          </cell>
        </row>
        <row r="11">
          <cell r="C11">
            <v>2.6593298705318773</v>
          </cell>
        </row>
        <row r="12">
          <cell r="C12">
            <v>-0.47130618876105823</v>
          </cell>
        </row>
        <row r="13">
          <cell r="C13">
            <v>-3.6109994066912887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26.61</v>
          </cell>
        </row>
        <row r="4">
          <cell r="C4">
            <v>64.526242</v>
          </cell>
        </row>
        <row r="5">
          <cell r="C5">
            <v>1717.04329962</v>
          </cell>
        </row>
        <row r="7">
          <cell r="C7">
            <v>292.818</v>
          </cell>
        </row>
        <row r="8">
          <cell r="C8">
            <v>0</v>
          </cell>
        </row>
        <row r="9">
          <cell r="C9">
            <v>1424.22529962</v>
          </cell>
        </row>
        <row r="11">
          <cell r="C11">
            <v>3.5520235408106706</v>
          </cell>
        </row>
        <row r="12">
          <cell r="C12">
            <v>-0.8665154625775772</v>
          </cell>
        </row>
        <row r="13">
          <cell r="C13">
            <v>4.5379676690299116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4.765</v>
          </cell>
        </row>
        <row r="4">
          <cell r="C4">
            <v>351.123233</v>
          </cell>
        </row>
        <row r="5">
          <cell r="C5">
            <v>1673.102205245</v>
          </cell>
        </row>
        <row r="7">
          <cell r="C7">
            <v>660.9559999999999</v>
          </cell>
        </row>
        <row r="8">
          <cell r="C8">
            <v>5.893</v>
          </cell>
        </row>
        <row r="9">
          <cell r="C9">
            <v>1018.0392052450002</v>
          </cell>
        </row>
        <row r="11">
          <cell r="C11">
            <v>1.8656213500973313</v>
          </cell>
        </row>
        <row r="12">
          <cell r="C12">
            <v>-0.6084740083741171</v>
          </cell>
        </row>
        <row r="13">
          <cell r="C13">
            <v>1.8656213500973313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12.9</v>
          </cell>
        </row>
        <row r="4">
          <cell r="C4">
            <v>128.352436</v>
          </cell>
        </row>
        <row r="5">
          <cell r="C5">
            <v>1655.7464244000003</v>
          </cell>
        </row>
        <row r="7">
          <cell r="C7">
            <v>457.41499999999996</v>
          </cell>
        </row>
        <row r="8">
          <cell r="C8">
            <v>0</v>
          </cell>
        </row>
        <row r="9">
          <cell r="C9">
            <v>1198.3314244000003</v>
          </cell>
        </row>
        <row r="11">
          <cell r="C11">
            <v>17.788475274627736</v>
          </cell>
        </row>
        <row r="12">
          <cell r="C12">
            <v>0.37895157167656857</v>
          </cell>
        </row>
        <row r="13">
          <cell r="C13">
            <v>3.5637422572953734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32.45</v>
          </cell>
        </row>
        <row r="4">
          <cell r="C4">
            <v>55.549168</v>
          </cell>
        </row>
        <row r="5">
          <cell r="C5">
            <v>1802.5705016000002</v>
          </cell>
        </row>
        <row r="7">
          <cell r="C7">
            <v>411.087</v>
          </cell>
        </row>
        <row r="8">
          <cell r="C8">
            <v>38.96</v>
          </cell>
        </row>
        <row r="9">
          <cell r="C9">
            <v>1430.4435016000002</v>
          </cell>
        </row>
        <row r="11">
          <cell r="C11">
            <v>5.5801211731479174</v>
          </cell>
        </row>
        <row r="12">
          <cell r="C12">
            <v>-0.8280394091479841</v>
          </cell>
        </row>
        <row r="13">
          <cell r="C13">
            <v>6.699056230689179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32.6</v>
          </cell>
        </row>
        <row r="4">
          <cell r="C4">
            <v>51.498617</v>
          </cell>
        </row>
        <row r="5">
          <cell r="C5">
            <v>1678.8549142000002</v>
          </cell>
        </row>
        <row r="7">
          <cell r="C7">
            <v>880.211</v>
          </cell>
        </row>
        <row r="8">
          <cell r="C8">
            <v>0</v>
          </cell>
        </row>
        <row r="9">
          <cell r="C9">
            <v>798.6439142000002</v>
          </cell>
        </row>
        <row r="11">
          <cell r="C11">
            <v>34.81077332746206</v>
          </cell>
        </row>
        <row r="12">
          <cell r="C12">
            <v>0.0678151327442349</v>
          </cell>
        </row>
        <row r="13">
          <cell r="C13">
            <v>17.091934721276107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6.65</v>
          </cell>
        </row>
        <row r="4">
          <cell r="C4">
            <v>219.615868</v>
          </cell>
        </row>
        <row r="5">
          <cell r="C5">
            <v>1460.4455222000001</v>
          </cell>
        </row>
        <row r="7">
          <cell r="C7">
            <v>598.641</v>
          </cell>
        </row>
        <row r="8">
          <cell r="C8">
            <v>72.795</v>
          </cell>
        </row>
        <row r="9">
          <cell r="C9">
            <v>934.5995222000001</v>
          </cell>
        </row>
        <row r="11">
          <cell r="C11">
            <v>1.6233398913836945</v>
          </cell>
        </row>
        <row r="12">
          <cell r="C12">
            <v>-0.7558887381377903</v>
          </cell>
        </row>
        <row r="13">
          <cell r="C13">
            <v>2.3943898261486276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22.88</v>
          </cell>
        </row>
        <row r="4">
          <cell r="C4">
            <v>71.30985733333334</v>
          </cell>
        </row>
        <row r="5">
          <cell r="C5">
            <v>1631.5695357866668</v>
          </cell>
        </row>
        <row r="7">
          <cell r="C7">
            <v>1342.658</v>
          </cell>
        </row>
        <row r="8">
          <cell r="C8">
            <v>0</v>
          </cell>
        </row>
        <row r="9">
          <cell r="C9">
            <v>288.91153578666695</v>
          </cell>
        </row>
        <row r="11">
          <cell r="C11">
            <v>62.828113762406794</v>
          </cell>
        </row>
        <row r="12">
          <cell r="C12">
            <v>1.7459839931121852</v>
          </cell>
        </row>
        <row r="13">
          <cell r="C13">
            <v>18.82850492497596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21.28</v>
          </cell>
        </row>
        <row r="4">
          <cell r="C4">
            <v>72.245485</v>
          </cell>
        </row>
        <row r="5">
          <cell r="C5">
            <v>1537.3839208000002</v>
          </cell>
        </row>
        <row r="7">
          <cell r="C7">
            <v>570.388</v>
          </cell>
        </row>
        <row r="8">
          <cell r="C8">
            <v>258.454</v>
          </cell>
        </row>
        <row r="9">
          <cell r="C9">
            <v>1225.4499208000002</v>
          </cell>
        </row>
        <row r="11">
          <cell r="C11">
            <v>40.280656987459565</v>
          </cell>
        </row>
        <row r="12">
          <cell r="C12">
            <v>0.8928880163279871</v>
          </cell>
        </row>
        <row r="13">
          <cell r="C13">
            <v>4.317695424150036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11.9</v>
          </cell>
        </row>
        <row r="4">
          <cell r="C4">
            <v>138.476822</v>
          </cell>
        </row>
        <row r="5">
          <cell r="C5">
            <v>1647.8741818</v>
          </cell>
        </row>
        <row r="7">
          <cell r="C7">
            <v>433.295</v>
          </cell>
        </row>
        <row r="8">
          <cell r="C8">
            <v>50.727</v>
          </cell>
        </row>
        <row r="9">
          <cell r="C9">
            <v>1265.3061818</v>
          </cell>
        </row>
        <row r="11">
          <cell r="C11">
            <v>10.254848767657077</v>
          </cell>
        </row>
        <row r="12">
          <cell r="C12">
            <v>-0.13824800271789273</v>
          </cell>
        </row>
        <row r="13">
          <cell r="C13">
            <v>2.7626861627428165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12.89</v>
          </cell>
        </row>
        <row r="4">
          <cell r="C4">
            <v>129.643676</v>
          </cell>
        </row>
        <row r="5">
          <cell r="C5">
            <v>1671.10698364</v>
          </cell>
        </row>
        <row r="7">
          <cell r="C7">
            <v>1171.8</v>
          </cell>
        </row>
        <row r="8">
          <cell r="C8">
            <v>0</v>
          </cell>
        </row>
        <row r="9">
          <cell r="C9">
            <v>499.30698364</v>
          </cell>
        </row>
        <row r="11">
          <cell r="C11">
            <v>37.93642228647796</v>
          </cell>
        </row>
        <row r="12">
          <cell r="C12">
            <v>1.9430893938307183</v>
          </cell>
        </row>
        <row r="13">
          <cell r="C13">
            <v>9.03862059573195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36.38</v>
          </cell>
        </row>
        <row r="4">
          <cell r="C4">
            <v>39.861886</v>
          </cell>
        </row>
        <row r="5">
          <cell r="C5">
            <v>1450.1754126800001</v>
          </cell>
        </row>
        <row r="7">
          <cell r="C7">
            <v>251.031</v>
          </cell>
        </row>
        <row r="8">
          <cell r="C8">
            <v>363.124</v>
          </cell>
        </row>
        <row r="9">
          <cell r="C9">
            <v>1562.2684126800002</v>
          </cell>
        </row>
        <row r="11">
          <cell r="C11">
            <v>26.59226394414106</v>
          </cell>
        </row>
        <row r="12">
          <cell r="C12">
            <v>-0.26904167278336844</v>
          </cell>
        </row>
        <row r="13">
          <cell r="C13">
            <v>-2.812034533438785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50.19</v>
          </cell>
        </row>
        <row r="4">
          <cell r="C4">
            <v>28.583135</v>
          </cell>
        </row>
        <row r="5">
          <cell r="C5">
            <v>1434.5875456499998</v>
          </cell>
        </row>
        <row r="7">
          <cell r="C7">
            <v>26.845</v>
          </cell>
        </row>
        <row r="8">
          <cell r="C8">
            <v>27.903</v>
          </cell>
        </row>
        <row r="9">
          <cell r="C9">
            <v>1435.6455456499998</v>
          </cell>
        </row>
        <row r="11">
          <cell r="C11">
            <v>17.174819903109086</v>
          </cell>
        </row>
        <row r="12">
          <cell r="C12">
            <v>-0.6578039469394483</v>
          </cell>
        </row>
        <row r="13">
          <cell r="C13">
            <v>-0.03701483409709956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16.02</v>
          </cell>
        </row>
        <row r="4">
          <cell r="C4">
            <v>98.588873</v>
          </cell>
        </row>
        <row r="5">
          <cell r="C5">
            <v>1579.39374546</v>
          </cell>
        </row>
        <row r="7">
          <cell r="C7">
            <v>292.0</v>
          </cell>
        </row>
        <row r="8">
          <cell r="C8">
            <v>0</v>
          </cell>
        </row>
        <row r="9">
          <cell r="C9">
            <v>1287.39374546</v>
          </cell>
        </row>
        <row r="11">
          <cell r="C11">
            <v>-3.2038868532259803</v>
          </cell>
        </row>
        <row r="12">
          <cell r="C12">
            <v>-1.1999929371551799</v>
          </cell>
        </row>
        <row r="13">
          <cell r="C13">
            <v>2.9617946844772227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9.07</v>
          </cell>
        </row>
        <row r="4">
          <cell r="C4">
            <v>171.61401</v>
          </cell>
        </row>
        <row r="5">
          <cell r="C5">
            <v>1556.5390707000001</v>
          </cell>
        </row>
        <row r="7">
          <cell r="C7">
            <v>201.142</v>
          </cell>
        </row>
        <row r="8">
          <cell r="C8">
            <v>0.15</v>
          </cell>
        </row>
        <row r="9">
          <cell r="C9">
            <v>1355.5470707000002</v>
          </cell>
        </row>
        <row r="11">
          <cell r="C11">
            <v>0.14692154821116404</v>
          </cell>
        </row>
        <row r="12">
          <cell r="C12">
            <v>-0.9838013728543369</v>
          </cell>
        </row>
        <row r="13">
          <cell r="C13">
            <v>1.1711864316905127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34.17</v>
          </cell>
        </row>
        <row r="4">
          <cell r="C4">
            <v>46.712117</v>
          </cell>
        </row>
        <row r="5">
          <cell r="C5">
            <v>1596.15303789</v>
          </cell>
        </row>
        <row r="7">
          <cell r="C7">
            <v>457.46000000000004</v>
          </cell>
        </row>
        <row r="8">
          <cell r="C8">
            <v>0</v>
          </cell>
        </row>
        <row r="9">
          <cell r="C9">
            <v>1138.69303789</v>
          </cell>
        </row>
        <row r="11">
          <cell r="C11">
            <v>13.307852096901568</v>
          </cell>
        </row>
        <row r="12">
          <cell r="C12">
            <v>-0.6105398859554707</v>
          </cell>
        </row>
        <row r="13">
          <cell r="C13">
            <v>9.793176361499524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29.895244000000002</v>
          </cell>
        </row>
        <row r="7">
          <cell r="C7">
            <v>164.143</v>
          </cell>
        </row>
        <row r="8">
          <cell r="C8">
            <v>299</v>
          </cell>
        </row>
        <row r="11">
          <cell r="C11">
            <v>55.711320977032571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22.715</v>
          </cell>
        </row>
        <row r="4">
          <cell r="C4">
            <v>63.067485</v>
          </cell>
        </row>
        <row r="5">
          <cell r="C5">
            <v>1432.577921775</v>
          </cell>
        </row>
        <row r="7">
          <cell r="C7">
            <v>586.845</v>
          </cell>
        </row>
        <row r="8">
          <cell r="C8">
            <v>49.942</v>
          </cell>
        </row>
        <row r="9">
          <cell r="C9">
            <v>895.674921775</v>
          </cell>
        </row>
        <row r="11">
          <cell r="C11">
            <v>5.780727008200854</v>
          </cell>
        </row>
        <row r="12">
          <cell r="C12">
            <v>-0.7455105873563348</v>
          </cell>
        </row>
        <row r="13">
          <cell r="C13">
            <v>8.513150635386841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29.37</v>
          </cell>
        </row>
        <row r="4">
          <cell r="C4">
            <v>47.978286</v>
          </cell>
        </row>
        <row r="5">
          <cell r="C5">
            <v>1409.12225982</v>
          </cell>
        </row>
        <row r="7">
          <cell r="C7">
            <v>436.077</v>
          </cell>
        </row>
        <row r="8">
          <cell r="C8">
            <v>0</v>
          </cell>
        </row>
        <row r="9">
          <cell r="C9">
            <v>973.04525982</v>
          </cell>
        </row>
        <row r="11">
          <cell r="C11">
            <v>19.061243865676865</v>
          </cell>
        </row>
        <row r="12">
          <cell r="C12">
            <v>-0.35099612306173433</v>
          </cell>
        </row>
        <row r="13">
          <cell r="C13">
            <v>9.089049158613129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7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95.3</v>
          </cell>
        </row>
        <row r="4">
          <cell r="C4">
            <v>14.71766</v>
          </cell>
        </row>
        <row r="5">
          <cell r="C5">
            <v>1402.592998</v>
          </cell>
        </row>
        <row r="7">
          <cell r="C7">
            <v>133.344</v>
          </cell>
        </row>
        <row r="8">
          <cell r="C8">
            <v>176.285</v>
          </cell>
        </row>
        <row r="9">
          <cell r="C9">
            <v>1445.533998</v>
          </cell>
        </row>
        <row r="11">
          <cell r="C11">
            <v>3.8089884592913075</v>
          </cell>
        </row>
        <row r="12">
          <cell r="C12">
            <v>-0.9600316006370272</v>
          </cell>
        </row>
        <row r="13">
          <cell r="C13">
            <v>-2.917651311417712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7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13.78</v>
          </cell>
        </row>
        <row r="4">
          <cell r="C4">
            <v>103.652656</v>
          </cell>
        </row>
        <row r="5">
          <cell r="C5">
            <v>1428.33359968</v>
          </cell>
        </row>
        <row r="7">
          <cell r="C7">
            <v>264.76099999999997</v>
          </cell>
        </row>
        <row r="8">
          <cell r="C8">
            <v>0</v>
          </cell>
        </row>
        <row r="9">
          <cell r="C9">
            <v>1163.57259968</v>
          </cell>
        </row>
        <row r="11">
          <cell r="C11">
            <v>13.462185939746975</v>
          </cell>
        </row>
        <row r="12">
          <cell r="C12">
            <v>-0.02306342962648944</v>
          </cell>
        </row>
        <row r="13">
          <cell r="C13">
            <v>2.5543098480756727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7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41.25</v>
          </cell>
        </row>
        <row r="4">
          <cell r="C4">
            <v>35.730843</v>
          </cell>
        </row>
        <row r="5">
          <cell r="C5">
            <v>1473.89727375</v>
          </cell>
        </row>
        <row r="7">
          <cell r="C7">
            <v>168.018</v>
          </cell>
        </row>
        <row r="8">
          <cell r="C8">
            <v>0</v>
          </cell>
        </row>
        <row r="9">
          <cell r="C9">
            <v>1305.87927375</v>
          </cell>
        </row>
        <row r="11">
          <cell r="C11">
            <v>4.7023239837918185</v>
          </cell>
        </row>
        <row r="12">
          <cell r="C12">
            <v>-0.8860042670595922</v>
          </cell>
        </row>
        <row r="13">
          <cell r="C13">
            <v>4.7023239837918185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7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39.22</v>
          </cell>
        </row>
        <row r="4">
          <cell r="C4">
            <v>34.142994</v>
          </cell>
        </row>
        <row r="5">
          <cell r="C5">
            <v>1339.08822468</v>
          </cell>
        </row>
        <row r="7">
          <cell r="C7">
            <v>684.341</v>
          </cell>
        </row>
        <row r="8">
          <cell r="C8">
            <v>0</v>
          </cell>
        </row>
        <row r="9">
          <cell r="C9">
            <v>654.7472246799999</v>
          </cell>
        </row>
        <row r="11">
          <cell r="C11">
            <v>15.172594586639747</v>
          </cell>
        </row>
        <row r="12">
          <cell r="C12">
            <v>-0.6131413924875129</v>
          </cell>
        </row>
        <row r="13">
          <cell r="C13">
            <v>20.043379909799356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13.51</v>
          </cell>
        </row>
        <row r="4">
          <cell r="C4">
            <v>93.503699</v>
          </cell>
        </row>
        <row r="5">
          <cell r="C5">
            <v>1263.23497349</v>
          </cell>
        </row>
        <row r="7">
          <cell r="C7">
            <v>660.7</v>
          </cell>
        </row>
        <row r="8">
          <cell r="C8">
            <v>0</v>
          </cell>
        </row>
        <row r="9">
          <cell r="C9">
            <v>602.5349734899999</v>
          </cell>
        </row>
        <row r="11">
          <cell r="C11">
            <v>20.54818622594852</v>
          </cell>
        </row>
        <row r="12">
          <cell r="C12">
            <v>0.520961230640157</v>
          </cell>
        </row>
        <row r="13">
          <cell r="C13">
            <v>7.06603061767642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41</v>
          </cell>
        </row>
        <row r="4">
          <cell r="C4">
            <v>32.259175</v>
          </cell>
        </row>
        <row r="5">
          <cell r="C5">
            <v>1322.6261749999999</v>
          </cell>
        </row>
        <row r="7">
          <cell r="C7">
            <v>327.78999999999996</v>
          </cell>
        </row>
        <row r="8">
          <cell r="C8">
            <v>0</v>
          </cell>
        </row>
        <row r="9">
          <cell r="C9">
            <v>994.8361749999999</v>
          </cell>
        </row>
        <row r="11">
          <cell r="C11">
            <v>58.26443973577495</v>
          </cell>
        </row>
        <row r="12">
          <cell r="C12">
            <v>0.4210838959945109</v>
          </cell>
        </row>
        <row r="13">
          <cell r="C13">
            <v>10.16114020274852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3.28</v>
          </cell>
        </row>
        <row r="4">
          <cell r="C4">
            <v>368.412864</v>
          </cell>
        </row>
        <row r="5">
          <cell r="C5">
            <v>1208.39419392</v>
          </cell>
        </row>
        <row r="7">
          <cell r="C7">
            <v>797.019</v>
          </cell>
        </row>
        <row r="8">
          <cell r="C8">
            <v>0</v>
          </cell>
        </row>
        <row r="9">
          <cell r="C9">
            <v>411.3751939199999</v>
          </cell>
        </row>
        <row r="11">
          <cell r="C11">
            <v>4.783643460958719</v>
          </cell>
        </row>
        <row r="12">
          <cell r="C12">
            <v>0.4584278844386338</v>
          </cell>
        </row>
        <row r="13">
          <cell r="C13">
            <v>2.1633853697356233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4.11</v>
          </cell>
        </row>
        <row r="4">
          <cell r="C4">
            <v>325.833545</v>
          </cell>
        </row>
        <row r="5">
          <cell r="C5">
            <v>1339.17586995</v>
          </cell>
        </row>
        <row r="7">
          <cell r="C7">
            <v>455.407</v>
          </cell>
        </row>
        <row r="8">
          <cell r="C8">
            <v>49.26</v>
          </cell>
        </row>
        <row r="9">
          <cell r="C9">
            <v>933.0288699500002</v>
          </cell>
        </row>
        <row r="11">
          <cell r="C11">
            <v>1.2631325043867196</v>
          </cell>
        </row>
        <row r="12">
          <cell r="C12">
            <v>-0.6926684904168565</v>
          </cell>
        </row>
        <row r="13">
          <cell r="C13">
            <v>1.2464861467839352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16.35</v>
          </cell>
        </row>
        <row r="4">
          <cell r="C4">
            <v>72.388316</v>
          </cell>
        </row>
        <row r="5">
          <cell r="C5">
            <v>1183.5489666</v>
          </cell>
        </row>
        <row r="7">
          <cell r="C7">
            <v>131.953</v>
          </cell>
        </row>
        <row r="8">
          <cell r="C8">
            <v>73.291</v>
          </cell>
        </row>
        <row r="9">
          <cell r="C9">
            <v>1124.8869666</v>
          </cell>
        </row>
        <row r="11">
          <cell r="C11">
            <v>17.33056732126703</v>
          </cell>
        </row>
        <row r="12">
          <cell r="C12">
            <v>0.05997353646893133</v>
          </cell>
        </row>
        <row r="13">
          <cell r="C13">
            <v>0.8103793987968998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18.35</v>
          </cell>
        </row>
        <row r="4">
          <cell r="C4">
            <v>66.172934</v>
          </cell>
        </row>
        <row r="5">
          <cell r="C5">
            <v>1214.2733389</v>
          </cell>
        </row>
        <row r="7">
          <cell r="C7">
            <v>497.259</v>
          </cell>
        </row>
        <row r="8">
          <cell r="C8">
            <v>0</v>
          </cell>
        </row>
        <row r="9">
          <cell r="C9">
            <v>717.0143389</v>
          </cell>
        </row>
        <row r="11">
          <cell r="C11">
            <v>2.765728550424769</v>
          </cell>
        </row>
        <row r="12">
          <cell r="C12">
            <v>-0.8492790980694949</v>
          </cell>
        </row>
        <row r="13">
          <cell r="C13">
            <v>7.514537590248001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13.25</v>
          </cell>
        </row>
        <row r="4">
          <cell r="C4">
            <v>89.297086</v>
          </cell>
        </row>
        <row r="5">
          <cell r="C5">
            <v>1183.1863895</v>
          </cell>
        </row>
        <row r="7">
          <cell r="C7">
            <v>547.86</v>
          </cell>
        </row>
        <row r="8">
          <cell r="C8">
            <v>588.116</v>
          </cell>
        </row>
        <row r="9">
          <cell r="C9">
            <v>1223.4423895</v>
          </cell>
        </row>
        <row r="11">
          <cell r="C11">
            <v>-0.4508097834233916</v>
          </cell>
        </row>
        <row r="12">
          <cell r="C12">
            <v>-1.0340233798810108</v>
          </cell>
        </row>
        <row r="13">
          <cell r="C13">
            <v>-0.4508097834233916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8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19.03</v>
          </cell>
        </row>
        <row r="4">
          <cell r="C4">
            <v>59.162294</v>
          </cell>
        </row>
        <row r="5">
          <cell r="C5">
            <v>1125.8584548200001</v>
          </cell>
        </row>
        <row r="7">
          <cell r="C7">
            <v>466.129</v>
          </cell>
        </row>
        <row r="8">
          <cell r="C8">
            <v>0</v>
          </cell>
        </row>
        <row r="9">
          <cell r="C9">
            <v>659.7294548200001</v>
          </cell>
        </row>
        <row r="11">
          <cell r="C11">
            <v>36.40269275180505</v>
          </cell>
        </row>
        <row r="12">
          <cell r="C12">
            <v>0.912910811970838</v>
          </cell>
        </row>
        <row r="13">
          <cell r="C13">
            <v>7.878818897725636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20.67</v>
          </cell>
        </row>
        <row r="4">
          <cell r="C4">
            <v>61.735519</v>
          </cell>
        </row>
        <row r="5">
          <cell r="C5">
            <v>1276.07317773</v>
          </cell>
        </row>
        <row r="7">
          <cell r="C7">
            <v>540.515</v>
          </cell>
        </row>
        <row r="8">
          <cell r="C8">
            <v>0</v>
          </cell>
        </row>
        <row r="9">
          <cell r="C9">
            <v>735.55817773</v>
          </cell>
        </row>
        <row r="11">
          <cell r="C11">
            <v>-3.5139402078332593</v>
          </cell>
        </row>
        <row r="12">
          <cell r="C12">
            <v>-1.1700019452265729</v>
          </cell>
        </row>
        <row r="13">
          <cell r="C13">
            <v>8.755332566330251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8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254.060227</v>
          </cell>
        </row>
        <row r="7">
          <cell r="C7">
            <v>173.03399999999999</v>
          </cell>
        </row>
        <row r="8">
          <cell r="C8">
            <v>30.109000000000002</v>
          </cell>
        </row>
        <row r="11">
          <cell r="C11">
            <v>3.6845617641851964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19.165</v>
          </cell>
        </row>
        <row r="4">
          <cell r="C4">
            <v>62.029395</v>
          </cell>
        </row>
        <row r="5">
          <cell r="C5">
            <v>1188.793355175</v>
          </cell>
        </row>
        <row r="7">
          <cell r="C7">
            <v>246.251</v>
          </cell>
        </row>
        <row r="8">
          <cell r="C8">
            <v>0</v>
          </cell>
        </row>
        <row r="9">
          <cell r="C9">
            <v>942.542355175</v>
          </cell>
        </row>
        <row r="11">
          <cell r="C11">
            <v>3.969908137907842</v>
          </cell>
        </row>
        <row r="12">
          <cell r="C12">
            <v>-0.7928563455305065</v>
          </cell>
        </row>
        <row r="13">
          <cell r="C13">
            <v>3.969908137907842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19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20.47</v>
          </cell>
        </row>
        <row r="4">
          <cell r="C4">
            <v>59.676939</v>
          </cell>
        </row>
        <row r="5">
          <cell r="C5">
            <v>1221.58694133</v>
          </cell>
        </row>
        <row r="7">
          <cell r="C7">
            <v>73.835</v>
          </cell>
        </row>
        <row r="8">
          <cell r="C8">
            <v>0</v>
          </cell>
        </row>
        <row r="9">
          <cell r="C9">
            <v>1147.75194133</v>
          </cell>
        </row>
        <row r="11">
          <cell r="C11">
            <v>-2.9600049294562436</v>
          </cell>
        </row>
        <row r="12">
          <cell r="C12">
            <v>-1.1446020971888737</v>
          </cell>
        </row>
        <row r="13">
          <cell r="C13">
            <v>1.2372450939549697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9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25.94</v>
          </cell>
        </row>
        <row r="4">
          <cell r="C4">
            <v>42.537944</v>
          </cell>
        </row>
        <row r="5">
          <cell r="C5">
            <v>1103.4342673600001</v>
          </cell>
        </row>
        <row r="7">
          <cell r="C7">
            <v>290.123</v>
          </cell>
        </row>
        <row r="8">
          <cell r="C8">
            <v>612.052</v>
          </cell>
        </row>
        <row r="9">
          <cell r="C9">
            <v>1425.36326736</v>
          </cell>
        </row>
        <row r="11">
          <cell r="C11">
            <v>29.90882022280512</v>
          </cell>
        </row>
        <row r="12">
          <cell r="C12">
            <v>0.1530000085892489</v>
          </cell>
        </row>
        <row r="13">
          <cell r="C13">
            <v>-7.568043250985521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24.63</v>
          </cell>
        </row>
        <row r="4">
          <cell r="C4">
            <v>44.333095</v>
          </cell>
        </row>
        <row r="5">
          <cell r="C5">
            <v>1091.9241298499999</v>
          </cell>
        </row>
        <row r="7">
          <cell r="C7">
            <v>352.425</v>
          </cell>
        </row>
        <row r="8">
          <cell r="C8">
            <v>14.801</v>
          </cell>
        </row>
        <row r="9">
          <cell r="C9">
            <v>754.30012985</v>
          </cell>
        </row>
        <row r="11">
          <cell r="C11">
            <v>13.081468122370268</v>
          </cell>
        </row>
        <row r="12">
          <cell r="C12">
            <v>-0.4688807096073785</v>
          </cell>
        </row>
        <row r="13">
          <cell r="C13">
            <v>7.615619888482859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9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24.14</v>
          </cell>
        </row>
        <row r="4">
          <cell r="C4">
            <v>48.410068</v>
          </cell>
        </row>
        <row r="5">
          <cell r="C5">
            <v>1168.61904152</v>
          </cell>
        </row>
        <row r="7">
          <cell r="C7">
            <v>59.35970292015979</v>
          </cell>
        </row>
        <row r="8">
          <cell r="C8" t="str">
            <v>empty</v>
          </cell>
        </row>
        <row r="9">
          <cell r="C9">
            <v>1109.2593385998402</v>
          </cell>
        </row>
        <row r="11">
          <cell r="C11">
            <v>1.7509441108197557</v>
          </cell>
        </row>
        <row r="12">
          <cell r="C12">
            <v>-0.9274671039428436</v>
          </cell>
        </row>
        <row r="13">
          <cell r="C13">
            <v>1.2261850762151334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9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11.42</v>
          </cell>
        </row>
        <row r="4">
          <cell r="C4">
            <v>94.219634</v>
          </cell>
        </row>
        <row r="5">
          <cell r="C5">
            <v>1075.98822028</v>
          </cell>
        </row>
        <row r="7">
          <cell r="C7">
            <v>195.328</v>
          </cell>
        </row>
        <row r="8">
          <cell r="C8">
            <v>84.114</v>
          </cell>
        </row>
        <row r="9">
          <cell r="C9">
            <v>964.77422028</v>
          </cell>
        </row>
        <row r="11">
          <cell r="C11">
            <v>-1.1585091848331095</v>
          </cell>
        </row>
        <row r="12">
          <cell r="C12">
            <v>-1.101445637901323</v>
          </cell>
        </row>
        <row r="13">
          <cell r="C13">
            <v>1.1803696881267869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9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28.07</v>
          </cell>
        </row>
        <row r="4">
          <cell r="C4">
            <v>37.48785</v>
          </cell>
        </row>
        <row r="5">
          <cell r="C5">
            <v>1052.2839495</v>
          </cell>
        </row>
        <row r="7">
          <cell r="C7">
            <v>83.889</v>
          </cell>
        </row>
        <row r="8">
          <cell r="C8">
            <v>292.379</v>
          </cell>
        </row>
        <row r="9">
          <cell r="C9">
            <v>1260.7739495</v>
          </cell>
        </row>
        <row r="11">
          <cell r="C11">
            <v>5.009593019469181</v>
          </cell>
        </row>
        <row r="12">
          <cell r="C12">
            <v>-0.8215321332572433</v>
          </cell>
        </row>
        <row r="13">
          <cell r="C13">
            <v>-5.56153527076106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16.74</v>
          </cell>
        </row>
        <row r="4">
          <cell r="C4">
            <v>61.136773</v>
          </cell>
        </row>
        <row r="5">
          <cell r="C5">
            <v>1023.4295800199999</v>
          </cell>
        </row>
        <row r="7">
          <cell r="C7">
            <v>970.913</v>
          </cell>
        </row>
        <row r="8">
          <cell r="C8">
            <v>0</v>
          </cell>
        </row>
        <row r="9">
          <cell r="C9">
            <v>52.51658001999988</v>
          </cell>
        </row>
        <row r="11">
          <cell r="C11">
            <v>12.79986201233234</v>
          </cell>
        </row>
        <row r="12">
          <cell r="C12">
            <v>-0.23537263964561872</v>
          </cell>
        </row>
        <row r="13">
          <cell r="C13">
            <v>15.880998494964725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19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3.1</v>
          </cell>
        </row>
        <row r="4">
          <cell r="C4">
            <v>321.540637</v>
          </cell>
        </row>
        <row r="5">
          <cell r="C5">
            <v>996.7759747</v>
          </cell>
        </row>
        <row r="7">
          <cell r="C7">
            <v>111.13</v>
          </cell>
        </row>
        <row r="8">
          <cell r="C8">
            <v>319.085</v>
          </cell>
        </row>
        <row r="9">
          <cell r="C9">
            <v>1204.7309747</v>
          </cell>
        </row>
        <row r="11">
          <cell r="C11">
            <v>2.9962755255740356</v>
          </cell>
        </row>
        <row r="12">
          <cell r="C12">
            <v>-0.033459507879343375</v>
          </cell>
        </row>
        <row r="13">
          <cell r="C13">
            <v>-0.6467456242552632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19.28</v>
          </cell>
        </row>
        <row r="4">
          <cell r="C4">
            <v>53.53055</v>
          </cell>
        </row>
        <row r="5">
          <cell r="C5">
            <v>1032.069004</v>
          </cell>
        </row>
        <row r="7">
          <cell r="C7">
            <v>273.309</v>
          </cell>
        </row>
        <row r="8">
          <cell r="C8">
            <v>0</v>
          </cell>
        </row>
        <row r="9">
          <cell r="C9">
            <v>758.760004</v>
          </cell>
        </row>
        <row r="11">
          <cell r="C11">
            <v>9.374196043855978</v>
          </cell>
        </row>
        <row r="12">
          <cell r="C12">
            <v>-0.513786512248134</v>
          </cell>
        </row>
        <row r="13">
          <cell r="C13">
            <v>5.105663961980589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0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6.2</v>
          </cell>
        </row>
        <row r="4">
          <cell r="C4">
            <v>158.850637</v>
          </cell>
        </row>
        <row r="5">
          <cell r="C5">
            <v>984.8739494</v>
          </cell>
        </row>
        <row r="7">
          <cell r="C7">
            <v>9.3</v>
          </cell>
        </row>
        <row r="8">
          <cell r="C8">
            <v>0</v>
          </cell>
        </row>
        <row r="9">
          <cell r="C9">
            <v>975.5739494000001</v>
          </cell>
        </row>
        <row r="11">
          <cell r="C11">
            <v>0.0585455631506218</v>
          </cell>
        </row>
        <row r="12">
          <cell r="C12">
            <v>-0.9905571672337706</v>
          </cell>
        </row>
        <row r="13">
          <cell r="C13">
            <v>0.0585455631506218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0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15.25</v>
          </cell>
        </row>
        <row r="4">
          <cell r="C4">
            <v>66.299347</v>
          </cell>
        </row>
        <row r="5">
          <cell r="C5">
            <v>1011.06504175</v>
          </cell>
        </row>
        <row r="7">
          <cell r="C7">
            <v>55.003</v>
          </cell>
        </row>
        <row r="8">
          <cell r="C8">
            <v>29.897</v>
          </cell>
        </row>
        <row r="9">
          <cell r="C9">
            <v>985.95904175</v>
          </cell>
        </row>
        <row r="11">
          <cell r="C11">
            <v>2.3831900469816074</v>
          </cell>
        </row>
        <row r="12">
          <cell r="C12">
            <v>-0.8437252428208782</v>
          </cell>
        </row>
        <row r="13">
          <cell r="C13">
            <v>0.37867642949786523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7.51</v>
          </cell>
        </row>
        <row r="4">
          <cell r="C4">
            <v>134.071432</v>
          </cell>
        </row>
        <row r="5">
          <cell r="C5">
            <v>1006.8764543199999</v>
          </cell>
        </row>
        <row r="7">
          <cell r="C7">
            <v>528.1460642547685</v>
          </cell>
        </row>
        <row r="8">
          <cell r="C8" t="str">
            <v>empty</v>
          </cell>
        </row>
        <row r="9">
          <cell r="C9">
            <v>478.7303900652314</v>
          </cell>
        </row>
        <row r="11">
          <cell r="C11">
            <v>5.8276523928833885</v>
          </cell>
        </row>
        <row r="12">
          <cell r="C12">
            <v>-0.224014328510867</v>
          </cell>
        </row>
        <row r="13">
          <cell r="C13">
            <v>3.9392886044117774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0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9.97</v>
          </cell>
        </row>
        <row r="4">
          <cell r="C4">
            <v>96.042996</v>
          </cell>
        </row>
        <row r="5">
          <cell r="C5">
            <v>957.5486701200001</v>
          </cell>
        </row>
        <row r="7">
          <cell r="C7">
            <v>143.166</v>
          </cell>
        </row>
        <row r="8">
          <cell r="C8">
            <v>100</v>
          </cell>
        </row>
        <row r="9">
          <cell r="C9">
            <v>914.3826701200001</v>
          </cell>
        </row>
        <row r="11">
          <cell r="C11">
            <v>0.44944453836071496</v>
          </cell>
        </row>
        <row r="12">
          <cell r="C12">
            <v>-0.954920307085184</v>
          </cell>
        </row>
        <row r="13">
          <cell r="C13">
            <v>0.44944453836071496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0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48.11</v>
          </cell>
        </row>
        <row r="4">
          <cell r="C4">
            <v>18.679864</v>
          </cell>
        </row>
        <row r="5">
          <cell r="C5">
            <v>898.6882570399999</v>
          </cell>
        </row>
        <row r="7">
          <cell r="C7">
            <v>95.386</v>
          </cell>
        </row>
        <row r="8">
          <cell r="C8">
            <v>39.236</v>
          </cell>
        </row>
        <row r="9">
          <cell r="C9">
            <v>842.53825704</v>
          </cell>
        </row>
        <row r="11">
          <cell r="C11">
            <v>25.235480556005236</v>
          </cell>
        </row>
        <row r="12">
          <cell r="C12">
            <v>-0.475462885969544</v>
          </cell>
        </row>
        <row r="13">
          <cell r="C13">
            <v>3.00591053553709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24.415</v>
          </cell>
        </row>
        <row r="4">
          <cell r="C4">
            <v>39.242104</v>
          </cell>
        </row>
        <row r="5">
          <cell r="C5">
            <v>958.0959691599999</v>
          </cell>
        </row>
        <row r="7">
          <cell r="C7">
            <v>243.733</v>
          </cell>
        </row>
        <row r="8">
          <cell r="C8">
            <v>16.187</v>
          </cell>
        </row>
        <row r="9">
          <cell r="C9">
            <v>730.5499691599999</v>
          </cell>
        </row>
        <row r="11">
          <cell r="C11">
            <v>12.882684479759915</v>
          </cell>
        </row>
        <row r="12">
          <cell r="C12">
            <v>-0.47234550564161726</v>
          </cell>
        </row>
        <row r="13">
          <cell r="C13">
            <v>5.798516817548824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0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14.86</v>
          </cell>
        </row>
        <row r="4">
          <cell r="C4">
            <v>63.597387</v>
          </cell>
        </row>
        <row r="5">
          <cell r="C5">
            <v>945.0571708199999</v>
          </cell>
        </row>
        <row r="7">
          <cell r="C7">
            <v>461.205</v>
          </cell>
        </row>
        <row r="8">
          <cell r="C8">
            <v>0</v>
          </cell>
        </row>
        <row r="9">
          <cell r="C9">
            <v>483.8521708199999</v>
          </cell>
        </row>
        <row r="11">
          <cell r="C11">
            <v>4.790377388588212</v>
          </cell>
        </row>
        <row r="12">
          <cell r="C12">
            <v>-0.6776327463937946</v>
          </cell>
        </row>
        <row r="13">
          <cell r="C13">
            <v>7.251948889032186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0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18.99</v>
          </cell>
        </row>
        <row r="4">
          <cell r="C4">
            <v>48.058527</v>
          </cell>
        </row>
        <row r="5">
          <cell r="C5">
            <v>912.6314277299999</v>
          </cell>
        </row>
        <row r="7">
          <cell r="C7">
            <v>310.57500000000005</v>
          </cell>
        </row>
        <row r="8">
          <cell r="C8">
            <v>0</v>
          </cell>
        </row>
        <row r="9">
          <cell r="C9">
            <v>602.0564277299999</v>
          </cell>
        </row>
        <row r="11">
          <cell r="C11">
            <v>17.269426094594596</v>
          </cell>
        </row>
        <row r="12">
          <cell r="C12">
            <v>-0.09060420776226452</v>
          </cell>
        </row>
        <row r="13">
          <cell r="C13">
            <v>6.462432774937111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0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4.33</v>
          </cell>
        </row>
        <row r="4">
          <cell r="C4">
            <v>197.847835</v>
          </cell>
        </row>
        <row r="5">
          <cell r="C5">
            <v>856.68112555</v>
          </cell>
        </row>
        <row r="7">
          <cell r="C7">
            <v>92.625</v>
          </cell>
        </row>
        <row r="8">
          <cell r="C8">
            <v>0</v>
          </cell>
        </row>
        <row r="9">
          <cell r="C9">
            <v>764.05612555</v>
          </cell>
        </row>
        <row r="11">
          <cell r="C11">
            <v>0.46816281815770183</v>
          </cell>
        </row>
        <row r="12">
          <cell r="C12">
            <v>-0.8918792567765123</v>
          </cell>
        </row>
        <row r="13">
          <cell r="C13">
            <v>0.46816281815770183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0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14.83</v>
          </cell>
        </row>
        <row r="4">
          <cell r="C4">
            <v>64.354694</v>
          </cell>
        </row>
        <row r="5">
          <cell r="C5">
            <v>954.38011202</v>
          </cell>
        </row>
        <row r="7">
          <cell r="C7">
            <v>334.538</v>
          </cell>
        </row>
        <row r="8">
          <cell r="C8">
            <v>0</v>
          </cell>
        </row>
        <row r="9">
          <cell r="C9">
            <v>619.84211202</v>
          </cell>
        </row>
        <row r="11">
          <cell r="C11">
            <v>20.449748196660366</v>
          </cell>
        </row>
        <row r="12">
          <cell r="C12">
            <v>0.37894458507487294</v>
          </cell>
        </row>
        <row r="13">
          <cell r="C13">
            <v>5.198346526206776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11.36</v>
          </cell>
        </row>
        <row r="4">
          <cell r="C4">
            <v>85.313401</v>
          </cell>
        </row>
        <row r="5">
          <cell r="C5">
            <v>969.1602353599999</v>
          </cell>
        </row>
        <row r="7">
          <cell r="C7">
            <v>621.1</v>
          </cell>
        </row>
        <row r="8">
          <cell r="C8">
            <v>0</v>
          </cell>
        </row>
        <row r="9">
          <cell r="C9">
            <v>348.06023535999987</v>
          </cell>
        </row>
        <row r="11">
          <cell r="C11">
            <v>6.499628463591376</v>
          </cell>
        </row>
        <row r="12">
          <cell r="C12">
            <v>-0.42784960707822384</v>
          </cell>
        </row>
        <row r="13">
          <cell r="C13">
            <v>7.280216152676882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26.16</v>
          </cell>
        </row>
        <row r="4">
          <cell r="C4">
            <v>33.447979</v>
          </cell>
        </row>
        <row r="5">
          <cell r="C5">
            <v>874.9991306399999</v>
          </cell>
        </row>
        <row r="7">
          <cell r="C7">
            <v>223.143</v>
          </cell>
        </row>
        <row r="8">
          <cell r="C8">
            <v>0</v>
          </cell>
        </row>
        <row r="9">
          <cell r="C9">
            <v>651.8561306399998</v>
          </cell>
        </row>
        <row r="11">
          <cell r="C11">
            <v>11.73091818863835</v>
          </cell>
        </row>
        <row r="12">
          <cell r="C12">
            <v>-0.5515704056330906</v>
          </cell>
        </row>
        <row r="13">
          <cell r="C13">
            <v>6.671344776914624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18.85</v>
          </cell>
        </row>
        <row r="4">
          <cell r="C4">
            <v>49.307729</v>
          </cell>
        </row>
        <row r="5">
          <cell r="C5">
            <v>929.4506916500001</v>
          </cell>
        </row>
        <row r="7">
          <cell r="C7">
            <v>373.119</v>
          </cell>
        </row>
        <row r="8">
          <cell r="C8">
            <v>0</v>
          </cell>
        </row>
        <row r="9">
          <cell r="C9">
            <v>556.33169165</v>
          </cell>
        </row>
        <row r="11">
          <cell r="C11">
            <v>13.041945825687408</v>
          </cell>
        </row>
        <row r="12">
          <cell r="C12">
            <v>-0.30811958484416935</v>
          </cell>
        </row>
        <row r="13">
          <cell r="C13">
            <v>7.567150375147069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3.21</v>
          </cell>
        </row>
        <row r="4">
          <cell r="C4">
            <v>249.187572</v>
          </cell>
        </row>
        <row r="5">
          <cell r="C5">
            <v>799.89210612</v>
          </cell>
        </row>
        <row r="7">
          <cell r="C7">
            <v>281.83000000000004</v>
          </cell>
        </row>
        <row r="8">
          <cell r="C8">
            <v>251.823</v>
          </cell>
        </row>
        <row r="9">
          <cell r="C9">
            <v>769.8851061199999</v>
          </cell>
        </row>
        <row r="11">
          <cell r="C11">
            <v>4.116940090875964</v>
          </cell>
        </row>
        <row r="12">
          <cell r="C12">
            <v>0.28253585385544056</v>
          </cell>
        </row>
        <row r="13">
          <cell r="C13">
            <v>0.12041932813567457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10.32</v>
          </cell>
        </row>
        <row r="4">
          <cell r="C4">
            <v>85.106685</v>
          </cell>
        </row>
        <row r="5">
          <cell r="C5">
            <v>878.3009892</v>
          </cell>
        </row>
        <row r="7">
          <cell r="C7">
            <v>537.03</v>
          </cell>
        </row>
        <row r="8">
          <cell r="C8">
            <v>99.514</v>
          </cell>
        </row>
        <row r="9">
          <cell r="C9">
            <v>440.78498920000004</v>
          </cell>
        </row>
        <row r="11">
          <cell r="C11">
            <v>29.054742329540606</v>
          </cell>
        </row>
        <row r="12">
          <cell r="C12">
            <v>1.8153820086764152</v>
          </cell>
        </row>
        <row r="13">
          <cell r="C13">
            <v>5.140794756604607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9.98</v>
          </cell>
        </row>
        <row r="4">
          <cell r="C4">
            <v>88.960619</v>
          </cell>
        </row>
        <row r="5">
          <cell r="C5">
            <v>887.82697762</v>
          </cell>
        </row>
        <row r="7">
          <cell r="C7">
            <v>519.025</v>
          </cell>
        </row>
        <row r="8">
          <cell r="C8">
            <v>9.79</v>
          </cell>
        </row>
        <row r="9">
          <cell r="C9">
            <v>378.59197762</v>
          </cell>
        </row>
        <row r="11">
          <cell r="C11">
            <v>0.9987353623944326</v>
          </cell>
        </row>
        <row r="12">
          <cell r="C12">
            <v>-0.8999263163933434</v>
          </cell>
        </row>
        <row r="13">
          <cell r="C13">
            <v>5.724274468009266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16.08</v>
          </cell>
        </row>
        <row r="4">
          <cell r="C4">
            <v>53.446222</v>
          </cell>
        </row>
        <row r="5">
          <cell r="C5">
            <v>859.4152497599999</v>
          </cell>
        </row>
        <row r="7">
          <cell r="C7">
            <v>517.3</v>
          </cell>
        </row>
        <row r="8">
          <cell r="C8">
            <v>0</v>
          </cell>
        </row>
        <row r="9">
          <cell r="C9">
            <v>342.11524976</v>
          </cell>
        </row>
        <row r="11">
          <cell r="C11">
            <v>13.430556213342342</v>
          </cell>
        </row>
        <row r="12">
          <cell r="C12">
            <v>-0.16476640464288905</v>
          </cell>
        </row>
        <row r="13">
          <cell r="C13">
            <v>9.678888060600428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10.23</v>
          </cell>
        </row>
        <row r="4">
          <cell r="C4">
            <v>84.120944</v>
          </cell>
        </row>
        <row r="5">
          <cell r="C5">
            <v>860.55725712</v>
          </cell>
        </row>
        <row r="7">
          <cell r="C7">
            <v>215.228</v>
          </cell>
        </row>
        <row r="8">
          <cell r="C8">
            <v>0</v>
          </cell>
        </row>
        <row r="9">
          <cell r="C9">
            <v>645.32925712</v>
          </cell>
        </row>
        <row r="11">
          <cell r="C11">
            <v>17.656833358061704</v>
          </cell>
        </row>
        <row r="12">
          <cell r="C12">
            <v>0.7259856654996777</v>
          </cell>
        </row>
        <row r="13">
          <cell r="C13">
            <v>2.55855426444097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6.7</v>
          </cell>
        </row>
        <row r="4">
          <cell r="C4">
            <v>129.435239</v>
          </cell>
        </row>
        <row r="5">
          <cell r="C5">
            <v>867.2161013</v>
          </cell>
        </row>
        <row r="7">
          <cell r="C7">
            <v>502.293</v>
          </cell>
        </row>
        <row r="8">
          <cell r="C8">
            <v>0</v>
          </cell>
        </row>
        <row r="9">
          <cell r="C9">
            <v>364.9231013</v>
          </cell>
        </row>
        <row r="11">
          <cell r="C11">
            <v>8.130542748535733</v>
          </cell>
        </row>
        <row r="12">
          <cell r="C12">
            <v>0.21351384306503474</v>
          </cell>
        </row>
        <row r="13">
          <cell r="C13">
            <v>3.880651079880959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9.34</v>
          </cell>
        </row>
        <row r="4">
          <cell r="C4">
            <v>90.563441</v>
          </cell>
        </row>
        <row r="5">
          <cell r="C5">
            <v>845.8625389399999</v>
          </cell>
        </row>
        <row r="7">
          <cell r="C7">
            <v>136.353</v>
          </cell>
        </row>
        <row r="8">
          <cell r="C8">
            <v>73.988</v>
          </cell>
        </row>
        <row r="9">
          <cell r="C9">
            <v>783.4975389399999</v>
          </cell>
        </row>
        <row r="11">
          <cell r="C11">
            <v>0.6886332863611047</v>
          </cell>
        </row>
        <row r="12">
          <cell r="C12">
            <v>-0.9262705260855348</v>
          </cell>
        </row>
        <row r="13">
          <cell r="C13">
            <v>0.6886332863611047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18.51</v>
          </cell>
        </row>
        <row r="4">
          <cell r="C4">
            <v>41.630779</v>
          </cell>
        </row>
        <row r="5">
          <cell r="C5">
            <v>770.58571929</v>
          </cell>
        </row>
        <row r="7">
          <cell r="C7">
            <v>172.804</v>
          </cell>
        </row>
        <row r="8">
          <cell r="C8">
            <v>40.267</v>
          </cell>
        </row>
        <row r="9">
          <cell r="C9">
            <v>638.0487192900001</v>
          </cell>
        </row>
        <row r="11">
          <cell r="C11">
            <v>47.64798508462726</v>
          </cell>
        </row>
        <row r="12">
          <cell r="C12">
            <v>1.5741753152148705</v>
          </cell>
        </row>
        <row r="13">
          <cell r="C13">
            <v>3.1836300733166683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23.33</v>
          </cell>
        </row>
        <row r="4">
          <cell r="C4">
            <v>32.555613</v>
          </cell>
        </row>
        <row r="5">
          <cell r="C5">
            <v>759.5224512899999</v>
          </cell>
        </row>
        <row r="7">
          <cell r="C7">
            <v>129.467</v>
          </cell>
        </row>
        <row r="8">
          <cell r="C8">
            <v>1091.557</v>
          </cell>
        </row>
        <row r="9">
          <cell r="C9">
            <v>1721.61245129</v>
          </cell>
        </row>
        <row r="11">
          <cell r="C11">
            <v>28.59332536140803</v>
          </cell>
        </row>
        <row r="12">
          <cell r="C12">
            <v>0.22560331596262473</v>
          </cell>
        </row>
        <row r="13">
          <cell r="C13">
            <v>-29.55220041471804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13.25</v>
          </cell>
        </row>
        <row r="4">
          <cell r="C4">
            <v>61.772876</v>
          </cell>
        </row>
        <row r="5">
          <cell r="C5">
            <v>818.490607</v>
          </cell>
        </row>
        <row r="7">
          <cell r="C7">
            <v>34.445</v>
          </cell>
        </row>
        <row r="8">
          <cell r="C8">
            <v>0</v>
          </cell>
        </row>
        <row r="9">
          <cell r="C9">
            <v>784.0456069999999</v>
          </cell>
        </row>
        <row r="11">
          <cell r="C11">
            <v>-0.6791030713891777</v>
          </cell>
        </row>
        <row r="12">
          <cell r="C12">
            <v>-1.051253061991636</v>
          </cell>
        </row>
        <row r="13">
          <cell r="C13">
            <v>0.5576071931635497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1.24</v>
          </cell>
        </row>
        <row r="4">
          <cell r="C4">
            <v>642.473409</v>
          </cell>
        </row>
        <row r="5">
          <cell r="C5">
            <v>796.66702716</v>
          </cell>
        </row>
        <row r="7">
          <cell r="C7">
            <v>300.849</v>
          </cell>
        </row>
        <row r="8">
          <cell r="C8">
            <v>120.131</v>
          </cell>
        </row>
        <row r="9">
          <cell r="C9">
            <v>615.94902716</v>
          </cell>
        </row>
        <row r="11">
          <cell r="C11">
            <v>3.22996033659754</v>
          </cell>
        </row>
        <row r="12">
          <cell r="C12">
            <v>1.604806723062532</v>
          </cell>
        </row>
        <row r="13">
          <cell r="C13">
            <v>0.28128479322013467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2.36</v>
          </cell>
        </row>
        <row r="4">
          <cell r="C4">
            <v>299.360637</v>
          </cell>
        </row>
        <row r="5">
          <cell r="C5">
            <v>706.49110332</v>
          </cell>
        </row>
        <row r="7">
          <cell r="C7">
            <v>160.49</v>
          </cell>
        </row>
        <row r="8">
          <cell r="C8">
            <v>0</v>
          </cell>
        </row>
        <row r="9">
          <cell r="C9">
            <v>546.00110332</v>
          </cell>
        </row>
        <row r="11">
          <cell r="C11">
            <v>-1.0446458050381604</v>
          </cell>
        </row>
        <row r="12">
          <cell r="C12">
            <v>-1.4426465275585425</v>
          </cell>
        </row>
        <row r="13">
          <cell r="C13">
            <v>0.5361092280145034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13.1</v>
          </cell>
        </row>
        <row r="4">
          <cell r="C4">
            <v>55.214097</v>
          </cell>
        </row>
        <row r="5">
          <cell r="C5">
            <v>723.3046707</v>
          </cell>
        </row>
        <row r="7">
          <cell r="C7">
            <v>361.334</v>
          </cell>
        </row>
        <row r="8">
          <cell r="C8">
            <v>19.587</v>
          </cell>
        </row>
        <row r="9">
          <cell r="C9">
            <v>381.55767069999996</v>
          </cell>
        </row>
        <row r="11">
          <cell r="C11">
            <v>6.189488166400693</v>
          </cell>
        </row>
        <row r="12">
          <cell r="C12">
            <v>-0.527519987297657</v>
          </cell>
        </row>
        <row r="13">
          <cell r="C13">
            <v>6.189488166400693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3.83</v>
          </cell>
        </row>
        <row r="4">
          <cell r="C4">
            <v>204.444933</v>
          </cell>
        </row>
        <row r="5">
          <cell r="C5">
            <v>783.02409339</v>
          </cell>
        </row>
        <row r="7">
          <cell r="C7">
            <v>209.24300000000002</v>
          </cell>
        </row>
        <row r="8">
          <cell r="C8">
            <v>0</v>
          </cell>
        </row>
        <row r="9">
          <cell r="C9">
            <v>573.7810933899999</v>
          </cell>
        </row>
        <row r="11">
          <cell r="C11">
            <v>7.036827517667405</v>
          </cell>
        </row>
        <row r="12">
          <cell r="C12">
            <v>0.8372917800698185</v>
          </cell>
        </row>
        <row r="13">
          <cell r="C13">
            <v>1.0234687498956017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6.17</v>
          </cell>
        </row>
        <row r="4">
          <cell r="C4">
            <v>111.509849</v>
          </cell>
        </row>
        <row r="5">
          <cell r="C5">
            <v>688.01576833</v>
          </cell>
        </row>
        <row r="7">
          <cell r="C7">
            <v>57.345</v>
          </cell>
        </row>
        <row r="8">
          <cell r="C8">
            <v>0</v>
          </cell>
        </row>
        <row r="9">
          <cell r="C9">
            <v>630.67076833</v>
          </cell>
        </row>
        <row r="11">
          <cell r="C11">
            <v>1.4784761628533534</v>
          </cell>
        </row>
        <row r="12">
          <cell r="C12">
            <v>-0.7603766348697969</v>
          </cell>
        </row>
        <row r="13">
          <cell r="C13">
            <v>0.5142595072476512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1.55</v>
          </cell>
        </row>
        <row r="4">
          <cell r="C4">
            <v>444.955934</v>
          </cell>
        </row>
        <row r="5">
          <cell r="C5">
            <v>689.6816977000001</v>
          </cell>
        </row>
        <row r="7">
          <cell r="C7">
            <v>190.61</v>
          </cell>
        </row>
        <row r="8">
          <cell r="C8">
            <v>51.437</v>
          </cell>
        </row>
        <row r="9">
          <cell r="C9">
            <v>550.5086977000001</v>
          </cell>
        </row>
        <row r="11">
          <cell r="C11">
            <v>2.9567403698507353</v>
          </cell>
        </row>
        <row r="12">
          <cell r="C12">
            <v>0.9075744321617647</v>
          </cell>
        </row>
        <row r="13">
          <cell r="C13">
            <v>0.3127792874878257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14.04</v>
          </cell>
        </row>
        <row r="4">
          <cell r="C4">
            <v>45.651262</v>
          </cell>
        </row>
        <row r="5">
          <cell r="C5">
            <v>640.94371848</v>
          </cell>
        </row>
        <row r="7">
          <cell r="C7">
            <v>115.132</v>
          </cell>
        </row>
        <row r="8">
          <cell r="C8">
            <v>0</v>
          </cell>
        </row>
        <row r="9">
          <cell r="C9">
            <v>525.8117184800001</v>
          </cell>
        </row>
        <row r="11">
          <cell r="C11">
            <v>12.20512903614118</v>
          </cell>
        </row>
        <row r="12">
          <cell r="C12">
            <v>-0.13068881508965946</v>
          </cell>
        </row>
        <row r="13">
          <cell r="C13">
            <v>2.5219894249582846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9.75</v>
          </cell>
        </row>
        <row r="4">
          <cell r="C4">
            <v>70.168044</v>
          </cell>
        </row>
        <row r="5">
          <cell r="C5">
            <v>684.138429</v>
          </cell>
        </row>
        <row r="7">
          <cell r="C7">
            <v>145.305</v>
          </cell>
        </row>
        <row r="8">
          <cell r="C8">
            <v>0</v>
          </cell>
        </row>
        <row r="9">
          <cell r="C9">
            <v>538.833429</v>
          </cell>
        </row>
        <row r="11">
          <cell r="C11">
            <v>17.332362841178522</v>
          </cell>
        </row>
        <row r="12">
          <cell r="C12">
            <v>0.7776782401208742</v>
          </cell>
        </row>
        <row r="13">
          <cell r="C13">
            <v>2.070814457931876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6.51</v>
          </cell>
        </row>
        <row r="4">
          <cell r="C4">
            <v>102.90249</v>
          </cell>
        </row>
        <row r="5">
          <cell r="C5">
            <v>669.8952098999999</v>
          </cell>
        </row>
        <row r="7">
          <cell r="C7">
            <v>187.303</v>
          </cell>
        </row>
        <row r="8">
          <cell r="C8">
            <v>14.911999999999999</v>
          </cell>
        </row>
        <row r="9">
          <cell r="C9">
            <v>497.5042098999999</v>
          </cell>
        </row>
        <row r="11">
          <cell r="C11">
            <v>11.24255396272695</v>
          </cell>
        </row>
        <row r="12">
          <cell r="C12">
            <v>0.7269668145509909</v>
          </cell>
        </row>
        <row r="13">
          <cell r="C13">
            <v>1.6752850198279943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4.23</v>
          </cell>
        </row>
        <row r="4">
          <cell r="C4">
            <v>145.760468</v>
          </cell>
        </row>
        <row r="5">
          <cell r="C5">
            <v>616.56677964</v>
          </cell>
        </row>
        <row r="7">
          <cell r="C7">
            <v>135.839</v>
          </cell>
        </row>
        <row r="8">
          <cell r="C8">
            <v>17.206</v>
          </cell>
        </row>
        <row r="9">
          <cell r="C9">
            <v>497.93377964000007</v>
          </cell>
        </row>
        <row r="11">
          <cell r="C11">
            <v>3.0666745421795247</v>
          </cell>
        </row>
        <row r="12">
          <cell r="C12">
            <v>-0.2750178387282448</v>
          </cell>
        </row>
        <row r="13">
          <cell r="C13">
            <v>0.8138900871256807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11.1</v>
          </cell>
        </row>
        <row r="4">
          <cell r="C4">
            <v>62.581651</v>
          </cell>
        </row>
        <row r="5">
          <cell r="C5">
            <v>694.6563261</v>
          </cell>
        </row>
        <row r="7">
          <cell r="C7">
            <v>207.39600000000002</v>
          </cell>
        </row>
        <row r="8">
          <cell r="C8">
            <v>0</v>
          </cell>
        </row>
        <row r="9">
          <cell r="C9">
            <v>487.2603261</v>
          </cell>
        </row>
        <row r="11">
          <cell r="C11">
            <v>3.810174370414561</v>
          </cell>
        </row>
        <row r="12">
          <cell r="C12">
            <v>-0.6567410477103999</v>
          </cell>
        </row>
        <row r="13">
          <cell r="C13">
            <v>3.3140065288466105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12.36</v>
          </cell>
        </row>
        <row r="4">
          <cell r="C4">
            <v>53.629989</v>
          </cell>
        </row>
        <row r="5">
          <cell r="C5">
            <v>662.86666404</v>
          </cell>
        </row>
        <row r="7">
          <cell r="C7">
            <v>472.2</v>
          </cell>
        </row>
        <row r="8">
          <cell r="C8">
            <v>0</v>
          </cell>
        </row>
        <row r="9">
          <cell r="C9">
            <v>190.66666404000006</v>
          </cell>
        </row>
        <row r="11">
          <cell r="C11">
            <v>9.288885217086749</v>
          </cell>
        </row>
        <row r="12">
          <cell r="C12">
            <v>-0.24847206981498793</v>
          </cell>
        </row>
        <row r="13">
          <cell r="C13">
            <v>8.804775253636542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6.56</v>
          </cell>
        </row>
        <row r="4">
          <cell r="C4">
            <v>103.704809</v>
          </cell>
        </row>
        <row r="5">
          <cell r="C5">
            <v>680.3035470399999</v>
          </cell>
        </row>
        <row r="7">
          <cell r="C7">
            <v>67.836</v>
          </cell>
        </row>
        <row r="8">
          <cell r="C8">
            <v>0</v>
          </cell>
        </row>
        <row r="9">
          <cell r="C9">
            <v>612.4675470399999</v>
          </cell>
        </row>
        <row r="11">
          <cell r="C11">
            <v>6.5965214281714335</v>
          </cell>
        </row>
        <row r="12">
          <cell r="C12">
            <v>0.0055672908797916865</v>
          </cell>
        </row>
        <row r="13">
          <cell r="C13">
            <v>0.6541258853290015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3.92</v>
          </cell>
        </row>
        <row r="4">
          <cell r="C4">
            <v>181.376856</v>
          </cell>
        </row>
        <row r="5">
          <cell r="C5">
            <v>710.99727552</v>
          </cell>
        </row>
        <row r="7">
          <cell r="C7">
            <v>95.071</v>
          </cell>
        </row>
        <row r="8">
          <cell r="C8">
            <v>0</v>
          </cell>
        </row>
        <row r="9">
          <cell r="C9">
            <v>615.92627552</v>
          </cell>
        </row>
        <row r="11">
          <cell r="C11">
            <v>-2.139582812546941</v>
          </cell>
        </row>
        <row r="12">
          <cell r="C12">
            <v>-1.5458119419762606</v>
          </cell>
        </row>
        <row r="13">
          <cell r="C13">
            <v>0.5241627961618212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8.64</v>
          </cell>
        </row>
        <row r="4">
          <cell r="C4">
            <v>76.518565</v>
          </cell>
        </row>
        <row r="5">
          <cell r="C5">
            <v>661.1204016</v>
          </cell>
        </row>
        <row r="7">
          <cell r="C7">
            <v>201.565</v>
          </cell>
        </row>
        <row r="8">
          <cell r="C8">
            <v>47.831</v>
          </cell>
        </row>
        <row r="9">
          <cell r="C9">
            <v>507.38640160000006</v>
          </cell>
        </row>
        <row r="11">
          <cell r="C11">
            <v>38.68569098173149</v>
          </cell>
        </row>
        <row r="12">
          <cell r="C12">
            <v>3.477510530292996</v>
          </cell>
        </row>
        <row r="13">
          <cell r="C13">
            <v>2.009107201631395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10.8</v>
          </cell>
        </row>
        <row r="4">
          <cell r="C4">
            <v>57.436255</v>
          </cell>
        </row>
        <row r="5">
          <cell r="C5">
            <v>620.3115540000001</v>
          </cell>
        </row>
        <row r="7">
          <cell r="C7">
            <v>183.123</v>
          </cell>
        </row>
        <row r="8">
          <cell r="C8">
            <v>0</v>
          </cell>
        </row>
        <row r="9">
          <cell r="C9">
            <v>437.1885540000001</v>
          </cell>
        </row>
        <row r="11">
          <cell r="C11">
            <v>9.15969046939613</v>
          </cell>
        </row>
        <row r="12">
          <cell r="C12">
            <v>-0.15188051209295095</v>
          </cell>
        </row>
        <row r="13">
          <cell r="C13">
            <v>3.188282383661678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3.63</v>
          </cell>
        </row>
        <row r="4">
          <cell r="C4">
            <v>165.239947</v>
          </cell>
        </row>
        <row r="5">
          <cell r="C5">
            <v>599.82100761</v>
          </cell>
        </row>
        <row r="7">
          <cell r="C7">
            <v>79.127</v>
          </cell>
        </row>
        <row r="8">
          <cell r="C8">
            <v>385</v>
          </cell>
        </row>
        <row r="9">
          <cell r="C9">
            <v>905.6940076100001</v>
          </cell>
        </row>
        <row r="11">
          <cell r="C11">
            <v>2.099404692109992</v>
          </cell>
        </row>
        <row r="12">
          <cell r="C12">
            <v>-0.42165159996969925</v>
          </cell>
        </row>
        <row r="13">
          <cell r="C13">
            <v>-1.8510838665422713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8.91</v>
          </cell>
        </row>
        <row r="4">
          <cell r="C4">
            <v>71.539314</v>
          </cell>
        </row>
        <row r="5">
          <cell r="C5">
            <v>637.41528774</v>
          </cell>
        </row>
        <row r="7">
          <cell r="C7">
            <v>232.107153</v>
          </cell>
        </row>
        <row r="8">
          <cell r="C8">
            <v>0</v>
          </cell>
        </row>
        <row r="9">
          <cell r="C9">
            <v>405.30813474</v>
          </cell>
        </row>
        <row r="11">
          <cell r="C11">
            <v>3.244469928800268</v>
          </cell>
        </row>
        <row r="12">
          <cell r="C12">
            <v>-0.6358619608529441</v>
          </cell>
        </row>
        <row r="13">
          <cell r="C13">
            <v>3.244469928800268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20.59</v>
          </cell>
        </row>
        <row r="4">
          <cell r="C4">
            <v>32.581533</v>
          </cell>
        </row>
        <row r="5">
          <cell r="C5">
            <v>670.85376447</v>
          </cell>
        </row>
        <row r="7">
          <cell r="C7">
            <v>22.16</v>
          </cell>
        </row>
        <row r="8">
          <cell r="C8">
            <v>0</v>
          </cell>
        </row>
        <row r="9">
          <cell r="C9">
            <v>648.69376447</v>
          </cell>
        </row>
        <row r="11">
          <cell r="C11">
            <v>-0.2805300444591004</v>
          </cell>
        </row>
        <row r="12">
          <cell r="C12">
            <v>-1.0136245771956824</v>
          </cell>
        </row>
        <row r="13">
          <cell r="C13">
            <v>0.6801398816931051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3.385</v>
          </cell>
        </row>
        <row r="4">
          <cell r="C4">
            <v>197.048175</v>
          </cell>
        </row>
        <row r="5">
          <cell r="C5">
            <v>667.0080723749999</v>
          </cell>
        </row>
        <row r="7">
          <cell r="C7">
            <v>490.6</v>
          </cell>
        </row>
        <row r="8">
          <cell r="C8">
            <v>0</v>
          </cell>
        </row>
        <row r="9">
          <cell r="C9">
            <v>176.40807237499985</v>
          </cell>
        </row>
        <row r="11">
          <cell r="C11">
            <v>2.119227494140123</v>
          </cell>
        </row>
        <row r="12">
          <cell r="C12">
            <v>-0.3739357476690921</v>
          </cell>
        </row>
        <row r="13">
          <cell r="C13">
            <v>2.4897464795093893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10.47</v>
          </cell>
        </row>
        <row r="4">
          <cell r="C4">
            <v>59.383781</v>
          </cell>
        </row>
        <row r="5">
          <cell r="C5">
            <v>621.74818707</v>
          </cell>
        </row>
        <row r="7">
          <cell r="C7">
            <v>221.57</v>
          </cell>
        </row>
        <row r="8">
          <cell r="C8">
            <v>0</v>
          </cell>
        </row>
        <row r="9">
          <cell r="C9">
            <v>400.17818707</v>
          </cell>
        </row>
        <row r="11">
          <cell r="C11">
            <v>3.731153460908796</v>
          </cell>
        </row>
        <row r="12">
          <cell r="C12">
            <v>-0.6436338623773834</v>
          </cell>
        </row>
        <row r="13">
          <cell r="C13">
            <v>3.731153460908796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6.4</v>
          </cell>
        </row>
        <row r="4">
          <cell r="C4">
            <v>107.225238</v>
          </cell>
        </row>
        <row r="5">
          <cell r="C5">
            <v>686.2415232000001</v>
          </cell>
        </row>
        <row r="7">
          <cell r="C7">
            <v>377.678</v>
          </cell>
        </row>
        <row r="8">
          <cell r="C8">
            <v>0</v>
          </cell>
        </row>
        <row r="9">
          <cell r="C9">
            <v>308.5635232000001</v>
          </cell>
        </row>
        <row r="11">
          <cell r="C11">
            <v>4.720051996557011</v>
          </cell>
        </row>
        <row r="12">
          <cell r="C12">
            <v>-0.26249187553796705</v>
          </cell>
        </row>
        <row r="13">
          <cell r="C13">
            <v>3.522286422903533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7.25</v>
          </cell>
        </row>
        <row r="4">
          <cell r="C4">
            <v>87.497607</v>
          </cell>
        </row>
        <row r="5">
          <cell r="C5">
            <v>634.3576507500001</v>
          </cell>
        </row>
        <row r="7">
          <cell r="C7">
            <v>461.07</v>
          </cell>
        </row>
        <row r="8">
          <cell r="C8">
            <v>3</v>
          </cell>
        </row>
        <row r="9">
          <cell r="C9">
            <v>176.28765075000007</v>
          </cell>
        </row>
        <row r="11">
          <cell r="C11">
            <v>16.783233868824873</v>
          </cell>
        </row>
        <row r="12">
          <cell r="C12">
            <v>1.314928809493086</v>
          </cell>
        </row>
        <row r="13">
          <cell r="C13">
            <v>5.235228890316966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3.26</v>
          </cell>
        </row>
        <row r="4">
          <cell r="C4">
            <v>193.236978</v>
          </cell>
        </row>
        <row r="5">
          <cell r="C5">
            <v>629.95254828</v>
          </cell>
        </row>
        <row r="7">
          <cell r="C7">
            <v>165.03010183986945</v>
          </cell>
        </row>
        <row r="8">
          <cell r="C8" t="str">
            <v>empty</v>
          </cell>
        </row>
        <row r="9">
          <cell r="C9">
            <v>464.92244644013056</v>
          </cell>
        </row>
        <row r="11">
          <cell r="C11">
            <v>6.952846747096077</v>
          </cell>
        </row>
        <row r="12">
          <cell r="C12">
            <v>1.1327750757963426</v>
          </cell>
        </row>
        <row r="13">
          <cell r="C13">
            <v>0.8540296145589146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7.57</v>
          </cell>
        </row>
        <row r="4">
          <cell r="C4">
            <v>77.944324</v>
          </cell>
        </row>
        <row r="5">
          <cell r="C5">
            <v>590.03853268</v>
          </cell>
        </row>
        <row r="7">
          <cell r="C7">
            <v>256.692</v>
          </cell>
        </row>
        <row r="8">
          <cell r="C8">
            <v>0</v>
          </cell>
        </row>
        <row r="9">
          <cell r="C9">
            <v>333.34653268</v>
          </cell>
        </row>
        <row r="11">
          <cell r="C11">
            <v>3.2932737988721286</v>
          </cell>
        </row>
        <row r="12">
          <cell r="C12">
            <v>-0.5649572260406699</v>
          </cell>
        </row>
        <row r="13">
          <cell r="C13">
            <v>3.2932737988721286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7.31</v>
          </cell>
        </row>
        <row r="4">
          <cell r="C4">
            <v>80.900934</v>
          </cell>
        </row>
        <row r="5">
          <cell r="C5">
            <v>591.38582754</v>
          </cell>
        </row>
        <row r="7">
          <cell r="C7">
            <v>182.478</v>
          </cell>
        </row>
        <row r="8">
          <cell r="C8">
            <v>164.587</v>
          </cell>
        </row>
        <row r="9">
          <cell r="C9">
            <v>573.49482754</v>
          </cell>
        </row>
        <row r="11">
          <cell r="C11">
            <v>0.22114701419887214</v>
          </cell>
        </row>
        <row r="12">
          <cell r="C12">
            <v>-0.9697473304789505</v>
          </cell>
        </row>
        <row r="13">
          <cell r="C13">
            <v>0.22114701419887214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5.84</v>
          </cell>
        </row>
        <row r="4">
          <cell r="C4">
            <v>100.363253</v>
          </cell>
        </row>
        <row r="5">
          <cell r="C5">
            <v>586.12139752</v>
          </cell>
        </row>
        <row r="7">
          <cell r="C7">
            <v>208.303</v>
          </cell>
        </row>
        <row r="8">
          <cell r="C8">
            <v>0</v>
          </cell>
        </row>
        <row r="9">
          <cell r="C9">
            <v>377.81839751999996</v>
          </cell>
        </row>
        <row r="11">
          <cell r="C11">
            <v>6.456880617578095</v>
          </cell>
        </row>
        <row r="12">
          <cell r="C12">
            <v>0.10563024273597521</v>
          </cell>
        </row>
        <row r="13">
          <cell r="C13">
            <v>2.0754907177032216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9.48</v>
          </cell>
        </row>
        <row r="4">
          <cell r="C4">
            <v>59.21229939999999</v>
          </cell>
        </row>
        <row r="5">
          <cell r="C5">
            <v>561.332598312</v>
          </cell>
        </row>
        <row r="7">
          <cell r="C7">
            <v>174.9</v>
          </cell>
        </row>
        <row r="8">
          <cell r="C8">
            <v>0</v>
          </cell>
        </row>
        <row r="9">
          <cell r="C9">
            <v>386.432598312</v>
          </cell>
        </row>
        <row r="11">
          <cell r="C11">
            <v>8.440851045220723</v>
          </cell>
        </row>
        <row r="12">
          <cell r="C12">
            <v>-0.10961486864760306</v>
          </cell>
        </row>
        <row r="13">
          <cell r="C13">
            <v>2.953778214530882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5.69</v>
          </cell>
        </row>
        <row r="4">
          <cell r="C4">
            <v>86.7698725</v>
          </cell>
        </row>
        <row r="5">
          <cell r="C5">
            <v>493.7205745250001</v>
          </cell>
        </row>
        <row r="7">
          <cell r="C7">
            <v>123.3894109041805</v>
          </cell>
        </row>
        <row r="8">
          <cell r="C8">
            <v>201.61593428233837</v>
          </cell>
        </row>
        <row r="9">
          <cell r="C9">
            <v>571.9470979031579</v>
          </cell>
        </row>
        <row r="11">
          <cell r="C11">
            <v>-1.8627756074192672</v>
          </cell>
        </row>
        <row r="12">
          <cell r="C12">
            <v>-1.327377083904968</v>
          </cell>
        </row>
        <row r="13">
          <cell r="C13">
            <v>-0.9015401443416651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4.05</v>
          </cell>
        </row>
        <row r="4">
          <cell r="C4">
            <v>125.511648</v>
          </cell>
        </row>
        <row r="5">
          <cell r="C5">
            <v>508.32217439999994</v>
          </cell>
        </row>
        <row r="7">
          <cell r="C7">
            <v>98.49</v>
          </cell>
        </row>
        <row r="8">
          <cell r="C8">
            <v>50.686</v>
          </cell>
        </row>
        <row r="9">
          <cell r="C9">
            <v>460.5181743999999</v>
          </cell>
        </row>
        <row r="11">
          <cell r="C11">
            <v>0.24887017971583997</v>
          </cell>
        </row>
        <row r="12">
          <cell r="C12">
            <v>-0.9385505729096691</v>
          </cell>
        </row>
        <row r="13">
          <cell r="C13">
            <v>0.38087301666216666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9.74</v>
          </cell>
        </row>
        <row r="4">
          <cell r="C4">
            <v>62.158653</v>
          </cell>
        </row>
        <row r="5">
          <cell r="C5">
            <v>605.42528022</v>
          </cell>
        </row>
        <row r="7">
          <cell r="C7">
            <v>257.6</v>
          </cell>
        </row>
        <row r="8">
          <cell r="C8">
            <v>0</v>
          </cell>
        </row>
        <row r="9">
          <cell r="C9">
            <v>347.82528021999997</v>
          </cell>
        </row>
        <row r="11">
          <cell r="C11">
            <v>7.026986276557859</v>
          </cell>
        </row>
        <row r="12">
          <cell r="C12">
            <v>-0.27854350343348466</v>
          </cell>
        </row>
        <row r="13">
          <cell r="C13">
            <v>4.144233949213797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10.76</v>
          </cell>
        </row>
        <row r="4">
          <cell r="C4">
            <v>51.620066</v>
          </cell>
        </row>
        <row r="5">
          <cell r="C5">
            <v>555.43191016</v>
          </cell>
        </row>
        <row r="7">
          <cell r="C7">
            <v>93.90299999999999</v>
          </cell>
        </row>
        <row r="8">
          <cell r="C8">
            <v>0</v>
          </cell>
        </row>
        <row r="9">
          <cell r="C9">
            <v>461.52891016</v>
          </cell>
        </row>
        <row r="11">
          <cell r="C11">
            <v>7.83185750098168</v>
          </cell>
        </row>
        <row r="12">
          <cell r="C12">
            <v>-0.27213220251099624</v>
          </cell>
        </row>
        <row r="13">
          <cell r="C13">
            <v>1.8191181700542574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2.51</v>
          </cell>
        </row>
        <row r="4">
          <cell r="C4">
            <v>217.899284</v>
          </cell>
        </row>
        <row r="5">
          <cell r="C5">
            <v>546.92720284</v>
          </cell>
        </row>
        <row r="7">
          <cell r="C7">
            <v>330.28</v>
          </cell>
        </row>
        <row r="8">
          <cell r="C8">
            <v>0</v>
          </cell>
        </row>
        <row r="9">
          <cell r="C9">
            <v>216.64720283999998</v>
          </cell>
        </row>
        <row r="11">
          <cell r="C11">
            <v>0.8358015274376163</v>
          </cell>
        </row>
        <row r="12">
          <cell r="C12">
            <v>-0.6670113436503521</v>
          </cell>
        </row>
        <row r="13">
          <cell r="C13">
            <v>1.515746146279214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20.79</v>
          </cell>
        </row>
        <row r="4">
          <cell r="C4">
            <v>25.840425</v>
          </cell>
        </row>
        <row r="5">
          <cell r="C5">
            <v>537.2224357499999</v>
          </cell>
        </row>
        <row r="7">
          <cell r="C7">
            <v>186.441</v>
          </cell>
        </row>
        <row r="8">
          <cell r="C8">
            <v>0</v>
          </cell>
        </row>
        <row r="9">
          <cell r="C9">
            <v>350.7814357499999</v>
          </cell>
        </row>
        <row r="11">
          <cell r="C11">
            <v>-3.8333223234062688</v>
          </cell>
        </row>
        <row r="12">
          <cell r="C12">
            <v>-1.1843829881388297</v>
          </cell>
        </row>
        <row r="13">
          <cell r="C13">
            <v>7.2150903090796685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3.48</v>
          </cell>
        </row>
        <row r="4">
          <cell r="C4">
            <v>147.198893</v>
          </cell>
        </row>
        <row r="5">
          <cell r="C5">
            <v>512.25214764</v>
          </cell>
        </row>
        <row r="7">
          <cell r="C7">
            <v>170.6</v>
          </cell>
        </row>
        <row r="8">
          <cell r="C8">
            <v>0</v>
          </cell>
        </row>
        <row r="9">
          <cell r="C9">
            <v>341.65214763999995</v>
          </cell>
        </row>
        <row r="11">
          <cell r="C11">
            <v>3.4738683419320964</v>
          </cell>
        </row>
        <row r="12">
          <cell r="C12">
            <v>-0.0017619707091677261</v>
          </cell>
        </row>
        <row r="13">
          <cell r="C13">
            <v>1.158976107245589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14.4</v>
          </cell>
        </row>
        <row r="4">
          <cell r="C4">
            <v>31.784909</v>
          </cell>
        </row>
        <row r="5">
          <cell r="C5">
            <v>457.7026896</v>
          </cell>
        </row>
        <row r="7">
          <cell r="C7">
            <v>95.376</v>
          </cell>
        </row>
        <row r="8">
          <cell r="C8">
            <v>0</v>
          </cell>
        </row>
        <row r="9">
          <cell r="C9">
            <v>362.3266896</v>
          </cell>
        </row>
        <row r="11">
          <cell r="C11">
            <v>10.365524960312989</v>
          </cell>
        </row>
        <row r="12">
          <cell r="C12">
            <v>-0.28017187775604246</v>
          </cell>
        </row>
        <row r="13">
          <cell r="C13">
            <v>3.0006692798774415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7.37</v>
          </cell>
        </row>
        <row r="4">
          <cell r="C4">
            <v>66.05044</v>
          </cell>
        </row>
        <row r="5">
          <cell r="C5">
            <v>486.79174279999995</v>
          </cell>
        </row>
        <row r="7">
          <cell r="C7">
            <v>45.17</v>
          </cell>
        </row>
        <row r="8">
          <cell r="C8">
            <v>156.744</v>
          </cell>
        </row>
        <row r="9">
          <cell r="C9">
            <v>598.3657427999999</v>
          </cell>
        </row>
        <row r="11">
          <cell r="C11">
            <v>5.63195798627452</v>
          </cell>
        </row>
        <row r="12">
          <cell r="C12">
            <v>-0.23582659616356583</v>
          </cell>
        </row>
        <row r="13">
          <cell r="C13">
            <v>-1.6892241747367618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3.26</v>
          </cell>
        </row>
        <row r="4">
          <cell r="C4">
            <v>146.03895749999998</v>
          </cell>
        </row>
        <row r="5">
          <cell r="C5">
            <v>476.0870014499999</v>
          </cell>
        </row>
        <row r="7">
          <cell r="C7">
            <v>90.25260960334028</v>
          </cell>
        </row>
        <row r="8">
          <cell r="C8" t="str">
            <v>empty</v>
          </cell>
        </row>
        <row r="9">
          <cell r="C9">
            <v>385.8343918466596</v>
          </cell>
        </row>
        <row r="11">
          <cell r="C11">
            <v>9.902850588428052</v>
          </cell>
        </row>
        <row r="12">
          <cell r="C12">
            <v>2.037684229579157</v>
          </cell>
        </row>
        <row r="13">
          <cell r="C13">
            <v>0.6180036556570208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25.4</v>
          </cell>
        </row>
        <row r="4">
          <cell r="C4">
            <v>20.011382</v>
          </cell>
        </row>
        <row r="5">
          <cell r="C5">
            <v>508.2891028</v>
          </cell>
        </row>
        <row r="7">
          <cell r="C7">
            <v>225.392</v>
          </cell>
        </row>
        <row r="8">
          <cell r="C8">
            <v>0</v>
          </cell>
        </row>
        <row r="9">
          <cell r="C9">
            <v>282.8971028</v>
          </cell>
        </row>
        <row r="11">
          <cell r="C11">
            <v>16.100383215130297</v>
          </cell>
        </row>
        <row r="12">
          <cell r="C12">
            <v>-0.36612664507361037</v>
          </cell>
        </row>
        <row r="13">
          <cell r="C13">
            <v>11.263190118503559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74.23</v>
          </cell>
        </row>
        <row r="4">
          <cell r="C4">
            <v>6.712172</v>
          </cell>
        </row>
        <row r="5">
          <cell r="C5">
            <v>498.24452756</v>
          </cell>
        </row>
        <row r="7">
          <cell r="C7">
            <v>105.370465</v>
          </cell>
        </row>
        <row r="8">
          <cell r="C8">
            <v>0</v>
          </cell>
        </row>
        <row r="9">
          <cell r="C9">
            <v>392.87406255999997</v>
          </cell>
        </row>
        <row r="11">
          <cell r="C11">
            <v>13.844891488322217</v>
          </cell>
        </row>
        <row r="12">
          <cell r="C12">
            <v>-0.8134865756658735</v>
          </cell>
        </row>
        <row r="13">
          <cell r="C13">
            <v>15.698415505442947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3.02</v>
          </cell>
        </row>
        <row r="4">
          <cell r="C4">
            <v>173.141831</v>
          </cell>
        </row>
        <row r="5">
          <cell r="C5">
            <v>522.88832962</v>
          </cell>
        </row>
        <row r="7">
          <cell r="C7">
            <v>11.309</v>
          </cell>
        </row>
        <row r="8">
          <cell r="C8">
            <v>0.692</v>
          </cell>
        </row>
        <row r="9">
          <cell r="C9">
            <v>512.27132962</v>
          </cell>
        </row>
        <row r="11">
          <cell r="C11">
            <v>0.7272167311749246</v>
          </cell>
        </row>
        <row r="12">
          <cell r="C12">
            <v>-0.7591997578890979</v>
          </cell>
        </row>
        <row r="13">
          <cell r="C13">
            <v>0.06131967034586806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7.4</v>
          </cell>
        </row>
        <row r="4">
          <cell r="C4">
            <v>66.013192</v>
          </cell>
        </row>
        <row r="5">
          <cell r="C5">
            <v>488.49762080000005</v>
          </cell>
        </row>
        <row r="7">
          <cell r="C7">
            <v>105.517</v>
          </cell>
        </row>
        <row r="8">
          <cell r="C8">
            <v>0</v>
          </cell>
        </row>
        <row r="9">
          <cell r="C9">
            <v>382.98062080000005</v>
          </cell>
        </row>
        <row r="11">
          <cell r="C11">
            <v>-2.9847722296294714</v>
          </cell>
        </row>
        <row r="12">
          <cell r="C12">
            <v>-1.4033475985985773</v>
          </cell>
        </row>
        <row r="13">
          <cell r="C13">
            <v>1.5984229334039777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7.66</v>
          </cell>
        </row>
        <row r="4">
          <cell r="C4">
            <v>65.386191</v>
          </cell>
        </row>
        <row r="5">
          <cell r="C5">
            <v>500.85822306</v>
          </cell>
        </row>
        <row r="7">
          <cell r="C7">
            <v>567.9</v>
          </cell>
        </row>
        <row r="8">
          <cell r="C8">
            <v>0.5</v>
          </cell>
        </row>
        <row r="9">
          <cell r="C9">
            <v>-66.54177693999998</v>
          </cell>
        </row>
        <row r="11">
          <cell r="C11">
            <v>19.041354042449935</v>
          </cell>
        </row>
        <row r="12">
          <cell r="C12">
            <v>1.4858164546279289</v>
          </cell>
        </row>
        <row r="13">
          <cell r="C13">
            <v>8.677673241434112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1.33</v>
          </cell>
        </row>
        <row r="4">
          <cell r="C4">
            <v>345.490881</v>
          </cell>
        </row>
        <row r="5">
          <cell r="C5">
            <v>459.50287173000004</v>
          </cell>
        </row>
        <row r="7">
          <cell r="C7">
            <v>423.6</v>
          </cell>
        </row>
        <row r="8">
          <cell r="C8">
            <v>0</v>
          </cell>
        </row>
        <row r="9">
          <cell r="C9">
            <v>35.902871730000015</v>
          </cell>
        </row>
        <row r="11">
          <cell r="C11">
            <v>1.2548168133022666</v>
          </cell>
        </row>
        <row r="12">
          <cell r="C12">
            <v>-0.05652871180280716</v>
          </cell>
        </row>
        <row r="13">
          <cell r="C13">
            <v>1.2260815647982328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3.73</v>
          </cell>
        </row>
        <row r="4">
          <cell r="C4">
            <v>143.8912</v>
          </cell>
        </row>
        <row r="5">
          <cell r="C5">
            <v>536.714176</v>
          </cell>
        </row>
        <row r="7">
          <cell r="C7">
            <v>11.901231</v>
          </cell>
        </row>
        <row r="8">
          <cell r="C8">
            <v>0</v>
          </cell>
        </row>
        <row r="9">
          <cell r="C9">
            <v>524.8129449999999</v>
          </cell>
        </row>
        <row r="11">
          <cell r="C11">
            <v>0.08270992944669306</v>
          </cell>
        </row>
        <row r="12">
          <cell r="C12">
            <v>-0.9778257561805113</v>
          </cell>
        </row>
        <row r="13">
          <cell r="C13">
            <v>0.08270992944669306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3.03</v>
          </cell>
        </row>
        <row r="4">
          <cell r="C4">
            <v>147.787523</v>
          </cell>
        </row>
        <row r="5">
          <cell r="C5">
            <v>447.79619468999994</v>
          </cell>
        </row>
        <row r="7">
          <cell r="C7">
            <v>218.007</v>
          </cell>
        </row>
        <row r="8">
          <cell r="C8">
            <v>201.41500000000002</v>
          </cell>
        </row>
        <row r="9">
          <cell r="C9">
            <v>431.20419468999995</v>
          </cell>
        </row>
        <row r="11">
          <cell r="C11">
            <v>4.358416254442109</v>
          </cell>
        </row>
        <row r="12">
          <cell r="C12">
            <v>0.4384212060865047</v>
          </cell>
        </row>
        <row r="13">
          <cell r="C13">
            <v>0.11226928811845628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7.85</v>
          </cell>
        </row>
        <row r="4">
          <cell r="C4">
            <v>57.686056</v>
          </cell>
        </row>
        <row r="5">
          <cell r="C5">
            <v>452.8355396</v>
          </cell>
        </row>
        <row r="7">
          <cell r="C7">
            <v>75.469</v>
          </cell>
        </row>
        <row r="8">
          <cell r="C8">
            <v>9.923</v>
          </cell>
        </row>
        <row r="9">
          <cell r="C9">
            <v>387.2895396</v>
          </cell>
        </row>
        <row r="11">
          <cell r="C11">
            <v>7.851216424026159</v>
          </cell>
        </row>
        <row r="12">
          <cell r="C12">
            <v>0.00015495847467006385</v>
          </cell>
        </row>
        <row r="13">
          <cell r="C13">
            <v>1.1362537941578115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19.61</v>
          </cell>
        </row>
        <row r="4">
          <cell r="C4">
            <v>47.246679</v>
          </cell>
        </row>
        <row r="5">
          <cell r="C5">
            <v>926.50737519</v>
          </cell>
        </row>
        <row r="7">
          <cell r="C7">
            <v>72.1</v>
          </cell>
        </row>
        <row r="8">
          <cell r="C8">
            <v>0</v>
          </cell>
        </row>
        <row r="9">
          <cell r="C9">
            <v>854.4073751899999</v>
          </cell>
        </row>
        <row r="11">
          <cell r="C11">
            <v>-1.2131449499259845</v>
          </cell>
        </row>
        <row r="12">
          <cell r="C12">
            <v>-1.0618635874516056</v>
          </cell>
        </row>
        <row r="13">
          <cell r="C13">
            <v>1.526033184258305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13.07</v>
          </cell>
        </row>
        <row r="4">
          <cell r="C4">
            <v>37.14394</v>
          </cell>
        </row>
        <row r="5">
          <cell r="C5">
            <v>485.4712958</v>
          </cell>
        </row>
        <row r="7">
          <cell r="C7">
            <v>171.593</v>
          </cell>
        </row>
        <row r="8">
          <cell r="C8">
            <v>0</v>
          </cell>
        </row>
        <row r="9">
          <cell r="C9">
            <v>313.87829580000005</v>
          </cell>
        </row>
        <row r="11">
          <cell r="C11">
            <v>-5.943079132153236</v>
          </cell>
        </row>
        <row r="12">
          <cell r="C12">
            <v>-1.454711486775305</v>
          </cell>
        </row>
        <row r="13">
          <cell r="C13">
            <v>4.6196768571131654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7.49</v>
          </cell>
        </row>
        <row r="4">
          <cell r="C4">
            <v>60.089344</v>
          </cell>
        </row>
        <row r="5">
          <cell r="C5">
            <v>450.06918656</v>
          </cell>
        </row>
        <row r="7">
          <cell r="C7">
            <v>99.67716879460167</v>
          </cell>
        </row>
        <row r="8">
          <cell r="C8" t="str">
            <v>empty</v>
          </cell>
        </row>
        <row r="9">
          <cell r="C9">
            <v>350.39201776539835</v>
          </cell>
        </row>
        <row r="11">
          <cell r="C11">
            <v>20.907852678306334</v>
          </cell>
        </row>
        <row r="12">
          <cell r="C12">
            <v>1.7914356045802848</v>
          </cell>
        </row>
        <row r="13">
          <cell r="C13">
            <v>1.6588160588772891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8.5</v>
          </cell>
        </row>
        <row r="4">
          <cell r="C4">
            <v>51.336974</v>
          </cell>
        </row>
        <row r="5">
          <cell r="C5">
            <v>436.364279</v>
          </cell>
        </row>
        <row r="7">
          <cell r="C7">
            <v>288.193</v>
          </cell>
        </row>
        <row r="8">
          <cell r="C8">
            <v>0</v>
          </cell>
        </row>
        <row r="9">
          <cell r="C9">
            <v>148.17127900000003</v>
          </cell>
        </row>
        <row r="11">
          <cell r="C11">
            <v>5.613751211748475</v>
          </cell>
        </row>
        <row r="12">
          <cell r="C12">
            <v>-0.3395586809707676</v>
          </cell>
        </row>
        <row r="13">
          <cell r="C13">
            <v>5.613751211748475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</v>
          </cell>
        </row>
        <row r="4">
          <cell r="C4">
            <v>194.517701</v>
          </cell>
        </row>
        <row r="5">
          <cell r="C5">
            <v>447.39071229999996</v>
          </cell>
        </row>
        <row r="7">
          <cell r="C7">
            <v>326.281</v>
          </cell>
        </row>
        <row r="8">
          <cell r="C8">
            <v>34.742</v>
          </cell>
        </row>
        <row r="9">
          <cell r="C9">
            <v>155.85171229999995</v>
          </cell>
        </row>
        <row r="11">
          <cell r="C11">
            <v>9.050546700335746</v>
          </cell>
        </row>
        <row r="12">
          <cell r="C12">
            <v>2.935020304493803</v>
          </cell>
        </row>
        <row r="13">
          <cell r="C13">
            <v>1.4987787666686436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1.66</v>
          </cell>
        </row>
        <row r="4">
          <cell r="C4">
            <v>266.16254</v>
          </cell>
        </row>
        <row r="5">
          <cell r="C5">
            <v>441.82981639999997</v>
          </cell>
        </row>
        <row r="7">
          <cell r="C7">
            <v>201.63</v>
          </cell>
        </row>
        <row r="8">
          <cell r="C8">
            <v>0</v>
          </cell>
        </row>
        <row r="9">
          <cell r="C9">
            <v>240.19981639999997</v>
          </cell>
        </row>
        <row r="11">
          <cell r="C11">
            <v>0.7575446191639139</v>
          </cell>
        </row>
        <row r="12">
          <cell r="C12">
            <v>-0.5436478197807748</v>
          </cell>
        </row>
        <row r="13">
          <cell r="C13">
            <v>0.7575446191639139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7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2.36</v>
          </cell>
        </row>
        <row r="4">
          <cell r="C4">
            <v>195.297857</v>
          </cell>
        </row>
        <row r="5">
          <cell r="C5">
            <v>460.90294251999995</v>
          </cell>
        </row>
        <row r="7">
          <cell r="C7">
            <v>169.769</v>
          </cell>
        </row>
        <row r="8">
          <cell r="C8">
            <v>0</v>
          </cell>
        </row>
        <row r="9">
          <cell r="C9">
            <v>291.13394251999995</v>
          </cell>
        </row>
        <row r="11">
          <cell r="C11">
            <v>0.8692824519830753</v>
          </cell>
        </row>
        <row r="12">
          <cell r="C12">
            <v>-0.6316599779732732</v>
          </cell>
        </row>
        <row r="13">
          <cell r="C13">
            <v>0.8692824519830753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7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5.84</v>
          </cell>
        </row>
        <row r="4">
          <cell r="C4">
            <v>70.789261</v>
          </cell>
        </row>
        <row r="5">
          <cell r="C5">
            <v>413.40928424</v>
          </cell>
        </row>
        <row r="7">
          <cell r="C7">
            <v>6.007615</v>
          </cell>
        </row>
        <row r="8">
          <cell r="C8">
            <v>0.006764</v>
          </cell>
        </row>
        <row r="9">
          <cell r="C9">
            <v>407.40843323999997</v>
          </cell>
        </row>
        <row r="11">
          <cell r="C11">
            <v>0.08477064056368663</v>
          </cell>
        </row>
        <row r="12">
          <cell r="C12">
            <v>-0.9854844793555331</v>
          </cell>
        </row>
        <row r="13">
          <cell r="C13">
            <v>0.08477064056368663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7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21.19</v>
          </cell>
        </row>
        <row r="4">
          <cell r="C4">
            <v>20.360596</v>
          </cell>
        </row>
        <row r="5">
          <cell r="C5">
            <v>431.44102924000003</v>
          </cell>
        </row>
        <row r="7">
          <cell r="C7">
            <v>320.361</v>
          </cell>
        </row>
        <row r="8">
          <cell r="C8">
            <v>0</v>
          </cell>
        </row>
        <row r="9">
          <cell r="C9">
            <v>111.08002924000004</v>
          </cell>
        </row>
        <row r="11">
          <cell r="C11">
            <v>20.559310665502302</v>
          </cell>
        </row>
        <row r="12">
          <cell r="C12">
            <v>-0.029763536314190597</v>
          </cell>
        </row>
        <row r="13">
          <cell r="C13">
            <v>15.734362589385888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8.18</v>
          </cell>
        </row>
        <row r="4">
          <cell r="C4">
            <v>54.16503</v>
          </cell>
        </row>
        <row r="5">
          <cell r="C5">
            <v>443.0699454</v>
          </cell>
        </row>
        <row r="7">
          <cell r="C7">
            <v>531.178</v>
          </cell>
        </row>
        <row r="8">
          <cell r="C8">
            <v>0</v>
          </cell>
        </row>
        <row r="9">
          <cell r="C9">
            <v>-88.1080546</v>
          </cell>
        </row>
        <row r="11">
          <cell r="C11">
            <v>29.143170815561053</v>
          </cell>
        </row>
        <row r="12">
          <cell r="C12">
            <v>2.5627348185282464</v>
          </cell>
        </row>
        <row r="13">
          <cell r="C13">
            <v>9.806659388908304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8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8.67</v>
          </cell>
        </row>
        <row r="4">
          <cell r="C4">
            <v>53.925697</v>
          </cell>
        </row>
        <row r="5">
          <cell r="C5">
            <v>467.53579299</v>
          </cell>
        </row>
        <row r="7">
          <cell r="C7">
            <v>43.504</v>
          </cell>
        </row>
        <row r="8">
          <cell r="C8">
            <v>0</v>
          </cell>
        </row>
        <row r="9">
          <cell r="C9">
            <v>424.03179299</v>
          </cell>
        </row>
        <row r="11">
          <cell r="C11">
            <v>4.909990726100733</v>
          </cell>
        </row>
        <row r="12">
          <cell r="C12">
            <v>-0.4336804237484737</v>
          </cell>
        </row>
        <row r="13">
          <cell r="C13">
            <v>0.8067396885013837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8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4.29</v>
          </cell>
        </row>
        <row r="4">
          <cell r="C4">
            <v>99.447343</v>
          </cell>
        </row>
        <row r="5">
          <cell r="C5">
            <v>426.62910147</v>
          </cell>
        </row>
        <row r="7">
          <cell r="C7">
            <v>143.845</v>
          </cell>
        </row>
        <row r="8">
          <cell r="C8">
            <v>96.676</v>
          </cell>
        </row>
        <row r="9">
          <cell r="C9">
            <v>379.46010147</v>
          </cell>
        </row>
        <row r="11">
          <cell r="C11">
            <v>-5.410921914670249</v>
          </cell>
        </row>
        <row r="12">
          <cell r="C12">
            <v>-2.2612871595967947</v>
          </cell>
        </row>
        <row r="13">
          <cell r="C13">
            <v>0.4743113146823842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21.825</v>
          </cell>
        </row>
        <row r="4">
          <cell r="C4">
            <v>19.549366</v>
          </cell>
        </row>
        <row r="5">
          <cell r="C5">
            <v>426.66491295</v>
          </cell>
        </row>
        <row r="7">
          <cell r="C7">
            <v>227.068</v>
          </cell>
        </row>
        <row r="8">
          <cell r="C8">
            <v>0</v>
          </cell>
        </row>
        <row r="9">
          <cell r="C9">
            <v>199.59691294999996</v>
          </cell>
        </row>
        <row r="11">
          <cell r="C11">
            <v>17.732036482554786</v>
          </cell>
        </row>
        <row r="12">
          <cell r="C12">
            <v>-0.18753555635487806</v>
          </cell>
        </row>
        <row r="13">
          <cell r="C13">
            <v>11.615108131895429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8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13.8</v>
          </cell>
        </row>
        <row r="4">
          <cell r="C4">
            <v>30.926847</v>
          </cell>
        </row>
        <row r="5">
          <cell r="C5">
            <v>426.7904886</v>
          </cell>
        </row>
        <row r="7">
          <cell r="C7">
            <v>11.135</v>
          </cell>
        </row>
        <row r="8">
          <cell r="C8">
            <v>46.659</v>
          </cell>
        </row>
        <row r="9">
          <cell r="C9">
            <v>462.3144886</v>
          </cell>
        </row>
        <row r="11">
          <cell r="C11">
            <v>-1.4450079582378448</v>
          </cell>
        </row>
        <row r="12">
          <cell r="C12">
            <v>-1.104710721611438</v>
          </cell>
        </row>
        <row r="13">
          <cell r="C13">
            <v>-1.148646029128026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1.44</v>
          </cell>
        </row>
        <row r="4">
          <cell r="C4">
            <v>302.322655</v>
          </cell>
        </row>
        <row r="5">
          <cell r="C5">
            <v>435.3446232</v>
          </cell>
        </row>
        <row r="7">
          <cell r="C7">
            <v>74.868</v>
          </cell>
        </row>
        <row r="8">
          <cell r="C8">
            <v>0</v>
          </cell>
        </row>
        <row r="9">
          <cell r="C9">
            <v>360.4766232</v>
          </cell>
        </row>
        <row r="11">
          <cell r="C11">
            <v>4.038926043681214</v>
          </cell>
        </row>
        <row r="12">
          <cell r="C12">
            <v>1.804809752556399</v>
          </cell>
        </row>
        <row r="13">
          <cell r="C13">
            <v>0.24764270477844275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8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19.81</v>
          </cell>
        </row>
        <row r="4">
          <cell r="C4">
            <v>18.93168</v>
          </cell>
        </row>
        <row r="5">
          <cell r="C5">
            <v>375.03658079999997</v>
          </cell>
        </row>
        <row r="7">
          <cell r="C7">
            <v>43.009</v>
          </cell>
        </row>
        <row r="8">
          <cell r="C8">
            <v>37.799</v>
          </cell>
        </row>
        <row r="9">
          <cell r="C9">
            <v>369.82658079999993</v>
          </cell>
        </row>
        <row r="11">
          <cell r="C11">
            <v>0.27520008789499933</v>
          </cell>
        </row>
        <row r="12">
          <cell r="C12">
            <v>-0.9861080218124685</v>
          </cell>
        </row>
        <row r="13">
          <cell r="C13">
            <v>0.27520008789499933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8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58.138989000000002</v>
          </cell>
        </row>
        <row r="7">
          <cell r="C7">
            <v>237.934</v>
          </cell>
        </row>
        <row r="8">
          <cell r="C8">
            <v>0</v>
          </cell>
        </row>
        <row r="11">
          <cell r="C11">
            <v>5.206928426284045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8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5.54</v>
          </cell>
        </row>
        <row r="4">
          <cell r="C4">
            <v>95.649645</v>
          </cell>
        </row>
        <row r="5">
          <cell r="C5">
            <v>529.8990333</v>
          </cell>
        </row>
        <row r="7">
          <cell r="C7">
            <v>115.2</v>
          </cell>
        </row>
        <row r="8">
          <cell r="C8">
            <v>120.7</v>
          </cell>
        </row>
        <row r="9">
          <cell r="C9">
            <v>535.3990333</v>
          </cell>
        </row>
        <row r="11">
          <cell r="C11">
            <v>5.340801290519666</v>
          </cell>
        </row>
        <row r="12">
          <cell r="C12">
            <v>-0.03595644575457291</v>
          </cell>
        </row>
        <row r="13">
          <cell r="C13">
            <v>-0.05750152026178455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2.58</v>
          </cell>
        </row>
        <row r="4">
          <cell r="C4">
            <v>153.580035</v>
          </cell>
        </row>
        <row r="5">
          <cell r="C5">
            <v>396.2364903</v>
          </cell>
        </row>
        <row r="7">
          <cell r="C7">
            <v>211.64499999999998</v>
          </cell>
        </row>
        <row r="8">
          <cell r="C8">
            <v>55.738</v>
          </cell>
        </row>
        <row r="9">
          <cell r="C9">
            <v>240.32949030000003</v>
          </cell>
        </row>
        <row r="11">
          <cell r="C11">
            <v>0.7883247395964721</v>
          </cell>
        </row>
        <row r="12">
          <cell r="C12">
            <v>-0.6944477753502046</v>
          </cell>
        </row>
        <row r="13">
          <cell r="C13">
            <v>1.0151514811153675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8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</v>
          </cell>
        </row>
        <row r="4">
          <cell r="C4">
            <v>95.829137</v>
          </cell>
        </row>
        <row r="5">
          <cell r="C5">
            <v>383.316548</v>
          </cell>
        </row>
        <row r="7">
          <cell r="C7">
            <v>205.134</v>
          </cell>
        </row>
        <row r="8">
          <cell r="C8">
            <v>0</v>
          </cell>
        </row>
        <row r="9">
          <cell r="C9">
            <v>178.18254800000003</v>
          </cell>
        </row>
        <row r="11">
          <cell r="C11">
            <v>3.9662655127509505</v>
          </cell>
        </row>
        <row r="12">
          <cell r="C12">
            <v>-0.00843362181226237</v>
          </cell>
        </row>
        <row r="13">
          <cell r="C13">
            <v>2.1406224288548064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6.04</v>
          </cell>
        </row>
        <row r="4">
          <cell r="C4">
            <v>61.843444</v>
          </cell>
        </row>
        <row r="5">
          <cell r="C5">
            <v>373.53440176</v>
          </cell>
        </row>
        <row r="7">
          <cell r="C7">
            <v>199.42700000000002</v>
          </cell>
        </row>
        <row r="8">
          <cell r="C8">
            <v>24.883</v>
          </cell>
        </row>
        <row r="9">
          <cell r="C9">
            <v>198.99040175999997</v>
          </cell>
        </row>
        <row r="11">
          <cell r="C11">
            <v>8.20893806568148</v>
          </cell>
        </row>
        <row r="12">
          <cell r="C12">
            <v>0.3590957062386555</v>
          </cell>
        </row>
        <row r="13">
          <cell r="C13">
            <v>2.822352519694731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3.43</v>
          </cell>
        </row>
        <row r="4">
          <cell r="C4">
            <v>100.849644</v>
          </cell>
        </row>
        <row r="5">
          <cell r="C5">
            <v>345.91427892</v>
          </cell>
        </row>
        <row r="7">
          <cell r="C7">
            <v>13.269</v>
          </cell>
        </row>
        <row r="8">
          <cell r="C8">
            <v>0</v>
          </cell>
        </row>
        <row r="9">
          <cell r="C9">
            <v>332.64527892</v>
          </cell>
        </row>
        <row r="11">
          <cell r="C11">
            <v>0.13157210549994605</v>
          </cell>
        </row>
        <row r="12">
          <cell r="C12">
            <v>-0.9616407855685288</v>
          </cell>
        </row>
        <row r="13">
          <cell r="C13">
            <v>0.13157210549994605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29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8.24</v>
          </cell>
        </row>
        <row r="4">
          <cell r="C4">
            <v>45.436867</v>
          </cell>
        </row>
        <row r="5">
          <cell r="C5">
            <v>374.39978408</v>
          </cell>
        </row>
        <row r="7">
          <cell r="C7">
            <v>304.725</v>
          </cell>
        </row>
        <row r="8">
          <cell r="C8">
            <v>0</v>
          </cell>
        </row>
        <row r="9">
          <cell r="C9">
            <v>69.67478408</v>
          </cell>
        </row>
        <row r="11">
          <cell r="C11">
            <v>9.647572983051708</v>
          </cell>
        </row>
        <row r="12">
          <cell r="C12">
            <v>0.17082196396258587</v>
          </cell>
        </row>
        <row r="13">
          <cell r="C13">
            <v>6.706558354914744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4.465</v>
          </cell>
        </row>
        <row r="4">
          <cell r="C4">
            <v>80.204699</v>
          </cell>
        </row>
        <row r="5">
          <cell r="C5">
            <v>358.113981035</v>
          </cell>
        </row>
        <row r="7">
          <cell r="C7">
            <v>219.465</v>
          </cell>
        </row>
        <row r="8">
          <cell r="C8">
            <v>0</v>
          </cell>
        </row>
        <row r="9">
          <cell r="C9">
            <v>138.648981035</v>
          </cell>
        </row>
        <row r="11">
          <cell r="C11">
            <v>9.903667706688903</v>
          </cell>
        </row>
        <row r="12">
          <cell r="C12">
            <v>1.2180666756302134</v>
          </cell>
        </row>
        <row r="13">
          <cell r="C13">
            <v>2.7363109984366374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2.96</v>
          </cell>
        </row>
        <row r="4">
          <cell r="C4">
            <v>133.242324</v>
          </cell>
        </row>
        <row r="5">
          <cell r="C5">
            <v>394.39727904</v>
          </cell>
        </row>
        <row r="7">
          <cell r="C7">
            <v>11.55382</v>
          </cell>
        </row>
        <row r="8">
          <cell r="C8">
            <v>0</v>
          </cell>
        </row>
        <row r="9">
          <cell r="C9">
            <v>382.84345904</v>
          </cell>
        </row>
        <row r="11">
          <cell r="C11">
            <v>0.5042693108587966</v>
          </cell>
        </row>
        <row r="12">
          <cell r="C12">
            <v>-0.8296387463314876</v>
          </cell>
        </row>
        <row r="13">
          <cell r="C13">
            <v>0.08671283758154803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10.46</v>
          </cell>
        </row>
        <row r="4">
          <cell r="C4">
            <v>35.067159</v>
          </cell>
        </row>
        <row r="5">
          <cell r="C5">
            <v>366.80248314</v>
          </cell>
        </row>
        <row r="7">
          <cell r="C7">
            <v>41.249</v>
          </cell>
        </row>
        <row r="8">
          <cell r="C8">
            <v>0</v>
          </cell>
        </row>
        <row r="9">
          <cell r="C9">
            <v>325.55348313999997</v>
          </cell>
        </row>
        <row r="11">
          <cell r="C11">
            <v>6.185410520469551</v>
          </cell>
        </row>
        <row r="12">
          <cell r="C12">
            <v>-0.4086605620966013</v>
          </cell>
        </row>
        <row r="13">
          <cell r="C13">
            <v>1.1762857664061126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</v>
          </cell>
        </row>
        <row r="4">
          <cell r="C4">
            <v>96.722333</v>
          </cell>
        </row>
        <row r="5">
          <cell r="C5">
            <v>357.87263210000003</v>
          </cell>
        </row>
        <row r="7">
          <cell r="C7">
            <v>107.801</v>
          </cell>
        </row>
        <row r="8">
          <cell r="C8">
            <v>0</v>
          </cell>
        </row>
        <row r="9">
          <cell r="C9">
            <v>250.07163210000004</v>
          </cell>
        </row>
        <row r="11">
          <cell r="C11">
            <v>11.556310555631825</v>
          </cell>
        </row>
        <row r="12">
          <cell r="C12">
            <v>2.1233271771977904</v>
          </cell>
        </row>
        <row r="13">
          <cell r="C13">
            <v>1.1145409406119267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10.47</v>
          </cell>
        </row>
        <row r="4">
          <cell r="C4">
            <v>29.78804</v>
          </cell>
        </row>
        <row r="5">
          <cell r="C5">
            <v>311.88077880000003</v>
          </cell>
        </row>
        <row r="7">
          <cell r="C7">
            <v>9.948952</v>
          </cell>
        </row>
        <row r="8">
          <cell r="C8">
            <v>6.062994</v>
          </cell>
        </row>
        <row r="9">
          <cell r="C9">
            <v>307.9948208</v>
          </cell>
        </row>
        <row r="11">
          <cell r="C11">
            <v>34.521694257674774</v>
          </cell>
        </row>
        <row r="12">
          <cell r="C12">
            <v>2.2972009797206088</v>
          </cell>
        </row>
        <row r="13">
          <cell r="C13">
            <v>0.13045363172602162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7.59</v>
          </cell>
        </row>
        <row r="4">
          <cell r="C4">
            <v>51.939206</v>
          </cell>
        </row>
        <row r="5">
          <cell r="C5">
            <v>394.21857353999997</v>
          </cell>
        </row>
        <row r="7">
          <cell r="C7">
            <v>80.563482</v>
          </cell>
        </row>
        <row r="8">
          <cell r="C8">
            <v>0</v>
          </cell>
        </row>
        <row r="9">
          <cell r="C9">
            <v>313.65509153999994</v>
          </cell>
        </row>
        <row r="11">
          <cell r="C11">
            <v>0.687198199445147</v>
          </cell>
        </row>
        <row r="12">
          <cell r="C12">
            <v>-0.9094600527740254</v>
          </cell>
        </row>
        <row r="13">
          <cell r="C13">
            <v>1.5511111586881015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29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3.36</v>
          </cell>
        </row>
        <row r="4">
          <cell r="C4">
            <v>106.669846</v>
          </cell>
        </row>
        <row r="5">
          <cell r="C5">
            <v>358.41068256</v>
          </cell>
        </row>
        <row r="7">
          <cell r="C7">
            <v>217.731175</v>
          </cell>
        </row>
        <row r="8">
          <cell r="C8">
            <v>0</v>
          </cell>
        </row>
        <row r="9">
          <cell r="C9">
            <v>140.67950756</v>
          </cell>
        </row>
        <row r="11">
          <cell r="C11">
            <v>6.538683324754362</v>
          </cell>
        </row>
        <row r="12">
          <cell r="C12">
            <v>0.9460367037959412</v>
          </cell>
        </row>
        <row r="13">
          <cell r="C13">
            <v>2.0411689260336985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0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3.16</v>
          </cell>
        </row>
        <row r="4">
          <cell r="C4">
            <v>123.025136</v>
          </cell>
        </row>
        <row r="5">
          <cell r="C5">
            <v>388.75942976000005</v>
          </cell>
        </row>
        <row r="7">
          <cell r="C7">
            <v>300.4</v>
          </cell>
        </row>
        <row r="8">
          <cell r="C8">
            <v>0</v>
          </cell>
        </row>
        <row r="9">
          <cell r="C9">
            <v>88.35942976000007</v>
          </cell>
        </row>
        <row r="11">
          <cell r="C11">
            <v>2.582020436987608</v>
          </cell>
        </row>
        <row r="12">
          <cell r="C12">
            <v>-0.18290492500392164</v>
          </cell>
        </row>
        <row r="13">
          <cell r="C13">
            <v>2.4417774266878274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0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1.28</v>
          </cell>
        </row>
        <row r="4">
          <cell r="C4">
            <v>263.359123</v>
          </cell>
        </row>
        <row r="5">
          <cell r="C5">
            <v>337.09967744</v>
          </cell>
        </row>
        <row r="7">
          <cell r="C7">
            <v>178.466916178236</v>
          </cell>
        </row>
        <row r="8">
          <cell r="C8" t="str">
            <v>empty</v>
          </cell>
        </row>
        <row r="9">
          <cell r="C9">
            <v>158.632761261764</v>
          </cell>
        </row>
        <row r="11">
          <cell r="C11">
            <v>3.067570180421663</v>
          </cell>
        </row>
        <row r="12">
          <cell r="C12">
            <v>1.3965392034544242</v>
          </cell>
        </row>
        <row r="13">
          <cell r="C13">
            <v>0.6776560999492545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6.29</v>
          </cell>
        </row>
        <row r="4">
          <cell r="C4">
            <v>51.273336</v>
          </cell>
        </row>
        <row r="5">
          <cell r="C5">
            <v>322.50928344</v>
          </cell>
        </row>
        <row r="7">
          <cell r="C7">
            <v>139.7</v>
          </cell>
        </row>
        <row r="8">
          <cell r="C8">
            <v>581.8</v>
          </cell>
        </row>
        <row r="9">
          <cell r="C9">
            <v>764.6092834399999</v>
          </cell>
        </row>
        <row r="11">
          <cell r="C11">
            <v>3.5174726850822866</v>
          </cell>
        </row>
        <row r="12">
          <cell r="C12">
            <v>-0.44078335690265713</v>
          </cell>
        </row>
        <row r="13">
          <cell r="C13">
            <v>-8.622415362245983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11.67</v>
          </cell>
        </row>
        <row r="4">
          <cell r="C4">
            <v>29.125402</v>
          </cell>
        </row>
        <row r="5">
          <cell r="C5">
            <v>339.89344134000004</v>
          </cell>
        </row>
        <row r="7">
          <cell r="C7">
            <v>189.50599999999997</v>
          </cell>
        </row>
        <row r="8">
          <cell r="C8">
            <v>0</v>
          </cell>
        </row>
        <row r="9">
          <cell r="C9">
            <v>150.38744134000007</v>
          </cell>
        </row>
        <row r="11">
          <cell r="C11">
            <v>3.648105454862833</v>
          </cell>
        </row>
        <row r="12">
          <cell r="C12">
            <v>-0.68739456256531</v>
          </cell>
        </row>
        <row r="13">
          <cell r="C13">
            <v>6.506553969624178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4.01</v>
          </cell>
        </row>
        <row r="4">
          <cell r="C4">
            <v>83.195823</v>
          </cell>
        </row>
        <row r="5">
          <cell r="C5">
            <v>333.61525023</v>
          </cell>
        </row>
        <row r="7">
          <cell r="C7">
            <v>88.812</v>
          </cell>
        </row>
        <row r="8">
          <cell r="C8">
            <v>35.281</v>
          </cell>
        </row>
        <row r="9">
          <cell r="C9">
            <v>280.08425023</v>
          </cell>
        </row>
        <row r="11">
          <cell r="C11">
            <v>10.005694794987244</v>
          </cell>
        </row>
        <row r="12">
          <cell r="C12">
            <v>1.4951857344107844</v>
          </cell>
        </row>
        <row r="13">
          <cell r="C13">
            <v>0.643433745465803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0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7.31</v>
          </cell>
        </row>
        <row r="4">
          <cell r="C4">
            <v>45.109497</v>
          </cell>
        </row>
        <row r="5">
          <cell r="C5">
            <v>329.75042306999995</v>
          </cell>
        </row>
        <row r="7">
          <cell r="C7">
            <v>6.811</v>
          </cell>
        </row>
        <row r="8">
          <cell r="C8">
            <v>0</v>
          </cell>
        </row>
        <row r="9">
          <cell r="C9">
            <v>322.93942307</v>
          </cell>
        </row>
        <row r="11">
          <cell r="C11">
            <v>0.15098816109609914</v>
          </cell>
        </row>
        <row r="12">
          <cell r="C12">
            <v>-0.9793449848021752</v>
          </cell>
        </row>
        <row r="13">
          <cell r="C13">
            <v>0.15098816109609914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0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0.72</v>
          </cell>
        </row>
        <row r="4">
          <cell r="C4">
            <v>423.037675</v>
          </cell>
        </row>
        <row r="5">
          <cell r="C5">
            <v>304.58712599999996</v>
          </cell>
        </row>
        <row r="7">
          <cell r="C7">
            <v>237.7127321516842</v>
          </cell>
        </row>
        <row r="8">
          <cell r="C8">
            <v>169.6229079867241</v>
          </cell>
        </row>
        <row r="9">
          <cell r="C9">
            <v>236.49730183503985</v>
          </cell>
        </row>
        <row r="11">
          <cell r="C11">
            <v>0.05682294859749763</v>
          </cell>
        </row>
        <row r="12">
          <cell r="C12">
            <v>-0.921079238059031</v>
          </cell>
        </row>
        <row r="13">
          <cell r="C13">
            <v>0.16095451584769632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6.56</v>
          </cell>
        </row>
        <row r="4">
          <cell r="C4">
            <v>48.890121</v>
          </cell>
        </row>
        <row r="5">
          <cell r="C5">
            <v>320.71919376</v>
          </cell>
        </row>
        <row r="7">
          <cell r="C7">
            <v>349.394</v>
          </cell>
        </row>
        <row r="8">
          <cell r="C8">
            <v>0</v>
          </cell>
        </row>
        <row r="9">
          <cell r="C9">
            <v>-28.67480624000001</v>
          </cell>
        </row>
        <row r="11">
          <cell r="C11">
            <v>9.189476862517855</v>
          </cell>
        </row>
        <row r="12">
          <cell r="C12">
            <v>0.40083488757894137</v>
          </cell>
        </row>
        <row r="13">
          <cell r="C13">
            <v>7.146515346116652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0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9.04</v>
          </cell>
        </row>
        <row r="4">
          <cell r="C4">
            <v>34.882726</v>
          </cell>
        </row>
        <row r="5">
          <cell r="C5">
            <v>315.33984303999995</v>
          </cell>
        </row>
        <row r="7">
          <cell r="C7">
            <v>179.972</v>
          </cell>
        </row>
        <row r="8">
          <cell r="C8">
            <v>0</v>
          </cell>
        </row>
        <row r="9">
          <cell r="C9">
            <v>135.36784303999994</v>
          </cell>
        </row>
        <row r="11">
          <cell r="C11">
            <v>5.94922724635584</v>
          </cell>
        </row>
        <row r="12">
          <cell r="C12">
            <v>-0.3418996408898406</v>
          </cell>
        </row>
        <row r="13">
          <cell r="C13">
            <v>5.159344484717164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0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10.98</v>
          </cell>
        </row>
        <row r="4">
          <cell r="C4">
            <v>28.423069</v>
          </cell>
        </row>
        <row r="5">
          <cell r="C5">
            <v>312.08529762</v>
          </cell>
        </row>
        <row r="7">
          <cell r="C7">
            <v>191.483</v>
          </cell>
        </row>
        <row r="8">
          <cell r="C8">
            <v>0</v>
          </cell>
        </row>
        <row r="9">
          <cell r="C9">
            <v>120.60229762</v>
          </cell>
        </row>
        <row r="11">
          <cell r="C11">
            <v>36.925632324790264</v>
          </cell>
        </row>
        <row r="12">
          <cell r="C12">
            <v>2.362990193514596</v>
          </cell>
        </row>
        <row r="13">
          <cell r="C13">
            <v>6.7368868576436975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3.2</v>
          </cell>
        </row>
        <row r="4">
          <cell r="C4">
            <v>107.821231</v>
          </cell>
        </row>
        <row r="5">
          <cell r="C5">
            <v>345.0279392</v>
          </cell>
        </row>
        <row r="7">
          <cell r="C7">
            <v>0.01</v>
          </cell>
        </row>
        <row r="8">
          <cell r="C8">
            <v>0</v>
          </cell>
        </row>
        <row r="9">
          <cell r="C9">
            <v>345.0179392</v>
          </cell>
        </row>
        <row r="11">
          <cell r="C11">
            <v>9.27461123125185e-05</v>
          </cell>
        </row>
        <row r="12">
          <cell r="C12">
            <v>-0.9999710168399023</v>
          </cell>
        </row>
        <row r="13">
          <cell r="C13">
            <v>9.27461123125185e-05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3.72</v>
          </cell>
        </row>
        <row r="4">
          <cell r="C4">
            <v>76.297257</v>
          </cell>
        </row>
        <row r="5">
          <cell r="C5">
            <v>283.82579604</v>
          </cell>
        </row>
        <row r="7">
          <cell r="C7">
            <v>48.466</v>
          </cell>
        </row>
        <row r="8">
          <cell r="C8">
            <v>0</v>
          </cell>
        </row>
        <row r="9">
          <cell r="C9">
            <v>235.35979604</v>
          </cell>
        </row>
        <row r="11">
          <cell r="C11">
            <v>0.2586219695875018</v>
          </cell>
        </row>
        <row r="12">
          <cell r="C12">
            <v>-0.9304779651646501</v>
          </cell>
        </row>
        <row r="13">
          <cell r="C13">
            <v>0.6352259819773075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2.81</v>
          </cell>
        </row>
        <row r="4">
          <cell r="C4">
            <v>107.764382</v>
          </cell>
        </row>
        <row r="5">
          <cell r="C5">
            <v>302.81791342</v>
          </cell>
        </row>
        <row r="7">
          <cell r="C7">
            <v>7.624</v>
          </cell>
        </row>
        <row r="8">
          <cell r="C8">
            <v>0</v>
          </cell>
        </row>
        <row r="9">
          <cell r="C9">
            <v>295.19391342</v>
          </cell>
        </row>
        <row r="11">
          <cell r="C11">
            <v>0.07074693751781548</v>
          </cell>
        </row>
        <row r="12">
          <cell r="C12">
            <v>-0.9748231539082507</v>
          </cell>
        </row>
        <row r="13">
          <cell r="C13">
            <v>0.07074693751781548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25.14</v>
          </cell>
        </row>
        <row r="4">
          <cell r="C4">
            <v>11.753558</v>
          </cell>
        </row>
        <row r="5">
          <cell r="C5">
            <v>295.48444812</v>
          </cell>
        </row>
        <row r="7">
          <cell r="C7">
            <v>102.039</v>
          </cell>
        </row>
        <row r="8">
          <cell r="C8">
            <v>0</v>
          </cell>
        </row>
        <row r="9">
          <cell r="C9">
            <v>193.44544812000004</v>
          </cell>
        </row>
        <row r="11">
          <cell r="C11">
            <v>17.78126959431182</v>
          </cell>
        </row>
        <row r="12">
          <cell r="C12">
            <v>-0.29271004000350764</v>
          </cell>
        </row>
        <row r="13">
          <cell r="C13">
            <v>8.681541368154223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6.42</v>
          </cell>
        </row>
        <row r="4">
          <cell r="C4">
            <v>45.020407</v>
          </cell>
        </row>
        <row r="5">
          <cell r="C5">
            <v>289.03101294</v>
          </cell>
        </row>
        <row r="7">
          <cell r="C7">
            <v>18.738</v>
          </cell>
        </row>
        <row r="8">
          <cell r="C8">
            <v>30.068</v>
          </cell>
        </row>
        <row r="9">
          <cell r="C9">
            <v>300.36101293999997</v>
          </cell>
        </row>
        <row r="11">
          <cell r="C11">
            <v>6.100568048234903</v>
          </cell>
        </row>
        <row r="12">
          <cell r="C12">
            <v>-0.049755755726650586</v>
          </cell>
        </row>
        <row r="13">
          <cell r="C13">
            <v>-0.251663651108263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1.43</v>
          </cell>
        </row>
        <row r="4">
          <cell r="C4">
            <v>174.270558</v>
          </cell>
        </row>
        <row r="5">
          <cell r="C5">
            <v>249.20689793999998</v>
          </cell>
        </row>
        <row r="7">
          <cell r="C7">
            <v>125.172</v>
          </cell>
        </row>
        <row r="8">
          <cell r="C8">
            <v>0</v>
          </cell>
        </row>
        <row r="9">
          <cell r="C9">
            <v>124.03489793999998</v>
          </cell>
        </row>
        <row r="11">
          <cell r="C11">
            <v>3.273702443740263</v>
          </cell>
        </row>
        <row r="12">
          <cell r="C12">
            <v>1.289302408209974</v>
          </cell>
        </row>
        <row r="13">
          <cell r="C13">
            <v>0.7182624617521451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20.44</v>
          </cell>
        </row>
        <row r="4">
          <cell r="C4">
            <v>13.382966</v>
          </cell>
        </row>
        <row r="5">
          <cell r="C5">
            <v>273.54782504</v>
          </cell>
        </row>
        <row r="7">
          <cell r="C7">
            <v>38.412</v>
          </cell>
        </row>
        <row r="8">
          <cell r="C8">
            <v>0</v>
          </cell>
        </row>
        <row r="9">
          <cell r="C9">
            <v>235.13582504000001</v>
          </cell>
        </row>
        <row r="11">
          <cell r="C11">
            <v>10.827834147688835</v>
          </cell>
        </row>
        <row r="12">
          <cell r="C12">
            <v>-0.47026251723635837</v>
          </cell>
        </row>
        <row r="13">
          <cell r="C13">
            <v>2.8702157653243683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</v>
          </cell>
        </row>
        <row r="4">
          <cell r="C4">
            <v>114.151663</v>
          </cell>
        </row>
        <row r="5">
          <cell r="C5">
            <v>262.5488249</v>
          </cell>
        </row>
        <row r="7">
          <cell r="C7">
            <v>236.876</v>
          </cell>
        </row>
        <row r="8">
          <cell r="C8">
            <v>1.597</v>
          </cell>
        </row>
        <row r="9">
          <cell r="C9">
            <v>27.269824899999996</v>
          </cell>
        </row>
        <row r="11">
          <cell r="C11">
            <v>0.6983702149178673</v>
          </cell>
        </row>
        <row r="12">
          <cell r="C12">
            <v>-0.6963607761226663</v>
          </cell>
        </row>
        <row r="13">
          <cell r="C13">
            <v>2.061108825019921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0.8125</v>
          </cell>
        </row>
        <row r="4">
          <cell r="C4">
            <v>339.110401</v>
          </cell>
        </row>
        <row r="5">
          <cell r="C5">
            <v>275.52720081250004</v>
          </cell>
        </row>
        <row r="7">
          <cell r="C7">
            <v>100.051</v>
          </cell>
        </row>
        <row r="8">
          <cell r="C8">
            <v>1.749</v>
          </cell>
        </row>
        <row r="9">
          <cell r="C9">
            <v>177.22520081250005</v>
          </cell>
        </row>
        <row r="11">
          <cell r="C11">
            <v>5.203436596079667</v>
          </cell>
        </row>
        <row r="12">
          <cell r="C12">
            <v>5.4042296567134365</v>
          </cell>
        </row>
        <row r="13">
          <cell r="C13">
            <v>0.289881996276487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3.02</v>
          </cell>
        </row>
        <row r="4">
          <cell r="C4">
            <v>99.146743</v>
          </cell>
        </row>
        <row r="5">
          <cell r="C5">
            <v>299.42316386</v>
          </cell>
        </row>
        <row r="7">
          <cell r="C7">
            <v>208</v>
          </cell>
        </row>
        <row r="8">
          <cell r="C8">
            <v>75</v>
          </cell>
        </row>
        <row r="9">
          <cell r="C9">
            <v>166.42316386</v>
          </cell>
        </row>
        <row r="11">
          <cell r="C11">
            <v>5.050650906587106</v>
          </cell>
        </row>
        <row r="12">
          <cell r="C12">
            <v>0.6724009624460616</v>
          </cell>
        </row>
        <row r="13">
          <cell r="C13">
            <v>1.3414459817404187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3.53</v>
          </cell>
        </row>
        <row r="4">
          <cell r="C4">
            <v>79.803485</v>
          </cell>
        </row>
        <row r="5">
          <cell r="C5">
            <v>281.70630205</v>
          </cell>
        </row>
        <row r="7">
          <cell r="C7">
            <v>151.757</v>
          </cell>
        </row>
        <row r="8">
          <cell r="C8">
            <v>0</v>
          </cell>
        </row>
        <row r="9">
          <cell r="C9">
            <v>129.94930204999997</v>
          </cell>
        </row>
        <row r="11">
          <cell r="C11">
            <v>1.5850180184454</v>
          </cell>
        </row>
        <row r="12">
          <cell r="C12">
            <v>-0.5509863970409632</v>
          </cell>
        </row>
        <row r="13">
          <cell r="C13">
            <v>1.9016337444411107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2.34</v>
          </cell>
        </row>
        <row r="4">
          <cell r="C4">
            <v>109.774597</v>
          </cell>
        </row>
        <row r="5">
          <cell r="C5">
            <v>256.87255697999996</v>
          </cell>
        </row>
        <row r="7">
          <cell r="C7">
            <v>283.747</v>
          </cell>
        </row>
        <row r="8">
          <cell r="C8">
            <v>0</v>
          </cell>
        </row>
        <row r="9">
          <cell r="C9">
            <v>-26.874443020000058</v>
          </cell>
        </row>
        <row r="11">
          <cell r="C11">
            <v>3.8575201379589616</v>
          </cell>
        </row>
        <row r="12">
          <cell r="C12">
            <v>0.6485128794696418</v>
          </cell>
        </row>
        <row r="13">
          <cell r="C13">
            <v>2.5848147727656885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0.4052</v>
          </cell>
        </row>
        <row r="4">
          <cell r="C4">
            <v>86.212138</v>
          </cell>
        </row>
        <row r="5">
          <cell r="C5">
            <v>34.9331583176</v>
          </cell>
        </row>
        <row r="7">
          <cell r="C7">
            <v>180.47199999999998</v>
          </cell>
        </row>
        <row r="8">
          <cell r="C8">
            <v>0</v>
          </cell>
        </row>
        <row r="9">
          <cell r="C9">
            <v>-145.53884168239998</v>
          </cell>
        </row>
        <row r="11">
          <cell r="C11">
            <v>9.042441025226218</v>
          </cell>
        </row>
        <row r="12">
          <cell r="C12">
            <v>21.315994632838642</v>
          </cell>
        </row>
        <row r="13">
          <cell r="C13">
            <v>2.093347922771617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4.6</v>
          </cell>
        </row>
        <row r="4">
          <cell r="C4">
            <v>57.184017</v>
          </cell>
        </row>
        <row r="5">
          <cell r="C5">
            <v>263.04647819999997</v>
          </cell>
        </row>
        <row r="7">
          <cell r="C7">
            <v>146.826</v>
          </cell>
        </row>
        <row r="8">
          <cell r="C8">
            <v>14.988</v>
          </cell>
        </row>
        <row r="9">
          <cell r="C9">
            <v>131.20847819999997</v>
          </cell>
        </row>
        <row r="11">
          <cell r="C11">
            <v>2.8082593292386204</v>
          </cell>
        </row>
        <row r="12">
          <cell r="C12">
            <v>-0.3895088414698651</v>
          </cell>
        </row>
        <row r="13">
          <cell r="C13">
            <v>2.30550435097975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0.9726</v>
          </cell>
        </row>
        <row r="4">
          <cell r="C4">
            <v>252.907464</v>
          </cell>
        </row>
        <row r="5">
          <cell r="C5">
            <v>245.97779948640002</v>
          </cell>
        </row>
        <row r="7">
          <cell r="C7">
            <v>50.82899999999999</v>
          </cell>
        </row>
        <row r="8">
          <cell r="C8">
            <v>0</v>
          </cell>
        </row>
        <row r="9">
          <cell r="C9">
            <v>195.14879948640004</v>
          </cell>
        </row>
        <row r="11">
          <cell r="C11">
            <v>0.20097864727313858</v>
          </cell>
        </row>
        <row r="12">
          <cell r="C12">
            <v>-0.7933594002949429</v>
          </cell>
        </row>
        <row r="13">
          <cell r="C13">
            <v>0.20097864727313858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1.64</v>
          </cell>
        </row>
        <row r="4">
          <cell r="C4">
            <v>181.075321</v>
          </cell>
        </row>
        <row r="5">
          <cell r="C5">
            <v>296.96352644</v>
          </cell>
        </row>
        <row r="7">
          <cell r="C7">
            <v>119.71199999999999</v>
          </cell>
        </row>
        <row r="8">
          <cell r="C8">
            <v>0</v>
          </cell>
        </row>
        <row r="9">
          <cell r="C9">
            <v>177.25152644000002</v>
          </cell>
        </row>
        <row r="11">
          <cell r="C11">
            <v>0.6611171491448025</v>
          </cell>
        </row>
        <row r="12">
          <cell r="C12">
            <v>-0.5968797871068278</v>
          </cell>
        </row>
        <row r="13">
          <cell r="C13">
            <v>0.6611171491448025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60.462687000000003</v>
          </cell>
        </row>
        <row r="7">
          <cell r="C7">
            <v>170</v>
          </cell>
        </row>
        <row r="8">
          <cell r="C8">
            <v>0</v>
          </cell>
        </row>
        <row r="11">
          <cell r="C11">
            <v>13.314826577100533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2.49</v>
          </cell>
        </row>
        <row r="4">
          <cell r="C4">
            <v>101.742231</v>
          </cell>
        </row>
        <row r="5">
          <cell r="C5">
            <v>253.33815519000004</v>
          </cell>
        </row>
        <row r="7">
          <cell r="C7">
            <v>110.9422787513957</v>
          </cell>
        </row>
        <row r="8">
          <cell r="C8" t="str">
            <v>empty</v>
          </cell>
        </row>
        <row r="9">
          <cell r="C9">
            <v>142.39587643860432</v>
          </cell>
        </row>
        <row r="11">
          <cell r="C11">
            <v>5.167693506494669</v>
          </cell>
        </row>
        <row r="12">
          <cell r="C12">
            <v>1.0753789182709514</v>
          </cell>
        </row>
        <row r="13">
          <cell r="C13">
            <v>1.0904250640168849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3.6</v>
          </cell>
        </row>
        <row r="4">
          <cell r="C4">
            <v>69.814145</v>
          </cell>
        </row>
        <row r="5">
          <cell r="C5">
            <v>251.330922</v>
          </cell>
        </row>
        <row r="7">
          <cell r="C7">
            <v>510.052</v>
          </cell>
        </row>
        <row r="8">
          <cell r="C8">
            <v>0</v>
          </cell>
        </row>
        <row r="9">
          <cell r="C9">
            <v>-258.72107800000003</v>
          </cell>
        </row>
        <row r="11">
          <cell r="C11">
            <v>4.6276457494128325</v>
          </cell>
        </row>
        <row r="12">
          <cell r="C12">
            <v>0.28545715261467564</v>
          </cell>
        </row>
        <row r="13">
          <cell r="C13">
            <v>7.305854708956187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1.61</v>
          </cell>
        </row>
        <row r="4">
          <cell r="C4">
            <v>169.545445</v>
          </cell>
        </row>
        <row r="5">
          <cell r="C5">
            <v>272.96816645</v>
          </cell>
        </row>
        <row r="7">
          <cell r="C7">
            <v>225.101</v>
          </cell>
        </row>
        <row r="8">
          <cell r="C8">
            <v>0</v>
          </cell>
        </row>
        <row r="9">
          <cell r="C9">
            <v>47.86716645000001</v>
          </cell>
        </row>
        <row r="11">
          <cell r="C11">
            <v>3.148461455154284</v>
          </cell>
        </row>
        <row r="12">
          <cell r="C12">
            <v>0.9555661212138411</v>
          </cell>
        </row>
        <row r="13">
          <cell r="C13">
            <v>1.327673533193416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18.75</v>
          </cell>
        </row>
        <row r="4">
          <cell r="C4">
            <v>14.855087</v>
          </cell>
        </row>
        <row r="5">
          <cell r="C5">
            <v>278.53288125</v>
          </cell>
        </row>
        <row r="7">
          <cell r="C7">
            <v>0.193017</v>
          </cell>
        </row>
        <row r="8">
          <cell r="C8">
            <v>0.8677</v>
          </cell>
        </row>
        <row r="9">
          <cell r="C9">
            <v>279.20756425</v>
          </cell>
        </row>
        <row r="11">
          <cell r="C11">
            <v>-0.045417640435225996</v>
          </cell>
        </row>
        <row r="12">
          <cell r="C12">
            <v>-1.0024222741565454</v>
          </cell>
        </row>
        <row r="13">
          <cell r="C13">
            <v>-0.045417640435225996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11.48</v>
          </cell>
        </row>
        <row r="4">
          <cell r="C4">
            <v>21.0022011</v>
          </cell>
        </row>
        <row r="5">
          <cell r="C5">
            <v>241.105268628</v>
          </cell>
        </row>
        <row r="7">
          <cell r="C7">
            <v>314.649</v>
          </cell>
        </row>
        <row r="8">
          <cell r="C8">
            <v>0</v>
          </cell>
        </row>
        <row r="9">
          <cell r="C9">
            <v>-73.543731372</v>
          </cell>
        </row>
        <row r="11">
          <cell r="C11">
            <v>17.88638936479413</v>
          </cell>
        </row>
        <row r="12">
          <cell r="C12">
            <v>0.5580478540761438</v>
          </cell>
        </row>
        <row r="13">
          <cell r="C13">
            <v>14.98171541648556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3.73</v>
          </cell>
        </row>
        <row r="4">
          <cell r="C4">
            <v>64.697402</v>
          </cell>
        </row>
        <row r="5">
          <cell r="C5">
            <v>241.32130945999998</v>
          </cell>
        </row>
        <row r="7">
          <cell r="C7">
            <v>149.900319</v>
          </cell>
        </row>
        <row r="8">
          <cell r="C8">
            <v>0</v>
          </cell>
        </row>
        <row r="9">
          <cell r="C9">
            <v>91.42099045999998</v>
          </cell>
        </row>
        <row r="11">
          <cell r="C11">
            <v>21.00743245545131</v>
          </cell>
        </row>
        <row r="12">
          <cell r="C12">
            <v>4.63201942505397</v>
          </cell>
        </row>
        <row r="13">
          <cell r="C13">
            <v>2.3169449524418306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1.71</v>
          </cell>
        </row>
        <row r="4">
          <cell r="C4">
            <v>139.5359</v>
          </cell>
        </row>
        <row r="5">
          <cell r="C5">
            <v>238.60638899999998</v>
          </cell>
        </row>
        <row r="7">
          <cell r="C7">
            <v>159.018847</v>
          </cell>
        </row>
        <row r="8">
          <cell r="C8">
            <v>0</v>
          </cell>
        </row>
        <row r="9">
          <cell r="C9">
            <v>79.58754199999998</v>
          </cell>
        </row>
        <row r="11">
          <cell r="C11">
            <v>6.931069880709094</v>
          </cell>
        </row>
        <row r="12">
          <cell r="C12">
            <v>3.0532572401807565</v>
          </cell>
        </row>
        <row r="13">
          <cell r="C13">
            <v>1.139626769885026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2.88</v>
          </cell>
        </row>
        <row r="4">
          <cell r="C4">
            <v>90.986368</v>
          </cell>
        </row>
        <row r="5">
          <cell r="C5">
            <v>262.04073984</v>
          </cell>
        </row>
        <row r="7">
          <cell r="C7">
            <v>102.63199999999999</v>
          </cell>
        </row>
        <row r="8">
          <cell r="C8">
            <v>0</v>
          </cell>
        </row>
        <row r="9">
          <cell r="C9">
            <v>159.40873984</v>
          </cell>
        </row>
        <row r="11">
          <cell r="C11">
            <v>2.2208755707709944</v>
          </cell>
        </row>
        <row r="12">
          <cell r="C12">
            <v>-0.22886264903784914</v>
          </cell>
        </row>
        <row r="13">
          <cell r="C13">
            <v>1.1279931516774029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10.94</v>
          </cell>
        </row>
        <row r="4">
          <cell r="C4">
            <v>21.601208</v>
          </cell>
        </row>
        <row r="5">
          <cell r="C5">
            <v>236.31721552</v>
          </cell>
        </row>
        <row r="7">
          <cell r="C7">
            <v>95.34778617329285</v>
          </cell>
        </row>
        <row r="8">
          <cell r="C8" t="str">
            <v>empty</v>
          </cell>
        </row>
        <row r="9">
          <cell r="C9">
            <v>140.96942934670716</v>
          </cell>
        </row>
        <row r="11">
          <cell r="C11">
            <v>4.414002502697666</v>
          </cell>
        </row>
        <row r="12">
          <cell r="C12">
            <v>-0.5965262794609081</v>
          </cell>
        </row>
        <row r="13">
          <cell r="C13">
            <v>4.414002502697666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3.15</v>
          </cell>
        </row>
        <row r="4">
          <cell r="C4">
            <v>71.849716</v>
          </cell>
        </row>
        <row r="5">
          <cell r="C5">
            <v>226.3266054</v>
          </cell>
        </row>
        <row r="7">
          <cell r="C7">
            <v>117.584444</v>
          </cell>
        </row>
        <row r="8">
          <cell r="C8">
            <v>0</v>
          </cell>
        </row>
        <row r="9">
          <cell r="C9">
            <v>108.7421614</v>
          </cell>
        </row>
        <row r="11">
          <cell r="C11">
            <v>4.6607217903431035</v>
          </cell>
        </row>
        <row r="12">
          <cell r="C12">
            <v>0.47959421915654077</v>
          </cell>
        </row>
        <row r="13">
          <cell r="C13">
            <v>1.6365331771109577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3.02</v>
          </cell>
        </row>
        <row r="4">
          <cell r="C4">
            <v>82.046255</v>
          </cell>
        </row>
        <row r="5">
          <cell r="C5">
            <v>247.7796901</v>
          </cell>
        </row>
        <row r="7">
          <cell r="C7">
            <v>234.2</v>
          </cell>
        </row>
        <row r="8">
          <cell r="C8">
            <v>0</v>
          </cell>
        </row>
        <row r="9">
          <cell r="C9">
            <v>13.579690100000022</v>
          </cell>
        </row>
        <row r="11">
          <cell r="C11">
            <v>7.0752174775018295</v>
          </cell>
        </row>
        <row r="12">
          <cell r="C12">
            <v>1.342787244205904</v>
          </cell>
        </row>
        <row r="13">
          <cell r="C13">
            <v>2.8544873864139197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2.72</v>
          </cell>
        </row>
        <row r="4">
          <cell r="C4">
            <v>80.174267</v>
          </cell>
        </row>
        <row r="5">
          <cell r="C5">
            <v>218.07400624000002</v>
          </cell>
        </row>
        <row r="7">
          <cell r="C7">
            <v>344.1</v>
          </cell>
        </row>
        <row r="8">
          <cell r="C8">
            <v>0</v>
          </cell>
        </row>
        <row r="9">
          <cell r="C9">
            <v>-126.02599376</v>
          </cell>
        </row>
        <row r="11">
          <cell r="C11">
            <v>0.1293629988217795</v>
          </cell>
        </row>
        <row r="12">
          <cell r="C12">
            <v>-0.952440073962581</v>
          </cell>
        </row>
        <row r="13">
          <cell r="C13">
            <v>4.291900791559467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3.97</v>
          </cell>
        </row>
        <row r="4">
          <cell r="C4">
            <v>56.234231</v>
          </cell>
        </row>
        <row r="5">
          <cell r="C5">
            <v>223.24989707</v>
          </cell>
        </row>
        <row r="7">
          <cell r="C7">
            <v>97.78617329284656</v>
          </cell>
        </row>
        <row r="8">
          <cell r="C8">
            <v>30.007061648188692</v>
          </cell>
        </row>
        <row r="9">
          <cell r="C9">
            <v>155.47078542534214</v>
          </cell>
        </row>
        <row r="11">
          <cell r="C11">
            <v>9.908607066338881</v>
          </cell>
        </row>
        <row r="12">
          <cell r="C12">
            <v>1.4958707975664685</v>
          </cell>
        </row>
        <row r="13">
          <cell r="C13">
            <v>1.2052998758826783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2.65</v>
          </cell>
        </row>
        <row r="4">
          <cell r="C4">
            <v>87.235986</v>
          </cell>
        </row>
        <row r="5">
          <cell r="C5">
            <v>231.17536289999998</v>
          </cell>
        </row>
        <row r="7">
          <cell r="C7">
            <v>33.81329002189111</v>
          </cell>
        </row>
        <row r="8">
          <cell r="C8">
            <v>20.922251253442553</v>
          </cell>
        </row>
        <row r="9">
          <cell r="C9">
            <v>218.28432413155144</v>
          </cell>
        </row>
        <row r="11">
          <cell r="C11">
            <v>3.356647505514884</v>
          </cell>
        </row>
        <row r="12">
          <cell r="C12">
            <v>0.2666594360433525</v>
          </cell>
        </row>
        <row r="13">
          <cell r="C13">
            <v>0.1477720303229972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8.62</v>
          </cell>
        </row>
        <row r="4">
          <cell r="C4">
            <v>29.769466</v>
          </cell>
        </row>
        <row r="5">
          <cell r="C5">
            <v>256.61279692</v>
          </cell>
        </row>
        <row r="7">
          <cell r="C7">
            <v>106.27</v>
          </cell>
        </row>
        <row r="8">
          <cell r="C8">
            <v>0</v>
          </cell>
        </row>
        <row r="9">
          <cell r="C9">
            <v>150.34279692</v>
          </cell>
        </row>
        <row r="11">
          <cell r="C11">
            <v>3.569765074052722</v>
          </cell>
        </row>
        <row r="12">
          <cell r="C12">
            <v>-0.5858741213395914</v>
          </cell>
        </row>
        <row r="13">
          <cell r="C13">
            <v>3.569765074052722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3.66</v>
          </cell>
        </row>
        <row r="4">
          <cell r="C4">
            <v>61.5746</v>
          </cell>
        </row>
        <row r="5">
          <cell r="C5">
            <v>225.363036</v>
          </cell>
        </row>
        <row r="7">
          <cell r="C7">
            <v>46.288</v>
          </cell>
        </row>
        <row r="8">
          <cell r="C8">
            <v>33.065</v>
          </cell>
        </row>
        <row r="9">
          <cell r="C9">
            <v>212.140036</v>
          </cell>
        </row>
        <row r="11">
          <cell r="C11">
            <v>0.5008361490304611</v>
          </cell>
        </row>
        <row r="12">
          <cell r="C12">
            <v>-0.8631595221228248</v>
          </cell>
        </row>
        <row r="13">
          <cell r="C13">
            <v>0.21474763944873373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5.28</v>
          </cell>
        </row>
        <row r="4">
          <cell r="C4">
            <v>45.896909</v>
          </cell>
        </row>
        <row r="5">
          <cell r="C5">
            <v>242.33567952</v>
          </cell>
        </row>
        <row r="7">
          <cell r="C7">
            <v>318.745</v>
          </cell>
        </row>
        <row r="8">
          <cell r="C8">
            <v>0</v>
          </cell>
        </row>
        <row r="9">
          <cell r="C9">
            <v>-76.40932047999999</v>
          </cell>
        </row>
        <row r="11">
          <cell r="C11">
            <v>23.841687872587148</v>
          </cell>
        </row>
        <row r="12">
          <cell r="C12">
            <v>3.5154711879899896</v>
          </cell>
        </row>
        <row r="13">
          <cell r="C13">
            <v>6.944803189251807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11.4</v>
          </cell>
        </row>
        <row r="4">
          <cell r="C4">
            <v>19.827188</v>
          </cell>
        </row>
        <row r="5">
          <cell r="C5">
            <v>226.0299432</v>
          </cell>
        </row>
        <row r="7">
          <cell r="C7">
            <v>257.606</v>
          </cell>
        </row>
        <row r="8">
          <cell r="C8">
            <v>0</v>
          </cell>
        </row>
        <row r="9">
          <cell r="C9">
            <v>-31.576056800000003</v>
          </cell>
        </row>
        <row r="11">
          <cell r="C11">
            <v>10.693096517910751</v>
          </cell>
        </row>
        <row r="12">
          <cell r="C12">
            <v>-0.062009077376249944</v>
          </cell>
        </row>
        <row r="13">
          <cell r="C13">
            <v>12.992563544563152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2.06</v>
          </cell>
        </row>
        <row r="4">
          <cell r="C4">
            <v>119.820514</v>
          </cell>
        </row>
        <row r="5">
          <cell r="C5">
            <v>246.83025884</v>
          </cell>
        </row>
        <row r="7">
          <cell r="C7">
            <v>153.76999999999998</v>
          </cell>
        </row>
        <row r="8">
          <cell r="C8">
            <v>0</v>
          </cell>
        </row>
        <row r="9">
          <cell r="C9">
            <v>93.06025884000002</v>
          </cell>
        </row>
        <row r="11">
          <cell r="C11">
            <v>3.956970508327031</v>
          </cell>
        </row>
        <row r="12">
          <cell r="C12">
            <v>0.9208594700616655</v>
          </cell>
        </row>
        <row r="13">
          <cell r="C13">
            <v>1.2833361739710112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16.24</v>
          </cell>
        </row>
        <row r="4">
          <cell r="C4">
            <v>14.678208</v>
          </cell>
        </row>
        <row r="5">
          <cell r="C5">
            <v>238.37409791999997</v>
          </cell>
        </row>
        <row r="7">
          <cell r="C7">
            <v>8.876353</v>
          </cell>
        </row>
        <row r="8">
          <cell r="C8">
            <v>0</v>
          </cell>
        </row>
        <row r="9">
          <cell r="C9">
            <v>229.49774491999997</v>
          </cell>
        </row>
        <row r="11">
          <cell r="C11">
            <v>99.20895477278412</v>
          </cell>
        </row>
        <row r="12">
          <cell r="C12">
            <v>5.108925786501486</v>
          </cell>
        </row>
        <row r="13">
          <cell r="C13">
            <v>0.6047300188142858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2.635</v>
          </cell>
        </row>
        <row r="4">
          <cell r="C4">
            <v>80.571642</v>
          </cell>
        </row>
        <row r="5">
          <cell r="C5">
            <v>212.30627667</v>
          </cell>
        </row>
        <row r="7">
          <cell r="C7">
            <v>27.42</v>
          </cell>
        </row>
        <row r="8">
          <cell r="C8">
            <v>0</v>
          </cell>
        </row>
        <row r="9">
          <cell r="C9">
            <v>184.88627666999997</v>
          </cell>
        </row>
        <row r="11">
          <cell r="C11">
            <v>1.4663877795737905</v>
          </cell>
        </row>
        <row r="12">
          <cell r="C12">
            <v>-0.44349609883347607</v>
          </cell>
        </row>
        <row r="13">
          <cell r="C13">
            <v>0.34031824745485517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3.49</v>
          </cell>
        </row>
        <row r="4">
          <cell r="C4">
            <v>63.700187</v>
          </cell>
        </row>
        <row r="5">
          <cell r="C5">
            <v>222.31365263</v>
          </cell>
        </row>
        <row r="7">
          <cell r="C7">
            <v>113.907</v>
          </cell>
        </row>
        <row r="8">
          <cell r="C8">
            <v>0</v>
          </cell>
        </row>
        <row r="9">
          <cell r="C9">
            <v>108.40665263000001</v>
          </cell>
        </row>
        <row r="11">
          <cell r="C11">
            <v>7.86943944037508</v>
          </cell>
        </row>
        <row r="12">
          <cell r="C12">
            <v>1.2548537078438624</v>
          </cell>
        </row>
        <row r="13">
          <cell r="C13">
            <v>1.7881737144664898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2.44</v>
          </cell>
        </row>
        <row r="4">
          <cell r="C4">
            <v>103.882937</v>
          </cell>
        </row>
        <row r="5">
          <cell r="C5">
            <v>253.47436628</v>
          </cell>
        </row>
        <row r="7">
          <cell r="C7">
            <v>156.267</v>
          </cell>
        </row>
        <row r="8">
          <cell r="C8">
            <v>0</v>
          </cell>
        </row>
        <row r="9">
          <cell r="C9">
            <v>97.20736628</v>
          </cell>
        </row>
        <row r="11">
          <cell r="C11">
            <v>3.5851209453949218</v>
          </cell>
        </row>
        <row r="12">
          <cell r="C12">
            <v>0.4693118628667712</v>
          </cell>
        </row>
        <row r="13">
          <cell r="C13">
            <v>1.5042605120030443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1.97</v>
          </cell>
        </row>
        <row r="4">
          <cell r="C4">
            <v>111.656919</v>
          </cell>
        </row>
        <row r="5">
          <cell r="C5">
            <v>219.96413043</v>
          </cell>
        </row>
        <row r="7">
          <cell r="C7">
            <v>172.798</v>
          </cell>
        </row>
        <row r="8">
          <cell r="C8">
            <v>9.848</v>
          </cell>
        </row>
        <row r="9">
          <cell r="C9">
            <v>57.01413043000001</v>
          </cell>
        </row>
        <row r="11">
          <cell r="C11">
            <v>2.938409529304567</v>
          </cell>
        </row>
        <row r="12">
          <cell r="C12">
            <v>0.49157844127135375</v>
          </cell>
        </row>
        <row r="13">
          <cell r="C13">
            <v>1.4593811244245418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2.72</v>
          </cell>
        </row>
        <row r="4">
          <cell r="C4">
            <v>63.18061</v>
          </cell>
        </row>
        <row r="5">
          <cell r="C5">
            <v>171.85125920000002</v>
          </cell>
        </row>
        <row r="7">
          <cell r="C7">
            <v>15.174128</v>
          </cell>
        </row>
        <row r="8">
          <cell r="C8">
            <v>21.499655999999998</v>
          </cell>
        </row>
        <row r="9">
          <cell r="C9">
            <v>178.1767872</v>
          </cell>
        </row>
        <row r="11">
          <cell r="C11">
            <v>-0.10011818499378208</v>
          </cell>
        </row>
        <row r="12">
          <cell r="C12">
            <v>-1.036808156247714</v>
          </cell>
        </row>
        <row r="13">
          <cell r="C13">
            <v>-0.10011818499378208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3.19</v>
          </cell>
        </row>
        <row r="4">
          <cell r="C4">
            <v>67.160362</v>
          </cell>
        </row>
        <row r="5">
          <cell r="C5">
            <v>214.24155478000003</v>
          </cell>
        </row>
        <row r="7">
          <cell r="C7">
            <v>3.017096</v>
          </cell>
        </row>
        <row r="8">
          <cell r="C8">
            <v>1.4425</v>
          </cell>
        </row>
        <row r="9">
          <cell r="C9">
            <v>212.66695878000002</v>
          </cell>
        </row>
        <row r="11">
          <cell r="C11">
            <v>0.0234453173435843</v>
          </cell>
        </row>
        <row r="12">
          <cell r="C12">
            <v>-0.9926503707386883</v>
          </cell>
        </row>
        <row r="13">
          <cell r="C13">
            <v>0.0234453173435843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9.7</v>
          </cell>
        </row>
        <row r="4">
          <cell r="C4">
            <v>24.505141</v>
          </cell>
        </row>
        <row r="5">
          <cell r="C5">
            <v>237.69986769999997</v>
          </cell>
        </row>
        <row r="7">
          <cell r="C7">
            <v>204.10199999999998</v>
          </cell>
        </row>
        <row r="8">
          <cell r="C8">
            <v>0</v>
          </cell>
        </row>
        <row r="9">
          <cell r="C9">
            <v>33.597867699999995</v>
          </cell>
        </row>
        <row r="11">
          <cell r="C11">
            <v>20.814900844457377</v>
          </cell>
        </row>
        <row r="12">
          <cell r="C12">
            <v>1.1458660664389049</v>
          </cell>
        </row>
        <row r="13">
          <cell r="C13">
            <v>8.32894615868564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6.395</v>
          </cell>
        </row>
        <row r="4">
          <cell r="C4">
            <v>30.255352</v>
          </cell>
        </row>
        <row r="5">
          <cell r="C5">
            <v>193.48297603999998</v>
          </cell>
        </row>
        <row r="7">
          <cell r="C7">
            <v>147.606</v>
          </cell>
        </row>
        <row r="8">
          <cell r="C8">
            <v>52.851</v>
          </cell>
        </row>
        <row r="9">
          <cell r="C9">
            <v>98.72797603999999</v>
          </cell>
        </row>
        <row r="11">
          <cell r="C11">
            <v>12.522490262797348</v>
          </cell>
        </row>
        <row r="12">
          <cell r="C12">
            <v>0.9581689230332053</v>
          </cell>
        </row>
        <row r="13">
          <cell r="C13">
            <v>3.1318425910232346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3.16</v>
          </cell>
        </row>
        <row r="4">
          <cell r="C4">
            <v>62.7532</v>
          </cell>
        </row>
        <row r="5">
          <cell r="C5">
            <v>198.300112</v>
          </cell>
        </row>
        <row r="7">
          <cell r="C7">
            <v>86.398</v>
          </cell>
        </row>
        <row r="8">
          <cell r="C8">
            <v>0</v>
          </cell>
        </row>
        <row r="9">
          <cell r="C9">
            <v>111.90211200000002</v>
          </cell>
        </row>
        <row r="11">
          <cell r="C11">
            <v>1.3767903469464504</v>
          </cell>
        </row>
        <row r="12">
          <cell r="C12">
            <v>-0.564306852232136</v>
          </cell>
        </row>
        <row r="13">
          <cell r="C13">
            <v>1.3767903469464504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2.14</v>
          </cell>
        </row>
        <row r="4">
          <cell r="C4">
            <v>94.553191</v>
          </cell>
        </row>
        <row r="5">
          <cell r="C5">
            <v>202.34382874000002</v>
          </cell>
        </row>
        <row r="7">
          <cell r="C7">
            <v>99.881</v>
          </cell>
        </row>
        <row r="8">
          <cell r="C8">
            <v>0</v>
          </cell>
        </row>
        <row r="9">
          <cell r="C9">
            <v>102.46282874000002</v>
          </cell>
        </row>
        <row r="11">
          <cell r="C11">
            <v>6.089539333120438</v>
          </cell>
        </row>
        <row r="12">
          <cell r="C12">
            <v>1.8455791276263729</v>
          </cell>
        </row>
        <row r="13">
          <cell r="C13">
            <v>1.0563472151881157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36.292113000000001</v>
          </cell>
        </row>
        <row r="7">
          <cell r="C7">
            <v>288.00699999999995</v>
          </cell>
        </row>
        <row r="8">
          <cell r="C8">
            <v>0</v>
          </cell>
        </row>
        <row r="11">
          <cell r="C11">
            <v>6.7806113550292677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7.41</v>
          </cell>
        </row>
        <row r="4">
          <cell r="C4">
            <v>24.225339</v>
          </cell>
        </row>
        <row r="5">
          <cell r="C5">
            <v>179.50976199000002</v>
          </cell>
        </row>
        <row r="7">
          <cell r="C7">
            <v>24.588</v>
          </cell>
        </row>
        <row r="8">
          <cell r="C8">
            <v>22.839</v>
          </cell>
        </row>
        <row r="9">
          <cell r="C9">
            <v>177.76076199000002</v>
          </cell>
        </row>
        <row r="11">
          <cell r="C11">
            <v>3.1292978824892494</v>
          </cell>
        </row>
        <row r="12">
          <cell r="C12">
            <v>-0.5776925934562416</v>
          </cell>
        </row>
        <row r="13">
          <cell r="C13">
            <v>0.0721971321020524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4.99</v>
          </cell>
        </row>
        <row r="4">
          <cell r="C4">
            <v>38.936669</v>
          </cell>
        </row>
        <row r="5">
          <cell r="C5">
            <v>194.29397831000003</v>
          </cell>
        </row>
        <row r="7">
          <cell r="C7">
            <v>223</v>
          </cell>
        </row>
        <row r="8">
          <cell r="C8">
            <v>0</v>
          </cell>
        </row>
        <row r="9">
          <cell r="C9">
            <v>-28.70602168999997</v>
          </cell>
        </row>
        <row r="11">
          <cell r="C11">
            <v>-1.7235945733638312</v>
          </cell>
        </row>
        <row r="12">
          <cell r="C12">
            <v>-1.3454097341410483</v>
          </cell>
        </row>
        <row r="13">
          <cell r="C13">
            <v>5.727249036120681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0.6181</v>
          </cell>
        </row>
        <row r="4">
          <cell r="C4">
            <v>277.106245</v>
          </cell>
        </row>
        <row r="5">
          <cell r="C5">
            <v>171.2793700345</v>
          </cell>
        </row>
        <row r="7">
          <cell r="C7">
            <v>155.548</v>
          </cell>
        </row>
        <row r="8">
          <cell r="C8">
            <v>49.563</v>
          </cell>
        </row>
        <row r="9">
          <cell r="C9">
            <v>65.2943700345</v>
          </cell>
        </row>
        <row r="11">
          <cell r="C11">
            <v>0.8979532044541487</v>
          </cell>
        </row>
        <row r="12">
          <cell r="C12">
            <v>0.45276363768669925</v>
          </cell>
        </row>
        <row r="13">
          <cell r="C13">
            <v>0.3824706296316057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2.255</v>
          </cell>
        </row>
        <row r="4">
          <cell r="C4">
            <v>81.261152</v>
          </cell>
        </row>
        <row r="5">
          <cell r="C5">
            <v>183.24389775999998</v>
          </cell>
        </row>
        <row r="7">
          <cell r="C7">
            <v>88.756</v>
          </cell>
        </row>
        <row r="8">
          <cell r="C8">
            <v>0</v>
          </cell>
        </row>
        <row r="9">
          <cell r="C9">
            <v>94.48789775999998</v>
          </cell>
        </row>
        <row r="11">
          <cell r="C11">
            <v>7.876954947333358</v>
          </cell>
        </row>
        <row r="12">
          <cell r="C12">
            <v>2.4931064067997153</v>
          </cell>
        </row>
        <row r="13">
          <cell r="C13">
            <v>1.092231623789926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0.6366</v>
          </cell>
        </row>
        <row r="4">
          <cell r="C4">
            <v>294.758746</v>
          </cell>
        </row>
        <row r="5">
          <cell r="C5">
            <v>187.6434177036</v>
          </cell>
        </row>
        <row r="7">
          <cell r="C7">
            <v>160.08</v>
          </cell>
        </row>
        <row r="8">
          <cell r="C8">
            <v>0</v>
          </cell>
        </row>
        <row r="9">
          <cell r="C9">
            <v>27.56341770359998</v>
          </cell>
        </row>
        <row r="11">
          <cell r="C11">
            <v>-0.4244927800833068</v>
          </cell>
        </row>
        <row r="12">
          <cell r="C12">
            <v>-1.6668124098072679</v>
          </cell>
        </row>
        <row r="13">
          <cell r="C13">
            <v>0.5430882108583812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11.54</v>
          </cell>
        </row>
        <row r="4">
          <cell r="C4">
            <v>16.581171</v>
          </cell>
        </row>
        <row r="5">
          <cell r="C5">
            <v>191.34671334</v>
          </cell>
        </row>
        <row r="7">
          <cell r="C7">
            <v>164.346</v>
          </cell>
        </row>
        <row r="8">
          <cell r="C8">
            <v>0</v>
          </cell>
        </row>
        <row r="9">
          <cell r="C9">
            <v>27.000713340000004</v>
          </cell>
        </row>
        <row r="11">
          <cell r="C11">
            <v>-10.846626328573048</v>
          </cell>
        </row>
        <row r="12">
          <cell r="C12">
            <v>-1.939915626392812</v>
          </cell>
        </row>
        <row r="13">
          <cell r="C13">
            <v>9.9116039512529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2.875</v>
          </cell>
        </row>
        <row r="4">
          <cell r="C4">
            <v>69.259517</v>
          </cell>
        </row>
        <row r="5">
          <cell r="C5">
            <v>199.121111375</v>
          </cell>
        </row>
        <row r="7">
          <cell r="C7">
            <v>117.238</v>
          </cell>
        </row>
        <row r="8">
          <cell r="C8">
            <v>0</v>
          </cell>
        </row>
        <row r="9">
          <cell r="C9">
            <v>81.883111375</v>
          </cell>
        </row>
        <row r="11">
          <cell r="C11">
            <v>2.0585831789579787</v>
          </cell>
        </row>
        <row r="12">
          <cell r="C12">
            <v>-0.28397106818852913</v>
          </cell>
        </row>
        <row r="13">
          <cell r="C13">
            <v>1.6927348771433102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1.53</v>
          </cell>
        </row>
        <row r="4">
          <cell r="C4">
            <v>127.667695</v>
          </cell>
        </row>
        <row r="5">
          <cell r="C5">
            <v>195.33157334999999</v>
          </cell>
        </row>
        <row r="7">
          <cell r="C7">
            <v>219.107</v>
          </cell>
        </row>
        <row r="8">
          <cell r="C8">
            <v>116.61699999999999</v>
          </cell>
        </row>
        <row r="9">
          <cell r="C9">
            <v>92.84157334999998</v>
          </cell>
        </row>
        <row r="11">
          <cell r="C11">
            <v>-0.6808419620080275</v>
          </cell>
        </row>
        <row r="12">
          <cell r="C12">
            <v>-1.4449947464104755</v>
          </cell>
        </row>
        <row r="13">
          <cell r="C13">
            <v>0.8027872673662669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65.81</v>
          </cell>
        </row>
        <row r="4">
          <cell r="C4">
            <v>2.786158</v>
          </cell>
        </row>
        <row r="5">
          <cell r="C5">
            <v>183.35705798</v>
          </cell>
        </row>
        <row r="7">
          <cell r="C7">
            <v>23.999</v>
          </cell>
        </row>
        <row r="8">
          <cell r="C8">
            <v>0</v>
          </cell>
        </row>
        <row r="9">
          <cell r="C9">
            <v>159.35805798</v>
          </cell>
        </row>
        <row r="11">
          <cell r="C11">
            <v>76.87493956711661</v>
          </cell>
        </row>
        <row r="12">
          <cell r="C12">
            <v>0.16813462341766616</v>
          </cell>
        </row>
        <row r="13">
          <cell r="C13">
            <v>8.613653640604733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8.58</v>
          </cell>
        </row>
        <row r="4">
          <cell r="C4">
            <v>21.777868</v>
          </cell>
        </row>
        <row r="5">
          <cell r="C5">
            <v>186.85410744</v>
          </cell>
        </row>
        <row r="7">
          <cell r="C7">
            <v>41.384287</v>
          </cell>
        </row>
        <row r="8">
          <cell r="C8">
            <v>0</v>
          </cell>
        </row>
        <row r="9">
          <cell r="C9">
            <v>145.46982044</v>
          </cell>
        </row>
        <row r="11">
          <cell r="C11">
            <v>2.752094875419883</v>
          </cell>
        </row>
        <row r="12">
          <cell r="C12">
            <v>-0.6792430215128342</v>
          </cell>
        </row>
        <row r="13">
          <cell r="C13">
            <v>1.9002910202229162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4.15</v>
          </cell>
        </row>
        <row r="4">
          <cell r="C4">
            <v>45.212399</v>
          </cell>
        </row>
        <row r="5">
          <cell r="C5">
            <v>187.63145585</v>
          </cell>
        </row>
        <row r="7">
          <cell r="C7">
            <v>268.3</v>
          </cell>
        </row>
        <row r="8">
          <cell r="C8">
            <v>0</v>
          </cell>
        </row>
        <row r="9">
          <cell r="C9">
            <v>-80.66854415</v>
          </cell>
        </row>
        <row r="11">
          <cell r="C11">
            <v>6.673850321816321</v>
          </cell>
        </row>
        <row r="12">
          <cell r="C12">
            <v>0.6081567040521254</v>
          </cell>
        </row>
        <row r="13">
          <cell r="C13">
            <v>5.9342128693502865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4.15</v>
          </cell>
        </row>
        <row r="4">
          <cell r="C4">
            <v>41.597354</v>
          </cell>
        </row>
        <row r="5">
          <cell r="C5">
            <v>172.62901910000002</v>
          </cell>
        </row>
        <row r="7">
          <cell r="C7">
            <v>16.090999999999998</v>
          </cell>
        </row>
        <row r="8">
          <cell r="C8">
            <v>0</v>
          </cell>
        </row>
        <row r="9">
          <cell r="C9">
            <v>156.5380191</v>
          </cell>
        </row>
        <row r="11">
          <cell r="C11">
            <v>37.521287382075066</v>
          </cell>
        </row>
        <row r="12">
          <cell r="C12">
            <v>8.041274067969894</v>
          </cell>
        </row>
        <row r="13">
          <cell r="C13">
            <v>0.3868274890753868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3.19</v>
          </cell>
        </row>
        <row r="4">
          <cell r="C4">
            <v>57.00901</v>
          </cell>
        </row>
        <row r="5">
          <cell r="C5">
            <v>181.8587419</v>
          </cell>
        </row>
        <row r="7">
          <cell r="C7">
            <v>189.982</v>
          </cell>
        </row>
        <row r="8">
          <cell r="C8">
            <v>0</v>
          </cell>
        </row>
        <row r="9">
          <cell r="C9">
            <v>-8.123258099999987</v>
          </cell>
        </row>
        <row r="11">
          <cell r="C11">
            <v>-0.17839337420395632</v>
          </cell>
        </row>
        <row r="12">
          <cell r="C12">
            <v>-1.0559226878382308</v>
          </cell>
        </row>
        <row r="13">
          <cell r="C13">
            <v>3.3324907764579668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8.46</v>
          </cell>
        </row>
        <row r="4">
          <cell r="C4">
            <v>23.099173</v>
          </cell>
        </row>
        <row r="5">
          <cell r="C5">
            <v>195.41900358</v>
          </cell>
        </row>
        <row r="7">
          <cell r="C7">
            <v>236.55100000000002</v>
          </cell>
        </row>
        <row r="8">
          <cell r="C8">
            <v>0</v>
          </cell>
        </row>
        <row r="9">
          <cell r="C9">
            <v>-41.13199642000001</v>
          </cell>
        </row>
        <row r="11">
          <cell r="C11">
            <v>18.558725921734332</v>
          </cell>
        </row>
        <row r="12">
          <cell r="C12">
            <v>1.1937028276281714</v>
          </cell>
        </row>
        <row r="13">
          <cell r="C13">
            <v>10.240669655143066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6.56</v>
          </cell>
        </row>
        <row r="4">
          <cell r="C4">
            <v>27.601554</v>
          </cell>
        </row>
        <row r="5">
          <cell r="C5">
            <v>181.06619424</v>
          </cell>
        </row>
        <row r="7">
          <cell r="C7">
            <v>87.54899999999999</v>
          </cell>
        </row>
        <row r="8">
          <cell r="C8">
            <v>22.421</v>
          </cell>
        </row>
        <row r="9">
          <cell r="C9">
            <v>115.93819424</v>
          </cell>
        </row>
        <row r="11">
          <cell r="C11">
            <v>10.468599380116359</v>
          </cell>
        </row>
        <row r="12">
          <cell r="C12">
            <v>0.5958230762372501</v>
          </cell>
        </row>
        <row r="13">
          <cell r="C13">
            <v>2.3595772904670507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0.8333</v>
          </cell>
        </row>
        <row r="4">
          <cell r="C4">
            <v>180.087915</v>
          </cell>
        </row>
        <row r="5">
          <cell r="C5">
            <v>150.0672595695</v>
          </cell>
        </row>
        <row r="7">
          <cell r="C7">
            <v>179.879</v>
          </cell>
        </row>
        <row r="8">
          <cell r="C8">
            <v>0</v>
          </cell>
        </row>
        <row r="9">
          <cell r="C9">
            <v>-29.81174043049998</v>
          </cell>
        </row>
        <row r="11">
          <cell r="C11">
            <v>3.4947553722147444</v>
          </cell>
        </row>
        <row r="12">
          <cell r="C12">
            <v>3.193874201625758</v>
          </cell>
        </row>
        <row r="13">
          <cell r="C13">
            <v>0.998839927709752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</v>
          </cell>
        </row>
        <row r="4">
          <cell r="C4">
            <v>154.500966</v>
          </cell>
        </row>
        <row r="5">
          <cell r="C5">
            <v>154.500966</v>
          </cell>
        </row>
        <row r="7">
          <cell r="C7">
            <v>105.306</v>
          </cell>
        </row>
        <row r="8">
          <cell r="C8">
            <v>0</v>
          </cell>
        </row>
        <row r="9">
          <cell r="C9">
            <v>49.19496600000001</v>
          </cell>
        </row>
        <row r="11">
          <cell r="C11">
            <v>-1.2139637571779212</v>
          </cell>
        </row>
        <row r="12">
          <cell r="C12">
            <v>-2.213963757177921</v>
          </cell>
        </row>
        <row r="13">
          <cell r="C13">
            <v>0.6815879714305475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1.38</v>
          </cell>
        </row>
        <row r="4">
          <cell r="C4">
            <v>105.361064</v>
          </cell>
        </row>
        <row r="5">
          <cell r="C5">
            <v>145.39826832</v>
          </cell>
        </row>
        <row r="7">
          <cell r="C7">
            <v>103.99257300399482</v>
          </cell>
        </row>
        <row r="8">
          <cell r="C8">
            <v>5.482473414730208</v>
          </cell>
        </row>
        <row r="9">
          <cell r="C9">
            <v>46.88816873073539</v>
          </cell>
        </row>
        <row r="11">
          <cell r="C11">
            <v>1.35320853954196</v>
          </cell>
        </row>
        <row r="12">
          <cell r="C12">
            <v>-0.01941410178118841</v>
          </cell>
        </row>
        <row r="13">
          <cell r="C13">
            <v>0.9349763171456261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2.39</v>
          </cell>
        </row>
        <row r="4">
          <cell r="C4">
            <v>71.671914</v>
          </cell>
        </row>
        <row r="5">
          <cell r="C5">
            <v>171.29587446000002</v>
          </cell>
        </row>
        <row r="7">
          <cell r="C7">
            <v>174.608</v>
          </cell>
        </row>
        <row r="8">
          <cell r="C8">
            <v>0</v>
          </cell>
        </row>
        <row r="9">
          <cell r="C9">
            <v>-3.3121255399999825</v>
          </cell>
        </row>
        <row r="11">
          <cell r="C11">
            <v>8.44143007166326</v>
          </cell>
        </row>
        <row r="12">
          <cell r="C12">
            <v>2.5319791094825357</v>
          </cell>
        </row>
        <row r="13">
          <cell r="C13">
            <v>2.4362123216075964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12.1</v>
          </cell>
        </row>
        <row r="4">
          <cell r="C4">
            <v>12.835148</v>
          </cell>
        </row>
        <row r="5">
          <cell r="C5">
            <v>155.3052908</v>
          </cell>
        </row>
        <row r="7">
          <cell r="C7">
            <v>53.14</v>
          </cell>
        </row>
        <row r="8">
          <cell r="C8">
            <v>0</v>
          </cell>
        </row>
        <row r="9">
          <cell r="C9">
            <v>102.1652908</v>
          </cell>
        </row>
        <row r="11">
          <cell r="C11">
            <v>5.465373620335687</v>
          </cell>
        </row>
        <row r="12">
          <cell r="C12">
            <v>-0.5483162297243234</v>
          </cell>
        </row>
        <row r="13">
          <cell r="C13">
            <v>4.140193786624042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7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31.03</v>
          </cell>
        </row>
        <row r="4">
          <cell r="C4">
            <v>4.681351</v>
          </cell>
        </row>
        <row r="5">
          <cell r="C5">
            <v>145.26232153</v>
          </cell>
        </row>
        <row r="7">
          <cell r="C7">
            <v>1.391</v>
          </cell>
        </row>
        <row r="8">
          <cell r="C8">
            <v>0</v>
          </cell>
        </row>
        <row r="9">
          <cell r="C9">
            <v>143.87132153000002</v>
          </cell>
        </row>
        <row r="11">
          <cell r="C11">
            <v>0.2971364462950973</v>
          </cell>
        </row>
        <row r="12">
          <cell r="C12">
            <v>-0.9904242202289688</v>
          </cell>
        </row>
        <row r="13">
          <cell r="C13">
            <v>0.2971364462950973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7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2.82</v>
          </cell>
        </row>
        <row r="4">
          <cell r="C4">
            <v>54.771041</v>
          </cell>
        </row>
        <row r="5">
          <cell r="C5">
            <v>154.45433562</v>
          </cell>
        </row>
        <row r="7">
          <cell r="C7">
            <v>261.307</v>
          </cell>
        </row>
        <row r="8">
          <cell r="C8">
            <v>0</v>
          </cell>
        </row>
        <row r="9">
          <cell r="C9">
            <v>-106.85266438000002</v>
          </cell>
        </row>
        <row r="11">
          <cell r="C11">
            <v>4.1307228298101855</v>
          </cell>
        </row>
        <row r="12">
          <cell r="C12">
            <v>0.4647953297199241</v>
          </cell>
        </row>
        <row r="13">
          <cell r="C13">
            <v>4.770897087751172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8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1.86</v>
          </cell>
        </row>
        <row r="4">
          <cell r="C4">
            <v>76.027667</v>
          </cell>
        </row>
        <row r="5">
          <cell r="C5">
            <v>141.41146061999999</v>
          </cell>
        </row>
        <row r="7">
          <cell r="C7">
            <v>1.175</v>
          </cell>
        </row>
        <row r="8">
          <cell r="C8">
            <v>17.459</v>
          </cell>
        </row>
        <row r="9">
          <cell r="C9">
            <v>157.69546061999998</v>
          </cell>
        </row>
        <row r="11">
          <cell r="C11">
            <v>-0.21418518603234268</v>
          </cell>
        </row>
        <row r="12">
          <cell r="C12">
            <v>-1.1151533258238402</v>
          </cell>
        </row>
        <row r="13">
          <cell r="C13">
            <v>-0.21418518603234268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8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1.84</v>
          </cell>
        </row>
        <row r="4">
          <cell r="C4">
            <v>83.40805</v>
          </cell>
        </row>
        <row r="5">
          <cell r="C5">
            <v>153.47081200000002</v>
          </cell>
        </row>
        <row r="7">
          <cell r="C7">
            <v>32.996</v>
          </cell>
        </row>
        <row r="8">
          <cell r="C8">
            <v>0</v>
          </cell>
        </row>
        <row r="9">
          <cell r="C9">
            <v>120.47481200000001</v>
          </cell>
        </row>
        <row r="11">
          <cell r="C11">
            <v>-1.5590410320552592</v>
          </cell>
        </row>
        <row r="12">
          <cell r="C12">
            <v>-1.8473049087256843</v>
          </cell>
        </row>
        <row r="13">
          <cell r="C13">
            <v>0.3955973074541366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8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1.73</v>
          </cell>
        </row>
        <row r="4">
          <cell r="C4">
            <v>79.681361</v>
          </cell>
        </row>
        <row r="5">
          <cell r="C5">
            <v>137.84875452999998</v>
          </cell>
        </row>
        <row r="7">
          <cell r="C7">
            <v>37.241568</v>
          </cell>
        </row>
        <row r="8">
          <cell r="C8">
            <v>0</v>
          </cell>
        </row>
        <row r="9">
          <cell r="C9">
            <v>100.60718652999998</v>
          </cell>
        </row>
        <row r="11">
          <cell r="C11">
            <v>0.46738117337127316</v>
          </cell>
        </row>
        <row r="12">
          <cell r="C12">
            <v>-0.7298374720397265</v>
          </cell>
        </row>
        <row r="13">
          <cell r="C13">
            <v>0.46738117337127316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8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1.14</v>
          </cell>
        </row>
        <row r="4">
          <cell r="C4">
            <v>138.276997</v>
          </cell>
        </row>
        <row r="5">
          <cell r="C5">
            <v>157.63577657999997</v>
          </cell>
        </row>
        <row r="7">
          <cell r="C7">
            <v>138.229</v>
          </cell>
        </row>
        <row r="8">
          <cell r="C8">
            <v>9.705</v>
          </cell>
        </row>
        <row r="9">
          <cell r="C9">
            <v>29.111776579999955</v>
          </cell>
        </row>
        <row r="11">
          <cell r="C11">
            <v>5.164039542941268</v>
          </cell>
        </row>
        <row r="12">
          <cell r="C12">
            <v>3.5298592481940947</v>
          </cell>
        </row>
        <row r="13">
          <cell r="C13">
            <v>0.9294676829002875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8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1.425</v>
          </cell>
        </row>
        <row r="4">
          <cell r="C4">
            <v>115.38169173913043</v>
          </cell>
        </row>
        <row r="5">
          <cell r="C5">
            <v>164.41891072826087</v>
          </cell>
        </row>
        <row r="7">
          <cell r="C7">
            <v>210.842</v>
          </cell>
        </row>
        <row r="8">
          <cell r="C8">
            <v>0</v>
          </cell>
        </row>
        <row r="9">
          <cell r="C9">
            <v>-46.423089271739144</v>
          </cell>
        </row>
        <row r="11">
          <cell r="C11">
            <v>1.8273436350430565</v>
          </cell>
        </row>
        <row r="12">
          <cell r="C12">
            <v>0.28234641055653076</v>
          </cell>
        </row>
        <row r="13">
          <cell r="C13">
            <v>1.8273436350430565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8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4.92</v>
          </cell>
        </row>
        <row r="4">
          <cell r="C4">
            <v>31.364812</v>
          </cell>
        </row>
        <row r="5">
          <cell r="C5">
            <v>154.31487504</v>
          </cell>
        </row>
        <row r="7">
          <cell r="C7">
            <v>2.938463</v>
          </cell>
        </row>
        <row r="8">
          <cell r="C8">
            <v>0</v>
          </cell>
        </row>
        <row r="9">
          <cell r="C9">
            <v>151.37641204</v>
          </cell>
        </row>
        <row r="11">
          <cell r="C11">
            <v>0.09368661288325274</v>
          </cell>
        </row>
        <row r="12">
          <cell r="C12">
            <v>-0.980958005511534</v>
          </cell>
        </row>
        <row r="13">
          <cell r="C13">
            <v>0.09368661288325274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8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</v>
          </cell>
        </row>
        <row r="4">
          <cell r="C4">
            <v>40.374641</v>
          </cell>
        </row>
        <row r="5">
          <cell r="C5">
            <v>149.3861717</v>
          </cell>
        </row>
        <row r="7">
          <cell r="C7">
            <v>112.93994854119133</v>
          </cell>
        </row>
        <row r="8">
          <cell r="C8" t="str">
            <v>empty</v>
          </cell>
        </row>
        <row r="9">
          <cell r="C9">
            <v>36.44622315880868</v>
          </cell>
        </row>
        <row r="11">
          <cell r="C11">
            <v>-0.4398169439972675</v>
          </cell>
        </row>
        <row r="12">
          <cell r="C12">
            <v>-1.1188694443235858</v>
          </cell>
        </row>
        <row r="13">
          <cell r="C13">
            <v>2.7972991398534375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8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5.22</v>
          </cell>
        </row>
        <row r="4">
          <cell r="C4">
            <v>28.224395</v>
          </cell>
        </row>
        <row r="5">
          <cell r="C5">
            <v>147.3313419</v>
          </cell>
        </row>
        <row r="7">
          <cell r="C7">
            <v>25.643</v>
          </cell>
        </row>
        <row r="8">
          <cell r="C8">
            <v>25.472</v>
          </cell>
        </row>
        <row r="9">
          <cell r="C9">
            <v>147.16034190000002</v>
          </cell>
        </row>
        <row r="11">
          <cell r="C11">
            <v>3.182176788448425</v>
          </cell>
        </row>
        <row r="12">
          <cell r="C12">
            <v>-0.390387588419842</v>
          </cell>
        </row>
        <row r="13">
          <cell r="C13">
            <v>0.006058588678340116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1.578</v>
          </cell>
        </row>
        <row r="4">
          <cell r="C4">
            <v>93.719323</v>
          </cell>
        </row>
        <row r="5">
          <cell r="C5">
            <v>147.889091694</v>
          </cell>
        </row>
        <row r="7">
          <cell r="C7">
            <v>38.609126202666964</v>
          </cell>
        </row>
        <row r="8">
          <cell r="C8" t="str">
            <v>empty</v>
          </cell>
        </row>
        <row r="9">
          <cell r="C9">
            <v>109.27996549133303</v>
          </cell>
        </row>
        <row r="11">
          <cell r="C11">
            <v>8.856109111936965</v>
          </cell>
        </row>
        <row r="12">
          <cell r="C12">
            <v>4.612236446094401</v>
          </cell>
        </row>
        <row r="13">
          <cell r="C13">
            <v>0.41196548338987643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8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2.56</v>
          </cell>
        </row>
        <row r="4">
          <cell r="C4">
            <v>59.095488</v>
          </cell>
        </row>
        <row r="5">
          <cell r="C5">
            <v>151.28444928000002</v>
          </cell>
        </row>
        <row r="7">
          <cell r="C7">
            <v>142.494</v>
          </cell>
        </row>
        <row r="8">
          <cell r="C8">
            <v>0</v>
          </cell>
        </row>
        <row r="9">
          <cell r="C9">
            <v>8.790449280000018</v>
          </cell>
        </row>
        <row r="11">
          <cell r="C11">
            <v>10.008688962409963</v>
          </cell>
        </row>
        <row r="12">
          <cell r="C12">
            <v>2.9096441259413917</v>
          </cell>
        </row>
        <row r="13">
          <cell r="C13">
            <v>2.4112500771632512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9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7.98</v>
          </cell>
        </row>
        <row r="4">
          <cell r="C4">
            <v>17.105643</v>
          </cell>
        </row>
        <row r="5">
          <cell r="C5">
            <v>136.50303114000002</v>
          </cell>
        </row>
        <row r="7">
          <cell r="C7">
            <v>263.9</v>
          </cell>
        </row>
        <row r="8">
          <cell r="C8">
            <v>0</v>
          </cell>
        </row>
        <row r="9">
          <cell r="C9">
            <v>-127.39696885999996</v>
          </cell>
        </row>
        <row r="11">
          <cell r="C11">
            <v>21.69641903068182</v>
          </cell>
        </row>
        <row r="12">
          <cell r="C12">
            <v>1.7188495025917065</v>
          </cell>
        </row>
        <row r="13">
          <cell r="C13">
            <v>15.427657411066042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9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1.74</v>
          </cell>
        </row>
        <row r="4">
          <cell r="C4">
            <v>71.624791</v>
          </cell>
        </row>
        <row r="5">
          <cell r="C5">
            <v>124.62713634</v>
          </cell>
        </row>
        <row r="7">
          <cell r="C7">
            <v>182.764</v>
          </cell>
        </row>
        <row r="8">
          <cell r="C8">
            <v>0</v>
          </cell>
        </row>
        <row r="9">
          <cell r="C9">
            <v>-58.13686366</v>
          </cell>
        </row>
        <row r="11">
          <cell r="C11">
            <v>3.02941519898563</v>
          </cell>
        </row>
        <row r="12">
          <cell r="C12">
            <v>0.7410432178078332</v>
          </cell>
        </row>
        <row r="13">
          <cell r="C13">
            <v>2.551686328829916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9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1.02</v>
          </cell>
        </row>
        <row r="4">
          <cell r="C4">
            <v>128.674548</v>
          </cell>
        </row>
        <row r="5">
          <cell r="C5">
            <v>131.24803896</v>
          </cell>
        </row>
        <row r="7">
          <cell r="C7">
            <v>46.097</v>
          </cell>
        </row>
        <row r="8">
          <cell r="C8">
            <v>0</v>
          </cell>
        </row>
        <row r="9">
          <cell r="C9">
            <v>85.15103896</v>
          </cell>
        </row>
        <row r="11">
          <cell r="C11">
            <v>2.926079227421127</v>
          </cell>
        </row>
        <row r="12">
          <cell r="C12">
            <v>1.8687051249226734</v>
          </cell>
        </row>
        <row r="13">
          <cell r="C13">
            <v>0.3582448954862465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9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3.56</v>
          </cell>
        </row>
        <row r="4">
          <cell r="C4">
            <v>37.736237</v>
          </cell>
        </row>
        <row r="5">
          <cell r="C5">
            <v>134.34100372</v>
          </cell>
        </row>
        <row r="7">
          <cell r="C7">
            <v>78.387</v>
          </cell>
        </row>
        <row r="8">
          <cell r="C8">
            <v>0</v>
          </cell>
        </row>
        <row r="9">
          <cell r="C9">
            <v>55.95400372</v>
          </cell>
        </row>
        <row r="11">
          <cell r="C11">
            <v>2.0772341449943723</v>
          </cell>
        </row>
        <row r="12">
          <cell r="C12">
            <v>-0.4165072626420303</v>
          </cell>
        </row>
        <row r="13">
          <cell r="C13">
            <v>2.0772341449943723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9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1.54</v>
          </cell>
        </row>
        <row r="4">
          <cell r="C4">
            <v>79.649257</v>
          </cell>
        </row>
        <row r="5">
          <cell r="C5">
            <v>122.65985578000002</v>
          </cell>
        </row>
        <row r="7">
          <cell r="C7">
            <v>15.585057552432739</v>
          </cell>
        </row>
        <row r="8">
          <cell r="C8" t="str">
            <v>empty</v>
          </cell>
        </row>
        <row r="9">
          <cell r="C9">
            <v>107.07479822756727</v>
          </cell>
        </row>
        <row r="11">
          <cell r="C11">
            <v>0.19567109775340072</v>
          </cell>
        </row>
        <row r="12">
          <cell r="C12">
            <v>-0.8729408456146749</v>
          </cell>
        </row>
        <row r="13">
          <cell r="C13">
            <v>0.19567109775340072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9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3.18</v>
          </cell>
        </row>
        <row r="4">
          <cell r="C4">
            <v>37.181979</v>
          </cell>
        </row>
        <row r="5">
          <cell r="C5">
            <v>118.23869322</v>
          </cell>
        </row>
        <row r="7">
          <cell r="C7">
            <v>23.952</v>
          </cell>
        </row>
        <row r="8">
          <cell r="C8">
            <v>205.928</v>
          </cell>
        </row>
        <row r="9">
          <cell r="C9">
            <v>300.21469322</v>
          </cell>
        </row>
        <row r="11">
          <cell r="C11">
            <v>-4.8941988805921275</v>
          </cell>
        </row>
        <row r="12">
          <cell r="C12">
            <v>-2.539056251758531</v>
          </cell>
        </row>
        <row r="13">
          <cell r="C13">
            <v>-4.8941988805921275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39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9.44</v>
          </cell>
        </row>
        <row r="4">
          <cell r="C4">
            <v>14.725646</v>
          </cell>
        </row>
        <row r="5">
          <cell r="C5">
            <v>139.01009824</v>
          </cell>
        </row>
        <row r="7">
          <cell r="C7">
            <v>115.036</v>
          </cell>
        </row>
        <row r="8">
          <cell r="C8">
            <v>0</v>
          </cell>
        </row>
        <row r="9">
          <cell r="C9">
            <v>23.97409823999999</v>
          </cell>
        </row>
        <row r="11">
          <cell r="C11">
            <v>-6.2424149362704835</v>
          </cell>
        </row>
        <row r="12">
          <cell r="C12">
            <v>-1.661272768672721</v>
          </cell>
        </row>
        <row r="13">
          <cell r="C13">
            <v>7.811949302597659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9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2.015</v>
          </cell>
        </row>
        <row r="4">
          <cell r="C4">
            <v>72.317285</v>
          </cell>
        </row>
        <row r="5">
          <cell r="C5">
            <v>145.719329275</v>
          </cell>
        </row>
        <row r="7">
          <cell r="C7">
            <v>110.197</v>
          </cell>
        </row>
        <row r="8">
          <cell r="C8">
            <v>31.569</v>
          </cell>
        </row>
        <row r="9">
          <cell r="C9">
            <v>67.091329275</v>
          </cell>
        </row>
        <row r="11">
          <cell r="C11">
            <v>3.862451693722289</v>
          </cell>
        </row>
        <row r="12">
          <cell r="C12">
            <v>0.916849475792699</v>
          </cell>
        </row>
        <row r="13">
          <cell r="C13">
            <v>1.0872642688397387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9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1.36</v>
          </cell>
        </row>
        <row r="4">
          <cell r="C4">
            <v>92.696842</v>
          </cell>
        </row>
        <row r="5">
          <cell r="C5">
            <v>126.06770512000001</v>
          </cell>
        </row>
        <row r="7">
          <cell r="C7">
            <v>118.326</v>
          </cell>
        </row>
        <row r="8">
          <cell r="C8">
            <v>0</v>
          </cell>
        </row>
        <row r="9">
          <cell r="C9">
            <v>7.74170512000002</v>
          </cell>
        </row>
        <row r="11">
          <cell r="C11">
            <v>4.175861288010105</v>
          </cell>
        </row>
        <row r="12">
          <cell r="C12">
            <v>2.0704862411839007</v>
          </cell>
        </row>
        <row r="13">
          <cell r="C13">
            <v>1.2764836152670658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39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17.04</v>
          </cell>
        </row>
        <row r="4">
          <cell r="C4">
            <v>7.264414</v>
          </cell>
        </row>
        <row r="5">
          <cell r="C5">
            <v>123.78561456</v>
          </cell>
        </row>
        <row r="7">
          <cell r="C7">
            <v>17.392</v>
          </cell>
        </row>
        <row r="8">
          <cell r="C8">
            <v>0</v>
          </cell>
        </row>
        <row r="9">
          <cell r="C9">
            <v>106.39361456</v>
          </cell>
        </row>
        <row r="11">
          <cell r="C11">
            <v>-16.706764154425343</v>
          </cell>
        </row>
        <row r="12">
          <cell r="C12">
            <v>-1.9804439057761352</v>
          </cell>
        </row>
        <row r="13">
          <cell r="C13">
            <v>2.3941366777829565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0.406</v>
          </cell>
        </row>
        <row r="4">
          <cell r="C4">
            <v>277.798105</v>
          </cell>
        </row>
        <row r="5">
          <cell r="C5">
            <v>112.78603063000001</v>
          </cell>
        </row>
        <row r="7">
          <cell r="C7">
            <v>79.903</v>
          </cell>
        </row>
        <row r="8">
          <cell r="C8">
            <v>36.324</v>
          </cell>
        </row>
        <row r="9">
          <cell r="C9">
            <v>69.20703063</v>
          </cell>
        </row>
        <row r="11">
          <cell r="C11">
            <v>4.419576116535055</v>
          </cell>
        </row>
        <row r="12">
          <cell r="C12">
            <v>9.885655459445946</v>
          </cell>
        </row>
        <row r="13">
          <cell r="C13">
            <v>0.1568729203534344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0.52</v>
          </cell>
        </row>
        <row r="4">
          <cell r="C4">
            <v>243.447554</v>
          </cell>
        </row>
        <row r="5">
          <cell r="C5">
            <v>126.59272808</v>
          </cell>
        </row>
        <row r="7">
          <cell r="C7">
            <v>11.242068</v>
          </cell>
        </row>
        <row r="8">
          <cell r="C8">
            <v>0</v>
          </cell>
        </row>
        <row r="9">
          <cell r="C9">
            <v>115.35066008</v>
          </cell>
        </row>
        <row r="11">
          <cell r="C11">
            <v>5.093724960684655</v>
          </cell>
        </row>
        <row r="12">
          <cell r="C12">
            <v>8.795624924393568</v>
          </cell>
        </row>
        <row r="13">
          <cell r="C13">
            <v>0.04617860321570534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2.19</v>
          </cell>
        </row>
        <row r="4">
          <cell r="C4">
            <v>61.617948</v>
          </cell>
        </row>
        <row r="5">
          <cell r="C5">
            <v>134.94330612</v>
          </cell>
        </row>
        <row r="7">
          <cell r="C7">
            <v>148.8</v>
          </cell>
        </row>
        <row r="8">
          <cell r="C8">
            <v>0</v>
          </cell>
        </row>
        <row r="9">
          <cell r="C9">
            <v>-13.856693880000023</v>
          </cell>
        </row>
        <row r="11">
          <cell r="C11">
            <v>2.1185954129722404</v>
          </cell>
        </row>
        <row r="12">
          <cell r="C12">
            <v>-0.03260483425925098</v>
          </cell>
        </row>
        <row r="13">
          <cell r="C13">
            <v>2.4148808071310652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41.23</v>
          </cell>
        </row>
        <row r="4">
          <cell r="C4">
            <v>2.874013</v>
          </cell>
        </row>
        <row r="5">
          <cell r="C5">
            <v>118.49555599</v>
          </cell>
        </row>
        <row r="7">
          <cell r="C7">
            <v>96.295</v>
          </cell>
        </row>
        <row r="8">
          <cell r="C8">
            <v>7.091</v>
          </cell>
        </row>
        <row r="9">
          <cell r="C9">
            <v>29.29155599</v>
          </cell>
        </row>
        <row r="11">
          <cell r="C11">
            <v>31.038133787147103</v>
          </cell>
        </row>
        <row r="12">
          <cell r="C12">
            <v>-0.24719539686764236</v>
          </cell>
        </row>
        <row r="13">
          <cell r="C13">
            <v>31.038133787147103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0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2.62</v>
          </cell>
        </row>
        <row r="4">
          <cell r="C4">
            <v>43.295767</v>
          </cell>
        </row>
        <row r="5">
          <cell r="C5">
            <v>113.43490953999999</v>
          </cell>
        </row>
        <row r="7">
          <cell r="C7">
            <v>26.686</v>
          </cell>
        </row>
        <row r="8">
          <cell r="C8">
            <v>0.412</v>
          </cell>
        </row>
        <row r="9">
          <cell r="C9">
            <v>87.16090954</v>
          </cell>
        </row>
        <row r="11">
          <cell r="C11">
            <v>0.6068491637993155</v>
          </cell>
        </row>
        <row r="12">
          <cell r="C12">
            <v>-0.7683781817559865</v>
          </cell>
        </row>
        <row r="13">
          <cell r="C13">
            <v>0.6068491637993155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0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2.53</v>
          </cell>
        </row>
        <row r="4">
          <cell r="C4">
            <v>47.747559</v>
          </cell>
        </row>
        <row r="5">
          <cell r="C5">
            <v>120.80132427</v>
          </cell>
        </row>
        <row r="7">
          <cell r="C7">
            <v>75.26725</v>
          </cell>
        </row>
        <row r="8">
          <cell r="C8">
            <v>0</v>
          </cell>
        </row>
        <row r="9">
          <cell r="C9">
            <v>45.53407426999999</v>
          </cell>
        </row>
        <row r="11">
          <cell r="C11">
            <v>34.04641434809163</v>
          </cell>
        </row>
        <row r="12">
          <cell r="C12">
            <v>12.457080769996693</v>
          </cell>
        </row>
        <row r="13">
          <cell r="C13">
            <v>1.5763580709958387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1.76</v>
          </cell>
        </row>
        <row r="4">
          <cell r="C4">
            <v>63.726617</v>
          </cell>
        </row>
        <row r="5">
          <cell r="C5">
            <v>112.15884591999999</v>
          </cell>
        </row>
        <row r="7">
          <cell r="C7">
            <v>0.995977</v>
          </cell>
        </row>
        <row r="8">
          <cell r="C8">
            <v>3.6</v>
          </cell>
        </row>
        <row r="9">
          <cell r="C9">
            <v>114.76286891999999</v>
          </cell>
        </row>
        <row r="11">
          <cell r="C11">
            <v>4.051489360895427</v>
          </cell>
        </row>
        <row r="12">
          <cell r="C12">
            <v>1.3019825914178567</v>
          </cell>
        </row>
        <row r="13">
          <cell r="C13">
            <v>-0.04086240761846813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1.67</v>
          </cell>
        </row>
        <row r="4">
          <cell r="C4">
            <v>67.016316</v>
          </cell>
        </row>
        <row r="5">
          <cell r="C5">
            <v>111.91724772</v>
          </cell>
        </row>
        <row r="7">
          <cell r="C7">
            <v>266.32</v>
          </cell>
        </row>
        <row r="8">
          <cell r="C8">
            <v>25.354000000000003</v>
          </cell>
        </row>
        <row r="9">
          <cell r="C9">
            <v>-129.04875227999997</v>
          </cell>
        </row>
        <row r="11">
          <cell r="C11">
            <v>-1.0439943772976592</v>
          </cell>
        </row>
        <row r="12">
          <cell r="C12">
            <v>-1.6251463337111733</v>
          </cell>
        </row>
        <row r="13">
          <cell r="C13">
            <v>3.595631845832886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1.15</v>
          </cell>
        </row>
        <row r="4">
          <cell r="C4">
            <v>100.257009</v>
          </cell>
        </row>
        <row r="5">
          <cell r="C5">
            <v>115.29556034999999</v>
          </cell>
        </row>
        <row r="7">
          <cell r="C7">
            <v>15.123931925711464</v>
          </cell>
        </row>
        <row r="8">
          <cell r="C8" t="str">
            <v>empty</v>
          </cell>
        </row>
        <row r="9">
          <cell r="C9">
            <v>100.17162842428853</v>
          </cell>
        </row>
        <row r="11">
          <cell r="C11">
            <v>1.1410845878288265</v>
          </cell>
        </row>
        <row r="12">
          <cell r="C12">
            <v>-0.00775253232275952</v>
          </cell>
        </row>
        <row r="13">
          <cell r="C13">
            <v>0.15085161702471558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0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2.01</v>
          </cell>
        </row>
        <row r="4">
          <cell r="C4">
            <v>59.385315</v>
          </cell>
        </row>
        <row r="5">
          <cell r="C5">
            <v>119.36448314999998</v>
          </cell>
        </row>
        <row r="7">
          <cell r="C7">
            <v>68.08</v>
          </cell>
        </row>
        <row r="8">
          <cell r="C8">
            <v>0</v>
          </cell>
        </row>
        <row r="9">
          <cell r="C9">
            <v>51.284483149999986</v>
          </cell>
        </row>
        <row r="11">
          <cell r="C11">
            <v>-1.3255523271480514</v>
          </cell>
        </row>
        <row r="12">
          <cell r="C12">
            <v>-1.6594787697253988</v>
          </cell>
        </row>
        <row r="13">
          <cell r="C13">
            <v>1.146411364493057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</v>
          </cell>
        </row>
        <row r="4">
          <cell r="C4">
            <v>45.245335</v>
          </cell>
        </row>
        <row r="5">
          <cell r="C5">
            <v>113.1133375</v>
          </cell>
        </row>
        <row r="7">
          <cell r="C7">
            <v>18.683999999999997</v>
          </cell>
        </row>
        <row r="8">
          <cell r="C8">
            <v>0</v>
          </cell>
        </row>
        <row r="9">
          <cell r="C9">
            <v>94.4293375</v>
          </cell>
        </row>
        <row r="11">
          <cell r="C11">
            <v>18.286444376469127</v>
          </cell>
        </row>
        <row r="12">
          <cell r="C12">
            <v>6.314577750587651</v>
          </cell>
        </row>
        <row r="13">
          <cell r="C13">
            <v>0.4129486498442325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23.140084999999999</v>
          </cell>
        </row>
        <row r="7">
          <cell r="C7">
            <v>36.563000000000002</v>
          </cell>
        </row>
        <row r="8">
          <cell r="C8">
            <v>0</v>
          </cell>
        </row>
        <row r="11">
          <cell r="C11">
            <v>7.0697125649814163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7.96</v>
          </cell>
        </row>
        <row r="4">
          <cell r="C4">
            <v>14.983107</v>
          </cell>
        </row>
        <row r="5">
          <cell r="C5">
            <v>119.26553172</v>
          </cell>
        </row>
        <row r="7">
          <cell r="C7">
            <v>3.862402</v>
          </cell>
        </row>
        <row r="8">
          <cell r="C8">
            <v>0</v>
          </cell>
        </row>
        <row r="9">
          <cell r="C9">
            <v>115.40312972</v>
          </cell>
        </row>
        <row r="11">
          <cell r="C11">
            <v>28.292703263619238</v>
          </cell>
        </row>
        <row r="12">
          <cell r="C12">
            <v>2.5543597064848287</v>
          </cell>
        </row>
        <row r="13">
          <cell r="C13">
            <v>0.2577837827628141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</v>
          </cell>
        </row>
        <row r="4">
          <cell r="C4">
            <v>15.458903</v>
          </cell>
        </row>
        <row r="5">
          <cell r="C5">
            <v>108.212321</v>
          </cell>
        </row>
        <row r="7">
          <cell r="C7">
            <v>27.71</v>
          </cell>
        </row>
        <row r="8">
          <cell r="C8">
            <v>0</v>
          </cell>
        </row>
        <row r="9">
          <cell r="C9">
            <v>80.502321</v>
          </cell>
        </row>
        <row r="11">
          <cell r="C11">
            <v>10.48813443022311</v>
          </cell>
        </row>
        <row r="12">
          <cell r="C12">
            <v>0.4983049186033013</v>
          </cell>
        </row>
        <row r="13">
          <cell r="C13">
            <v>1.7924945903341267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27.845</v>
          </cell>
        </row>
        <row r="4">
          <cell r="C4">
            <v>3.953928</v>
          </cell>
        </row>
        <row r="5">
          <cell r="C5">
            <v>110.09712515999999</v>
          </cell>
        </row>
        <row r="7">
          <cell r="C7">
            <v>86.643</v>
          </cell>
        </row>
        <row r="8">
          <cell r="C8">
            <v>0</v>
          </cell>
        </row>
        <row r="9">
          <cell r="C9">
            <v>23.45412515999999</v>
          </cell>
        </row>
        <row r="11">
          <cell r="C11">
            <v>93.74931339027931</v>
          </cell>
        </row>
        <row r="12">
          <cell r="C12">
            <v>2.366827559356413</v>
          </cell>
        </row>
        <row r="13">
          <cell r="C13">
            <v>21.91314561114922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14.06</v>
          </cell>
        </row>
        <row r="4">
          <cell r="C4">
            <v>8.91125</v>
          </cell>
        </row>
        <row r="5">
          <cell r="C5">
            <v>125.29217500000001</v>
          </cell>
        </row>
        <row r="7">
          <cell r="C7">
            <v>0.437369</v>
          </cell>
        </row>
        <row r="8">
          <cell r="C8">
            <v>0</v>
          </cell>
        </row>
        <row r="9">
          <cell r="C9">
            <v>124.85480600000001</v>
          </cell>
        </row>
        <row r="11">
          <cell r="C11">
            <v>0.04908054425585636</v>
          </cell>
        </row>
        <row r="12">
          <cell r="C12">
            <v>-0.9965092073786731</v>
          </cell>
        </row>
        <row r="13">
          <cell r="C13">
            <v>0.04908054425585636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0.99</v>
          </cell>
        </row>
        <row r="4">
          <cell r="C4">
            <v>100.339441</v>
          </cell>
        </row>
        <row r="5">
          <cell r="C5">
            <v>99.33604659</v>
          </cell>
        </row>
        <row r="7">
          <cell r="C7">
            <v>206.33300000000003</v>
          </cell>
        </row>
        <row r="8">
          <cell r="C8">
            <v>0</v>
          </cell>
        </row>
        <row r="9">
          <cell r="C9">
            <v>-106.99695341000003</v>
          </cell>
        </row>
        <row r="11">
          <cell r="C11">
            <v>2.7035522217742165</v>
          </cell>
        </row>
        <row r="12">
          <cell r="C12">
            <v>1.7308608300749664</v>
          </cell>
        </row>
        <row r="13">
          <cell r="C13">
            <v>2.0563499053178904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1.54</v>
          </cell>
        </row>
        <row r="4">
          <cell r="C4">
            <v>72.292859</v>
          </cell>
        </row>
        <row r="5">
          <cell r="C5">
            <v>111.33100286000001</v>
          </cell>
        </row>
        <row r="7">
          <cell r="C7">
            <v>18.0295954537782</v>
          </cell>
        </row>
        <row r="8">
          <cell r="C8" t="str">
            <v>empty</v>
          </cell>
        </row>
        <row r="9">
          <cell r="C9">
            <v>93.30140740622181</v>
          </cell>
        </row>
        <row r="11">
          <cell r="C11">
            <v>0.24939663063786421</v>
          </cell>
        </row>
        <row r="12">
          <cell r="C12">
            <v>-0.8380541359494389</v>
          </cell>
        </row>
        <row r="13">
          <cell r="C13">
            <v>0.24939663063786421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5.78</v>
          </cell>
        </row>
        <row r="4">
          <cell r="C4">
            <v>17.151024</v>
          </cell>
        </row>
        <row r="5">
          <cell r="C5">
            <v>99.13291872</v>
          </cell>
        </row>
        <row r="7">
          <cell r="C7">
            <v>176.232</v>
          </cell>
        </row>
        <row r="8">
          <cell r="C8">
            <v>0</v>
          </cell>
        </row>
        <row r="9">
          <cell r="C9">
            <v>-77.09908128</v>
          </cell>
        </row>
        <row r="11">
          <cell r="C11">
            <v>15.803658800461456</v>
          </cell>
        </row>
        <row r="12">
          <cell r="C12">
            <v>1.7341970243012899</v>
          </cell>
        </row>
        <row r="13">
          <cell r="C13">
            <v>10.27530484477195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3.19</v>
          </cell>
        </row>
        <row r="4">
          <cell r="C4">
            <v>31.420343</v>
          </cell>
        </row>
        <row r="5">
          <cell r="C5">
            <v>100.23089417</v>
          </cell>
        </row>
        <row r="7">
          <cell r="C7">
            <v>220.003</v>
          </cell>
        </row>
        <row r="8">
          <cell r="C8">
            <v>0</v>
          </cell>
        </row>
        <row r="9">
          <cell r="C9">
            <v>-119.77210582999999</v>
          </cell>
        </row>
        <row r="11">
          <cell r="C11">
            <v>1.2694071356449106</v>
          </cell>
        </row>
        <row r="12">
          <cell r="C12">
            <v>-0.6020667286379591</v>
          </cell>
        </row>
        <row r="13">
          <cell r="C13">
            <v>7.001928654948165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Pipeline"/>
      <sheetName val="NPV"/>
      <sheetName val="Options"/>
    </sheetNames>
    <sheetDataSet>
      <sheetData sheetId="0">
        <row r="4">
          <cell r="C4">
            <v>103.39751800000001</v>
          </cell>
        </row>
        <row r="7">
          <cell r="C7">
            <v>54.974000000000004</v>
          </cell>
        </row>
        <row r="8">
          <cell r="C8">
            <v>0</v>
          </cell>
        </row>
        <row r="11">
          <cell r="C11">
            <v>0.86976909125716229</v>
          </cell>
        </row>
        <row r="14">
          <cell r="C14" t="str">
            <v>Base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4.21</v>
          </cell>
        </row>
        <row r="4">
          <cell r="C4">
            <v>23.457849</v>
          </cell>
        </row>
        <row r="5">
          <cell r="C5">
            <v>98.75754429</v>
          </cell>
        </row>
        <row r="7">
          <cell r="C7">
            <v>43.181002</v>
          </cell>
        </row>
        <row r="8">
          <cell r="C8">
            <v>0</v>
          </cell>
        </row>
        <row r="9">
          <cell r="C9">
            <v>55.57654229</v>
          </cell>
        </row>
        <row r="11">
          <cell r="C11">
            <v>12.244547289599598</v>
          </cell>
        </row>
        <row r="12">
          <cell r="C12">
            <v>1.908443536721995</v>
          </cell>
        </row>
        <row r="13">
          <cell r="C13">
            <v>1.8407911995682127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1.39</v>
          </cell>
        </row>
        <row r="4">
          <cell r="C4">
            <v>76.428964</v>
          </cell>
        </row>
        <row r="5">
          <cell r="C5">
            <v>106.23625995999998</v>
          </cell>
        </row>
        <row r="7">
          <cell r="C7">
            <v>20.429</v>
          </cell>
        </row>
        <row r="8">
          <cell r="C8">
            <v>0.8650000000000001</v>
          </cell>
        </row>
        <row r="9">
          <cell r="C9">
            <v>86.67225995999998</v>
          </cell>
        </row>
        <row r="11">
          <cell r="C11">
            <v>0.25597625528458035</v>
          </cell>
        </row>
        <row r="12">
          <cell r="C12">
            <v>-0.8158444206585753</v>
          </cell>
        </row>
        <row r="13">
          <cell r="C13">
            <v>0.25597625528458035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3.03</v>
          </cell>
        </row>
        <row r="4">
          <cell r="C4">
            <v>32.724284</v>
          </cell>
        </row>
        <row r="5">
          <cell r="C5">
            <v>99.15458051999998</v>
          </cell>
        </row>
        <row r="7">
          <cell r="C7">
            <v>17.756</v>
          </cell>
        </row>
        <row r="8">
          <cell r="C8">
            <v>0</v>
          </cell>
        </row>
        <row r="9">
          <cell r="C9">
            <v>81.39858051999998</v>
          </cell>
        </row>
        <row r="11">
          <cell r="C11">
            <v>0.5425939953338628</v>
          </cell>
        </row>
        <row r="12">
          <cell r="C12">
            <v>-0.82092607414724</v>
          </cell>
        </row>
        <row r="13">
          <cell r="C13">
            <v>0.5425939953338628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2.39</v>
          </cell>
        </row>
        <row r="4">
          <cell r="C4">
            <v>32.557174</v>
          </cell>
        </row>
        <row r="5">
          <cell r="C5">
            <v>77.81164586000001</v>
          </cell>
        </row>
        <row r="7">
          <cell r="C7">
            <v>0.166</v>
          </cell>
        </row>
        <row r="8">
          <cell r="C8">
            <v>0</v>
          </cell>
        </row>
        <row r="9">
          <cell r="C9">
            <v>77.64564586000002</v>
          </cell>
        </row>
        <row r="11">
          <cell r="C11">
            <v>0.005098722634833109</v>
          </cell>
        </row>
        <row r="12">
          <cell r="C12">
            <v>-0.9978666432490239</v>
          </cell>
        </row>
        <row r="13">
          <cell r="C13">
            <v>0.005098722634833109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2.07</v>
          </cell>
        </row>
        <row r="4">
          <cell r="C4">
            <v>57.453747</v>
          </cell>
        </row>
        <row r="5">
          <cell r="C5">
            <v>118.92925628999998</v>
          </cell>
        </row>
        <row r="7">
          <cell r="C7">
            <v>110.506</v>
          </cell>
        </row>
        <row r="8">
          <cell r="C8">
            <v>0</v>
          </cell>
        </row>
        <row r="9">
          <cell r="C9">
            <v>8.423256289999983</v>
          </cell>
        </row>
        <row r="11">
          <cell r="C11">
            <v>4.737402558473879</v>
          </cell>
        </row>
        <row r="12">
          <cell r="C12">
            <v>1.2886002697941445</v>
          </cell>
        </row>
        <row r="13">
          <cell r="C13">
            <v>1.9233906537027081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10.45</v>
          </cell>
        </row>
        <row r="4">
          <cell r="C4">
            <v>9.082197</v>
          </cell>
        </row>
        <row r="5">
          <cell r="C5">
            <v>94.90895865</v>
          </cell>
        </row>
        <row r="7">
          <cell r="C7">
            <v>8.860205</v>
          </cell>
        </row>
        <row r="8">
          <cell r="C8">
            <v>8.302886</v>
          </cell>
        </row>
        <row r="9">
          <cell r="C9">
            <v>94.35163965000001</v>
          </cell>
        </row>
        <row r="11">
          <cell r="C11">
            <v>0.06136389686328095</v>
          </cell>
        </row>
        <row r="12">
          <cell r="C12">
            <v>-0.9941278567594947</v>
          </cell>
        </row>
        <row r="13">
          <cell r="C13">
            <v>0.06136389686328095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</v>
          </cell>
        </row>
        <row r="4">
          <cell r="C4">
            <v>47.3855944</v>
          </cell>
        </row>
        <row r="5">
          <cell r="C5">
            <v>118.463986</v>
          </cell>
        </row>
        <row r="7">
          <cell r="C7">
            <v>74.523782</v>
          </cell>
        </row>
        <row r="8">
          <cell r="C8">
            <v>6.117687</v>
          </cell>
        </row>
        <row r="9">
          <cell r="C9">
            <v>50.05789100000001</v>
          </cell>
        </row>
        <row r="11">
          <cell r="C11">
            <v>2.6188618757713433</v>
          </cell>
        </row>
        <row r="12">
          <cell r="C12">
            <v>0.04754475030853733</v>
          </cell>
        </row>
        <row r="13">
          <cell r="C13">
            <v>1.4436052953679945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9.16</v>
          </cell>
        </row>
        <row r="4">
          <cell r="C4">
            <v>10.03771</v>
          </cell>
        </row>
        <row r="5">
          <cell r="C5">
            <v>91.94542360000001</v>
          </cell>
        </row>
        <row r="7">
          <cell r="C7">
            <v>9.9</v>
          </cell>
        </row>
        <row r="8">
          <cell r="C8">
            <v>0</v>
          </cell>
        </row>
        <row r="9">
          <cell r="C9">
            <v>82.0454236</v>
          </cell>
        </row>
        <row r="11">
          <cell r="C11">
            <v>0.9862807353470064</v>
          </cell>
        </row>
        <row r="12">
          <cell r="C12">
            <v>-0.8923274306389731</v>
          </cell>
        </row>
        <row r="13">
          <cell r="C13">
            <v>0.9862807353470064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7.41</v>
          </cell>
        </row>
        <row r="4">
          <cell r="C4">
            <v>13.644467</v>
          </cell>
        </row>
        <row r="5">
          <cell r="C5">
            <v>101.10550047000001</v>
          </cell>
        </row>
        <row r="7">
          <cell r="C7">
            <v>155.098</v>
          </cell>
        </row>
        <row r="8">
          <cell r="C8">
            <v>0</v>
          </cell>
        </row>
        <row r="9">
          <cell r="C9">
            <v>-53.99249953</v>
          </cell>
        </row>
        <row r="11">
          <cell r="C11">
            <v>72.28032312367938</v>
          </cell>
        </row>
        <row r="12">
          <cell r="C12">
            <v>8.754429571346744</v>
          </cell>
        </row>
        <row r="13">
          <cell r="C13">
            <v>11.367098472956108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1.91</v>
          </cell>
        </row>
        <row r="4">
          <cell r="C4">
            <v>49.845993</v>
          </cell>
        </row>
        <row r="5">
          <cell r="C5">
            <v>95.20584663</v>
          </cell>
        </row>
        <row r="7">
          <cell r="C7">
            <v>11.542</v>
          </cell>
        </row>
        <row r="8">
          <cell r="C8">
            <v>0</v>
          </cell>
        </row>
        <row r="9">
          <cell r="C9">
            <v>83.66384663</v>
          </cell>
        </row>
        <row r="11">
          <cell r="C11">
            <v>0.23155321632372736</v>
          </cell>
        </row>
        <row r="12">
          <cell r="C12">
            <v>-0.8787679495687292</v>
          </cell>
        </row>
        <row r="13">
          <cell r="C13">
            <v>0.23155321632372736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3.8</v>
          </cell>
        </row>
        <row r="4">
          <cell r="C4">
            <v>27.855257</v>
          </cell>
        </row>
        <row r="5">
          <cell r="C5">
            <v>105.8499766</v>
          </cell>
        </row>
        <row r="7">
          <cell r="C7">
            <v>61.425</v>
          </cell>
        </row>
        <row r="8">
          <cell r="C8">
            <v>0</v>
          </cell>
        </row>
        <row r="9">
          <cell r="C9">
            <v>44.42497660000001</v>
          </cell>
        </row>
        <row r="11">
          <cell r="C11">
            <v>54.943948884816365</v>
          </cell>
        </row>
        <row r="12">
          <cell r="C12">
            <v>13.458933917056939</v>
          </cell>
        </row>
        <row r="13">
          <cell r="C13">
            <v>2.2051492829522266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2.68</v>
          </cell>
        </row>
        <row r="4">
          <cell r="C4">
            <v>34.763802</v>
          </cell>
        </row>
        <row r="5">
          <cell r="C5">
            <v>93.16698936</v>
          </cell>
        </row>
        <row r="7">
          <cell r="C7">
            <v>13.863999999999999</v>
          </cell>
        </row>
        <row r="8">
          <cell r="C8">
            <v>0</v>
          </cell>
        </row>
        <row r="9">
          <cell r="C9">
            <v>79.30298936</v>
          </cell>
        </row>
        <row r="11">
          <cell r="C11">
            <v>0.398805631213755</v>
          </cell>
        </row>
        <row r="12">
          <cell r="C12">
            <v>-0.851191928651584</v>
          </cell>
        </row>
        <row r="13">
          <cell r="C13">
            <v>0.398805631213755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1.07</v>
          </cell>
        </row>
        <row r="4">
          <cell r="C4">
            <v>84.068192</v>
          </cell>
        </row>
        <row r="5">
          <cell r="C5">
            <v>89.95296544</v>
          </cell>
        </row>
        <row r="7">
          <cell r="C7">
            <v>13.4</v>
          </cell>
        </row>
        <row r="8">
          <cell r="C8">
            <v>0.16867</v>
          </cell>
        </row>
        <row r="9">
          <cell r="C9">
            <v>76.72163544</v>
          </cell>
        </row>
        <row r="11">
          <cell r="C11">
            <v>0.15738806420387869</v>
          </cell>
        </row>
        <row r="12">
          <cell r="C12">
            <v>-0.8529083512113284</v>
          </cell>
        </row>
        <row r="13">
          <cell r="C13">
            <v>0.15738806420387869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0.41</v>
          </cell>
        </row>
        <row r="4">
          <cell r="C4">
            <v>224.230012</v>
          </cell>
        </row>
        <row r="5">
          <cell r="C5">
            <v>91.93430491999999</v>
          </cell>
        </row>
        <row r="7">
          <cell r="C7">
            <v>78.085</v>
          </cell>
        </row>
        <row r="8">
          <cell r="C8">
            <v>0</v>
          </cell>
        </row>
        <row r="9">
          <cell r="C9">
            <v>13.849304919999994</v>
          </cell>
        </row>
        <row r="11">
          <cell r="C11">
            <v>-0.4586680044027749</v>
          </cell>
        </row>
        <row r="12">
          <cell r="C12">
            <v>-2.118702449762866</v>
          </cell>
        </row>
        <row r="13">
          <cell r="C13">
            <v>0.3482361674225839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0.6528</v>
          </cell>
        </row>
        <row r="4">
          <cell r="C4">
            <v>139.395319</v>
          </cell>
        </row>
        <row r="5">
          <cell r="C5">
            <v>90.99726424320001</v>
          </cell>
        </row>
        <row r="7">
          <cell r="C7">
            <v>4.868</v>
          </cell>
        </row>
        <row r="8">
          <cell r="C8">
            <v>0</v>
          </cell>
        </row>
        <row r="9">
          <cell r="C9">
            <v>86.12926424320001</v>
          </cell>
        </row>
        <row r="11">
          <cell r="C11">
            <v>1.2190658205215188</v>
          </cell>
        </row>
        <row r="12">
          <cell r="C12">
            <v>0.8674415142792873</v>
          </cell>
        </row>
        <row r="13">
          <cell r="C13">
            <v>0.034922263063941195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16.38</v>
          </cell>
        </row>
        <row r="4">
          <cell r="C4">
            <v>5.310499</v>
          </cell>
        </row>
        <row r="5">
          <cell r="C5">
            <v>86.98597362</v>
          </cell>
        </row>
        <row r="7">
          <cell r="C7">
            <v>92.849</v>
          </cell>
        </row>
        <row r="8">
          <cell r="C8">
            <v>0</v>
          </cell>
        </row>
        <row r="9">
          <cell r="C9">
            <v>-5.863026380000008</v>
          </cell>
        </row>
        <row r="11">
          <cell r="C11">
            <v>17.48404434310222</v>
          </cell>
        </row>
        <row r="12">
          <cell r="C12">
            <v>0.06740197454836516</v>
          </cell>
        </row>
        <row r="13">
          <cell r="C13">
            <v>17.48404434310222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0.465</v>
          </cell>
        </row>
        <row r="4">
          <cell r="C4">
            <v>187.895912</v>
          </cell>
        </row>
        <row r="5">
          <cell r="C5">
            <v>87.37159908000001</v>
          </cell>
        </row>
        <row r="7">
          <cell r="C7">
            <v>116.834</v>
          </cell>
        </row>
        <row r="8">
          <cell r="C8" t="str">
            <v>empty</v>
          </cell>
        </row>
        <row r="9">
          <cell r="C9">
            <v>-29.462400919999993</v>
          </cell>
        </row>
        <row r="11">
          <cell r="C11">
            <v>5.357296288249819</v>
          </cell>
        </row>
        <row r="12">
          <cell r="C12">
            <v>10.52106728655875</v>
          </cell>
        </row>
        <row r="13">
          <cell r="C13">
            <v>0.621801713280489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0.7185</v>
          </cell>
        </row>
        <row r="4">
          <cell r="C4">
            <v>124.49798</v>
          </cell>
        </row>
        <row r="5">
          <cell r="C5">
            <v>89.45179863</v>
          </cell>
        </row>
        <row r="7">
          <cell r="C7">
            <v>170.609</v>
          </cell>
        </row>
        <row r="8">
          <cell r="C8">
            <v>59.207</v>
          </cell>
        </row>
        <row r="9">
          <cell r="C9">
            <v>-21.95020137000001</v>
          </cell>
        </row>
        <row r="11">
          <cell r="C11">
            <v>10.029137822670185</v>
          </cell>
        </row>
        <row r="12">
          <cell r="C12">
            <v>12.958438166555581</v>
          </cell>
        </row>
        <row r="13">
          <cell r="C13">
            <v>0.8948096989204164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4.42</v>
          </cell>
        </row>
        <row r="4">
          <cell r="C4">
            <v>19.341293</v>
          </cell>
        </row>
        <row r="5">
          <cell r="C5">
            <v>85.48851506</v>
          </cell>
        </row>
        <row r="7">
          <cell r="C7">
            <v>117.941</v>
          </cell>
        </row>
        <row r="8">
          <cell r="C8">
            <v>0</v>
          </cell>
        </row>
        <row r="9">
          <cell r="C9">
            <v>-32.452484940000005</v>
          </cell>
        </row>
        <row r="11">
          <cell r="C11">
            <v>33.793808299000325</v>
          </cell>
        </row>
        <row r="12">
          <cell r="C12">
            <v>6.6456579861991685</v>
          </cell>
        </row>
        <row r="13">
          <cell r="C13">
            <v>6.097886009999435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2.99</v>
          </cell>
        </row>
        <row r="4">
          <cell r="C4">
            <v>28.206698</v>
          </cell>
        </row>
        <row r="5">
          <cell r="C5">
            <v>84.33802702</v>
          </cell>
        </row>
        <row r="7">
          <cell r="C7">
            <v>1.971408</v>
          </cell>
        </row>
        <row r="8">
          <cell r="C8">
            <v>0</v>
          </cell>
        </row>
        <row r="9">
          <cell r="C9">
            <v>82.36661902</v>
          </cell>
        </row>
        <row r="11">
          <cell r="C11">
            <v>0.06989148463957036</v>
          </cell>
        </row>
        <row r="12">
          <cell r="C12">
            <v>-0.9766249215252273</v>
          </cell>
        </row>
        <row r="13">
          <cell r="C13">
            <v>0.06989148463957036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2.36</v>
          </cell>
        </row>
        <row r="4">
          <cell r="C4">
            <v>40.496309</v>
          </cell>
        </row>
        <row r="5">
          <cell r="C5">
            <v>95.57128923999998</v>
          </cell>
        </row>
        <row r="7">
          <cell r="C7">
            <v>176.38600000000002</v>
          </cell>
        </row>
        <row r="8">
          <cell r="C8">
            <v>0</v>
          </cell>
        </row>
        <row r="9">
          <cell r="C9">
            <v>-80.81471076000004</v>
          </cell>
        </row>
        <row r="11">
          <cell r="C11">
            <v>3.9537132877148706</v>
          </cell>
        </row>
        <row r="12">
          <cell r="C12">
            <v>0.6753022405571487</v>
          </cell>
        </row>
        <row r="13">
          <cell r="C13">
            <v>4.355606828266745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3.9</v>
          </cell>
        </row>
        <row r="4">
          <cell r="C4">
            <v>21.884846</v>
          </cell>
        </row>
        <row r="5">
          <cell r="C5">
            <v>85.3508994</v>
          </cell>
        </row>
        <row r="7">
          <cell r="C7">
            <v>73.87</v>
          </cell>
        </row>
        <row r="8">
          <cell r="C8">
            <v>0</v>
          </cell>
        </row>
        <row r="9">
          <cell r="C9">
            <v>11.480899399999998</v>
          </cell>
        </row>
        <row r="11">
          <cell r="C11">
            <v>-1.454566091739314</v>
          </cell>
        </row>
        <row r="12">
          <cell r="C12">
            <v>-1.372965664548542</v>
          </cell>
        </row>
        <row r="13">
          <cell r="C13">
            <v>3.37539501077595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3.38</v>
          </cell>
        </row>
        <row r="4">
          <cell r="C4">
            <v>23.470877</v>
          </cell>
        </row>
        <row r="5">
          <cell r="C5">
            <v>79.33156426000001</v>
          </cell>
        </row>
        <row r="7">
          <cell r="C7">
            <v>0.183</v>
          </cell>
        </row>
        <row r="8">
          <cell r="C8">
            <v>0</v>
          </cell>
        </row>
        <row r="9">
          <cell r="C9">
            <v>79.14856426</v>
          </cell>
        </row>
        <row r="11">
          <cell r="C11">
            <v>0.007796896553971971</v>
          </cell>
        </row>
        <row r="12">
          <cell r="C12">
            <v>-0.9976932258716059</v>
          </cell>
        </row>
        <row r="13">
          <cell r="C13">
            <v>0.007796896553971971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20.5</v>
          </cell>
        </row>
        <row r="4">
          <cell r="C4">
            <v>3.828469</v>
          </cell>
        </row>
        <row r="5">
          <cell r="C5">
            <v>78.4836145</v>
          </cell>
        </row>
        <row r="7">
          <cell r="C7">
            <v>24.192</v>
          </cell>
        </row>
        <row r="8">
          <cell r="C8">
            <v>69.914</v>
          </cell>
        </row>
        <row r="9">
          <cell r="C9">
            <v>124.2056145</v>
          </cell>
        </row>
        <row r="11">
          <cell r="C11">
            <v>-11.942632942829105</v>
          </cell>
        </row>
        <row r="12">
          <cell r="C12">
            <v>-1.58256746062581</v>
          </cell>
        </row>
        <row r="13">
          <cell r="C13">
            <v>-11.942632942829105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5.85</v>
          </cell>
        </row>
        <row r="4">
          <cell r="C4">
            <v>12.155683</v>
          </cell>
        </row>
        <row r="5">
          <cell r="C5">
            <v>71.11074554999999</v>
          </cell>
        </row>
        <row r="7">
          <cell r="C7">
            <v>3.421615</v>
          </cell>
        </row>
        <row r="8">
          <cell r="C8">
            <v>0.153541</v>
          </cell>
        </row>
        <row r="9">
          <cell r="C9">
            <v>67.84267154999999</v>
          </cell>
        </row>
        <row r="11">
          <cell r="C11">
            <v>0.26885153224216196</v>
          </cell>
        </row>
        <row r="12">
          <cell r="C12">
            <v>-0.954042473120998</v>
          </cell>
        </row>
        <row r="13">
          <cell r="C13">
            <v>0.26885153224216196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1.38</v>
          </cell>
        </row>
        <row r="4">
          <cell r="C4">
            <v>63.408082</v>
          </cell>
        </row>
        <row r="5">
          <cell r="C5">
            <v>87.50315316</v>
          </cell>
        </row>
        <row r="7">
          <cell r="C7">
            <v>57.164</v>
          </cell>
        </row>
        <row r="8">
          <cell r="C8">
            <v>0</v>
          </cell>
        </row>
        <row r="9">
          <cell r="C9">
            <v>30.339153159999995</v>
          </cell>
        </row>
        <row r="11">
          <cell r="C11">
            <v>3.7862412390049798</v>
          </cell>
        </row>
        <row r="12">
          <cell r="C12">
            <v>1.743653071742739</v>
          </cell>
        </row>
        <row r="13">
          <cell r="C13">
            <v>0.9015254553828013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1.37</v>
          </cell>
        </row>
        <row r="4">
          <cell r="C4">
            <v>52.479527</v>
          </cell>
        </row>
        <row r="5">
          <cell r="C5">
            <v>71.89695199</v>
          </cell>
        </row>
        <row r="7">
          <cell r="C7">
            <v>1.560902</v>
          </cell>
        </row>
        <row r="8">
          <cell r="C8">
            <v>2.7</v>
          </cell>
        </row>
        <row r="9">
          <cell r="C9">
            <v>73.03604999000001</v>
          </cell>
        </row>
        <row r="11">
          <cell r="C11">
            <v>11.252909434716253</v>
          </cell>
        </row>
        <row r="12">
          <cell r="C12">
            <v>7.213802507092154</v>
          </cell>
        </row>
        <row r="13">
          <cell r="C13">
            <v>-0.021705569106977664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8.09</v>
          </cell>
        </row>
        <row r="4">
          <cell r="C4">
            <v>8.967693</v>
          </cell>
        </row>
        <row r="5">
          <cell r="C5">
            <v>72.54863637</v>
          </cell>
        </row>
        <row r="7">
          <cell r="C7">
            <v>53.463032999999996</v>
          </cell>
        </row>
        <row r="8">
          <cell r="C8">
            <v>0</v>
          </cell>
        </row>
        <row r="9">
          <cell r="C9">
            <v>19.08560337</v>
          </cell>
        </row>
        <row r="11">
          <cell r="C11">
            <v>11.558331951096848</v>
          </cell>
        </row>
        <row r="12">
          <cell r="C12">
            <v>0.4287184117548639</v>
          </cell>
        </row>
        <row r="13">
          <cell r="C13">
            <v>5.961737650920922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1.01</v>
          </cell>
        </row>
        <row r="4">
          <cell r="C4">
            <v>68.774956</v>
          </cell>
        </row>
        <row r="5">
          <cell r="C5">
            <v>69.46270556</v>
          </cell>
        </row>
        <row r="7">
          <cell r="C7">
            <v>5.170286</v>
          </cell>
        </row>
        <row r="8">
          <cell r="C8">
            <v>0.136372</v>
          </cell>
        </row>
        <row r="9">
          <cell r="C9">
            <v>64.42879156</v>
          </cell>
        </row>
        <row r="11">
          <cell r="C11">
            <v>2.5044871323939164</v>
          </cell>
        </row>
        <row r="12">
          <cell r="C12">
            <v>1.4796902300929866</v>
          </cell>
        </row>
        <row r="13">
          <cell r="C13">
            <v>0.07319399811757059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1.31</v>
          </cell>
        </row>
        <row r="4">
          <cell r="C4">
            <v>51.999996</v>
          </cell>
        </row>
        <row r="5">
          <cell r="C5">
            <v>68.11999476000001</v>
          </cell>
        </row>
        <row r="7">
          <cell r="C7">
            <v>30.497</v>
          </cell>
        </row>
        <row r="8">
          <cell r="C8">
            <v>0.61</v>
          </cell>
        </row>
        <row r="9">
          <cell r="C9">
            <v>38.23299476000001</v>
          </cell>
        </row>
        <row r="11">
          <cell r="C11">
            <v>0.2161061149633721</v>
          </cell>
        </row>
        <row r="12">
          <cell r="C12">
            <v>-0.8350335000279603</v>
          </cell>
        </row>
        <row r="13">
          <cell r="C13">
            <v>0.5747500442115419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0.671</v>
          </cell>
        </row>
        <row r="4">
          <cell r="C4">
            <v>92.981204</v>
          </cell>
        </row>
        <row r="5">
          <cell r="C5">
            <v>62.390387884000006</v>
          </cell>
        </row>
        <row r="7">
          <cell r="C7">
            <v>16.563705</v>
          </cell>
        </row>
        <row r="8">
          <cell r="C8">
            <v>6.410161</v>
          </cell>
        </row>
        <row r="9">
          <cell r="C9">
            <v>52.23684388400001</v>
          </cell>
        </row>
        <row r="11">
          <cell r="C11">
            <v>0.10919996260749644</v>
          </cell>
        </row>
        <row r="12">
          <cell r="C12">
            <v>-0.8372578798696029</v>
          </cell>
        </row>
        <row r="13">
          <cell r="C13">
            <v>0.10919996260749644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2.65</v>
          </cell>
        </row>
        <row r="4">
          <cell r="C4">
            <v>24.787446</v>
          </cell>
        </row>
        <row r="5">
          <cell r="C5">
            <v>65.6867319</v>
          </cell>
        </row>
        <row r="7">
          <cell r="C7">
            <v>3.642103</v>
          </cell>
        </row>
        <row r="8">
          <cell r="C8">
            <v>0</v>
          </cell>
        </row>
        <row r="9">
          <cell r="C9">
            <v>62.0446289</v>
          </cell>
        </row>
        <row r="11">
          <cell r="C11">
            <v>3.4933036554396266</v>
          </cell>
        </row>
        <row r="12">
          <cell r="C12">
            <v>0.31822779450551963</v>
          </cell>
        </row>
        <row r="13">
          <cell r="C13">
            <v>0.14693337102983503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1.795</v>
          </cell>
        </row>
        <row r="4">
          <cell r="C4">
            <v>42.853362</v>
          </cell>
        </row>
        <row r="5">
          <cell r="C5">
            <v>76.92178478999999</v>
          </cell>
        </row>
        <row r="7">
          <cell r="C7">
            <v>89.959</v>
          </cell>
        </row>
        <row r="8">
          <cell r="C8">
            <v>0</v>
          </cell>
        </row>
        <row r="9">
          <cell r="C9">
            <v>-13.037215210000014</v>
          </cell>
        </row>
        <row r="11">
          <cell r="C11">
            <v>1.6109086330743339</v>
          </cell>
        </row>
        <row r="12">
          <cell r="C12">
            <v>-0.10255786458254379</v>
          </cell>
        </row>
        <row r="13">
          <cell r="C13">
            <v>2.09922852727401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0.9315</v>
          </cell>
        </row>
        <row r="4">
          <cell r="C4">
            <v>77.795249</v>
          </cell>
        </row>
        <row r="5">
          <cell r="C5">
            <v>72.4662744435</v>
          </cell>
        </row>
        <row r="7">
          <cell r="C7">
            <v>34.519999999999996</v>
          </cell>
        </row>
        <row r="8">
          <cell r="C8">
            <v>0</v>
          </cell>
        </row>
        <row r="9">
          <cell r="C9">
            <v>37.9462744435</v>
          </cell>
        </row>
        <row r="11">
          <cell r="C11">
            <v>1.712669333303568</v>
          </cell>
        </row>
        <row r="12">
          <cell r="C12">
            <v>0.8386144211525155</v>
          </cell>
        </row>
        <row r="13">
          <cell r="C13">
            <v>0.44372889660652665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2.77</v>
          </cell>
        </row>
        <row r="4">
          <cell r="C4">
            <v>25.936365</v>
          </cell>
        </row>
        <row r="5">
          <cell r="C5">
            <v>71.84373105</v>
          </cell>
        </row>
        <row r="7">
          <cell r="C7">
            <v>1.97342</v>
          </cell>
        </row>
        <row r="8">
          <cell r="C8">
            <v>0.32</v>
          </cell>
        </row>
        <row r="9">
          <cell r="C9">
            <v>70.19031104999999</v>
          </cell>
        </row>
        <row r="11">
          <cell r="C11">
            <v>-0.4359313396764236</v>
          </cell>
        </row>
        <row r="12">
          <cell r="C12">
            <v>-1.157375934901236</v>
          </cell>
        </row>
        <row r="13">
          <cell r="C13">
            <v>0.06374910285230795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1.36</v>
          </cell>
        </row>
        <row r="4">
          <cell r="C4">
            <v>49.221246</v>
          </cell>
        </row>
        <row r="5">
          <cell r="C5">
            <v>66.94089456</v>
          </cell>
        </row>
        <row r="7">
          <cell r="C7">
            <v>25.415921</v>
          </cell>
        </row>
        <row r="8">
          <cell r="C8">
            <v>0</v>
          </cell>
        </row>
        <row r="9">
          <cell r="C9">
            <v>41.52497356000001</v>
          </cell>
        </row>
        <row r="11">
          <cell r="C11">
            <v>12.41254564836058</v>
          </cell>
        </row>
        <row r="12">
          <cell r="C12">
            <v>8.126871800265132</v>
          </cell>
        </row>
        <row r="13">
          <cell r="C13">
            <v>0.5163607804645985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0.7338</v>
          </cell>
        </row>
        <row r="4">
          <cell r="C4">
            <v>95.093746</v>
          </cell>
        </row>
        <row r="5">
          <cell r="C5">
            <v>69.7797908148</v>
          </cell>
        </row>
        <row r="7">
          <cell r="C7">
            <v>34.012</v>
          </cell>
        </row>
        <row r="8">
          <cell r="C8">
            <v>0</v>
          </cell>
        </row>
        <row r="9">
          <cell r="C9">
            <v>35.767790814799994</v>
          </cell>
        </row>
        <row r="11">
          <cell r="C11">
            <v>4.261452646226915</v>
          </cell>
        </row>
        <row r="12">
          <cell r="C12">
            <v>4.807376187281159</v>
          </cell>
        </row>
        <row r="13">
          <cell r="C13">
            <v>0.35766810574483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0.3545</v>
          </cell>
        </row>
        <row r="4">
          <cell r="C4">
            <v>189.852307</v>
          </cell>
        </row>
        <row r="5">
          <cell r="C5">
            <v>67.3026428315</v>
          </cell>
        </row>
        <row r="7">
          <cell r="C7">
            <v>42.7</v>
          </cell>
        </row>
        <row r="8">
          <cell r="C8">
            <v>33.925</v>
          </cell>
        </row>
        <row r="9">
          <cell r="C9">
            <v>58.52764283149999</v>
          </cell>
        </row>
        <row r="11">
          <cell r="C11">
            <v>0.6444984142175825</v>
          </cell>
        </row>
        <row r="12">
          <cell r="C12">
            <v>0.8180491233218123</v>
          </cell>
        </row>
        <row r="13">
          <cell r="C13">
            <v>0.04622013889986602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1.49</v>
          </cell>
        </row>
        <row r="4">
          <cell r="C4">
            <v>47.391376</v>
          </cell>
        </row>
        <row r="5">
          <cell r="C5">
            <v>70.61315024</v>
          </cell>
        </row>
        <row r="7">
          <cell r="C7">
            <v>7.7610600939248</v>
          </cell>
        </row>
        <row r="8">
          <cell r="C8">
            <v>11.164787173581404</v>
          </cell>
        </row>
        <row r="9">
          <cell r="C9">
            <v>74.0168773196566</v>
          </cell>
        </row>
        <row r="11">
          <cell r="C11">
            <v>-0.07182165547707675</v>
          </cell>
        </row>
        <row r="12">
          <cell r="C12">
            <v>-1.04820245334032</v>
          </cell>
        </row>
        <row r="13">
          <cell r="C13">
            <v>-0.07182165547707675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1.22</v>
          </cell>
        </row>
        <row r="4">
          <cell r="C4">
            <v>58.234827</v>
          </cell>
        </row>
        <row r="5">
          <cell r="C5">
            <v>71.04648894</v>
          </cell>
        </row>
        <row r="7">
          <cell r="C7">
            <v>50.774</v>
          </cell>
        </row>
        <row r="8">
          <cell r="C8">
            <v>0.091</v>
          </cell>
        </row>
        <row r="9">
          <cell r="C9">
            <v>20.363488940000003</v>
          </cell>
        </row>
        <row r="11">
          <cell r="C11">
            <v>5.752994795470796</v>
          </cell>
        </row>
        <row r="12">
          <cell r="C12">
            <v>3.715569504484259</v>
          </cell>
        </row>
        <row r="13">
          <cell r="C13">
            <v>0.8703211224444781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1.27</v>
          </cell>
        </row>
        <row r="4">
          <cell r="C4">
            <v>46.125825</v>
          </cell>
        </row>
        <row r="5">
          <cell r="C5">
            <v>58.57979775</v>
          </cell>
        </row>
        <row r="7">
          <cell r="C7">
            <v>0.205035</v>
          </cell>
        </row>
        <row r="8">
          <cell r="C8">
            <v>0</v>
          </cell>
        </row>
        <row r="9">
          <cell r="C9">
            <v>58.374762749999995</v>
          </cell>
        </row>
        <row r="11">
          <cell r="C11">
            <v>0.004445123745754141</v>
          </cell>
        </row>
        <row r="12">
          <cell r="C12">
            <v>-0.9964999025623983</v>
          </cell>
        </row>
        <row r="13">
          <cell r="C13">
            <v>0.004445123745754141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1.39</v>
          </cell>
        </row>
        <row r="4">
          <cell r="C4">
            <v>53.458058</v>
          </cell>
        </row>
        <row r="5">
          <cell r="C5">
            <v>74.30670062</v>
          </cell>
        </row>
        <row r="7">
          <cell r="C7">
            <v>79.431</v>
          </cell>
        </row>
        <row r="8">
          <cell r="C8">
            <v>0</v>
          </cell>
        </row>
        <row r="9">
          <cell r="C9">
            <v>-5.1242993799999965</v>
          </cell>
        </row>
        <row r="11">
          <cell r="C11">
            <v>2.1413393274206594</v>
          </cell>
        </row>
        <row r="12">
          <cell r="C12">
            <v>0.5405318902306904</v>
          </cell>
        </row>
        <row r="13">
          <cell r="C13">
            <v>1.4858564446916496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2.02</v>
          </cell>
        </row>
        <row r="4">
          <cell r="C4">
            <v>30.487731</v>
          </cell>
        </row>
        <row r="5">
          <cell r="C5">
            <v>61.585216620000004</v>
          </cell>
        </row>
        <row r="7">
          <cell r="C7">
            <v>109.528</v>
          </cell>
        </row>
        <row r="8">
          <cell r="C8">
            <v>0</v>
          </cell>
        </row>
        <row r="9">
          <cell r="C9">
            <v>-47.94278338</v>
          </cell>
        </row>
        <row r="11">
          <cell r="C11">
            <v>11.412156419413058</v>
          </cell>
        </row>
        <row r="12">
          <cell r="C12">
            <v>4.649582385848048</v>
          </cell>
        </row>
        <row r="13">
          <cell r="C13">
            <v>3.592527105411682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0.4986</v>
          </cell>
        </row>
        <row r="4">
          <cell r="C4">
            <v>127.510505</v>
          </cell>
        </row>
        <row r="5">
          <cell r="C5">
            <v>63.57673779299999</v>
          </cell>
        </row>
        <row r="7">
          <cell r="C7">
            <v>4.115</v>
          </cell>
        </row>
        <row r="8">
          <cell r="C8">
            <v>0</v>
          </cell>
        </row>
        <row r="9">
          <cell r="C9">
            <v>59.46173779299999</v>
          </cell>
        </row>
        <row r="11">
          <cell r="C11">
            <v>3.8374894887466935</v>
          </cell>
        </row>
        <row r="12">
          <cell r="C12">
            <v>6.696529259419762</v>
          </cell>
        </row>
        <row r="13">
          <cell r="C13">
            <v>0.03227185085652355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4.53</v>
          </cell>
        </row>
        <row r="4">
          <cell r="C4">
            <v>14.541826</v>
          </cell>
        </row>
        <row r="5">
          <cell r="C5">
            <v>65.87447178000001</v>
          </cell>
        </row>
        <row r="7">
          <cell r="C7">
            <v>28.402819</v>
          </cell>
        </row>
        <row r="8">
          <cell r="C8">
            <v>5.067293</v>
          </cell>
        </row>
        <row r="9">
          <cell r="C9">
            <v>42.538945780000006</v>
          </cell>
        </row>
        <row r="11">
          <cell r="C11">
            <v>70.95482441731666</v>
          </cell>
        </row>
        <row r="12">
          <cell r="C12">
            <v>14.663316648414272</v>
          </cell>
        </row>
        <row r="13">
          <cell r="C13">
            <v>1.6047177293965698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0.9605</v>
          </cell>
        </row>
        <row r="4">
          <cell r="C4">
            <v>55.971338</v>
          </cell>
        </row>
        <row r="5">
          <cell r="C5">
            <v>53.76047014900001</v>
          </cell>
        </row>
        <row r="7">
          <cell r="C7">
            <v>5.596254</v>
          </cell>
        </row>
        <row r="8">
          <cell r="C8">
            <v>4.3225</v>
          </cell>
        </row>
        <row r="9">
          <cell r="C9">
            <v>52.486716149</v>
          </cell>
        </row>
        <row r="11">
          <cell r="C11">
            <v>0.6900222150538372</v>
          </cell>
        </row>
        <row r="12">
          <cell r="C12">
            <v>-0.2816010254514969</v>
          </cell>
        </row>
        <row r="13">
          <cell r="C13">
            <v>0.022757254793515928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3.72</v>
          </cell>
        </row>
        <row r="4">
          <cell r="C4">
            <v>16.101068</v>
          </cell>
        </row>
        <row r="5">
          <cell r="C5">
            <v>59.89597296000001</v>
          </cell>
        </row>
        <row r="7">
          <cell r="C7">
            <v>12.670143</v>
          </cell>
        </row>
        <row r="8">
          <cell r="C8">
            <v>0</v>
          </cell>
        </row>
        <row r="9">
          <cell r="C9">
            <v>47.22582996000001</v>
          </cell>
        </row>
        <row r="11">
          <cell r="C11">
            <v>0.7869132035216545</v>
          </cell>
        </row>
        <row r="12">
          <cell r="C12">
            <v>-0.7884641926017057</v>
          </cell>
        </row>
        <row r="13">
          <cell r="C13">
            <v>0.7869132035216545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1.94</v>
          </cell>
        </row>
        <row r="4">
          <cell r="C4">
            <v>33.311012</v>
          </cell>
        </row>
        <row r="5">
          <cell r="C5">
            <v>64.62336327999999</v>
          </cell>
        </row>
        <row r="7">
          <cell r="C7">
            <v>196.576</v>
          </cell>
        </row>
        <row r="8">
          <cell r="C8">
            <v>39.602</v>
          </cell>
        </row>
        <row r="9">
          <cell r="C9">
            <v>-92.35063671999998</v>
          </cell>
        </row>
        <row r="11">
          <cell r="C11">
            <v>4.720213908026392</v>
          </cell>
        </row>
        <row r="12">
          <cell r="C12">
            <v>1.4330999525909238</v>
          </cell>
        </row>
        <row r="13">
          <cell r="C13">
            <v>4.712375595193565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3.47</v>
          </cell>
        </row>
        <row r="4">
          <cell r="C4">
            <v>17.178786</v>
          </cell>
        </row>
        <row r="5">
          <cell r="C5">
            <v>59.61038742</v>
          </cell>
        </row>
        <row r="7">
          <cell r="C7">
            <v>11.198</v>
          </cell>
        </row>
        <row r="8">
          <cell r="C8">
            <v>0</v>
          </cell>
        </row>
        <row r="9">
          <cell r="C9">
            <v>48.41238742</v>
          </cell>
        </row>
        <row r="11">
          <cell r="C11">
            <v>21.669051071698362</v>
          </cell>
        </row>
        <row r="12">
          <cell r="C12">
            <v>5.244683305964946</v>
          </cell>
        </row>
        <row r="13">
          <cell r="C13">
            <v>0.6518504858259484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0.7356</v>
          </cell>
        </row>
        <row r="4">
          <cell r="C4">
            <v>72.483852</v>
          </cell>
        </row>
        <row r="5">
          <cell r="C5">
            <v>53.319121531200004</v>
          </cell>
        </row>
        <row r="7">
          <cell r="C7">
            <v>34.824</v>
          </cell>
        </row>
        <row r="8">
          <cell r="C8">
            <v>0</v>
          </cell>
        </row>
        <row r="9">
          <cell r="C9">
            <v>18.495121531200006</v>
          </cell>
        </row>
        <row r="11">
          <cell r="C11">
            <v>6.724578476223118</v>
          </cell>
        </row>
        <row r="12">
          <cell r="C12">
            <v>8.141623812157583</v>
          </cell>
        </row>
        <row r="13">
          <cell r="C13">
            <v>0.48043804294506864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1.19</v>
          </cell>
        </row>
        <row r="4">
          <cell r="C4">
            <v>43.643619</v>
          </cell>
        </row>
        <row r="5">
          <cell r="C5">
            <v>51.935906609999996</v>
          </cell>
        </row>
        <row r="7">
          <cell r="C7">
            <v>13.084144</v>
          </cell>
        </row>
        <row r="8">
          <cell r="C8">
            <v>0.343686</v>
          </cell>
        </row>
        <row r="9">
          <cell r="C9">
            <v>39.19544860999999</v>
          </cell>
        </row>
        <row r="11">
          <cell r="C11">
            <v>3.101084629057901</v>
          </cell>
        </row>
        <row r="12">
          <cell r="C12">
            <v>1.6059534697965558</v>
          </cell>
        </row>
        <row r="13">
          <cell r="C13">
            <v>0.2919202919446254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0.8752</v>
          </cell>
        </row>
        <row r="4">
          <cell r="C4">
            <v>62.974309</v>
          </cell>
        </row>
        <row r="5">
          <cell r="C5">
            <v>55.115115236799994</v>
          </cell>
        </row>
        <row r="7">
          <cell r="C7">
            <v>31.486</v>
          </cell>
        </row>
        <row r="8">
          <cell r="C8">
            <v>0</v>
          </cell>
        </row>
        <row r="9">
          <cell r="C9">
            <v>23.629115236799993</v>
          </cell>
        </row>
        <row r="11">
          <cell r="C11">
            <v>0.4999816671271455</v>
          </cell>
        </row>
        <row r="12">
          <cell r="C12">
            <v>-0.42872295803571125</v>
          </cell>
        </row>
        <row r="13">
          <cell r="C13">
            <v>0.4999816671271455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8.54</v>
          </cell>
        </row>
        <row r="4">
          <cell r="C4">
            <v>6.580149</v>
          </cell>
        </row>
        <row r="5">
          <cell r="C5">
            <v>56.19447245999999</v>
          </cell>
        </row>
        <row r="7">
          <cell r="C7">
            <v>136.04</v>
          </cell>
        </row>
        <row r="8">
          <cell r="C8">
            <v>0</v>
          </cell>
        </row>
        <row r="9">
          <cell r="C9">
            <v>-79.84552754</v>
          </cell>
        </row>
        <row r="11">
          <cell r="C11">
            <v>20.674303879744972</v>
          </cell>
        </row>
        <row r="12">
          <cell r="C12">
            <v>1.4208786744432054</v>
          </cell>
        </row>
        <row r="13">
          <cell r="C13">
            <v>20.674303879744972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0.9124</v>
          </cell>
        </row>
        <row r="4">
          <cell r="C4">
            <v>61.921897</v>
          </cell>
        </row>
        <row r="5">
          <cell r="C5">
            <v>56.4975388228</v>
          </cell>
        </row>
        <row r="7">
          <cell r="C7">
            <v>158.101</v>
          </cell>
        </row>
        <row r="8">
          <cell r="C8">
            <v>0</v>
          </cell>
        </row>
        <row r="9">
          <cell r="C9">
            <v>-101.60346117719999</v>
          </cell>
        </row>
        <row r="11">
          <cell r="C11">
            <v>-1.00290042450703</v>
          </cell>
        </row>
        <row r="12">
          <cell r="C12">
            <v>-2.0991894174781125</v>
          </cell>
        </row>
        <row r="13">
          <cell r="C13">
            <v>2.5532325019047786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1.07</v>
          </cell>
        </row>
        <row r="4">
          <cell r="C4">
            <v>51.905796</v>
          </cell>
        </row>
        <row r="5">
          <cell r="C5">
            <v>55.53920172000001</v>
          </cell>
        </row>
        <row r="7">
          <cell r="C7">
            <v>17.076</v>
          </cell>
        </row>
        <row r="8">
          <cell r="C8">
            <v>0</v>
          </cell>
        </row>
        <row r="9">
          <cell r="C9">
            <v>38.46320172000001</v>
          </cell>
        </row>
        <row r="11">
          <cell r="C11">
            <v>0.3289806017039022</v>
          </cell>
        </row>
        <row r="12">
          <cell r="C12">
            <v>-0.6925414937346709</v>
          </cell>
        </row>
        <row r="13">
          <cell r="C13">
            <v>0.3289806017039022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7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1.62</v>
          </cell>
        </row>
        <row r="4">
          <cell r="C4">
            <v>35.421413</v>
          </cell>
        </row>
        <row r="5">
          <cell r="C5">
            <v>57.382689060000004</v>
          </cell>
        </row>
        <row r="7">
          <cell r="C7">
            <v>10.064141000000001</v>
          </cell>
        </row>
        <row r="8">
          <cell r="C8">
            <v>0.14305</v>
          </cell>
        </row>
        <row r="9">
          <cell r="C9">
            <v>47.46159806000001</v>
          </cell>
        </row>
        <row r="11">
          <cell r="C11">
            <v>16.233870254196212</v>
          </cell>
        </row>
        <row r="12">
          <cell r="C12">
            <v>9.020907564318648</v>
          </cell>
        </row>
        <row r="13">
          <cell r="C13">
            <v>0.28008738668895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0.5951</v>
          </cell>
        </row>
        <row r="4">
          <cell r="C4">
            <v>86.267032</v>
          </cell>
        </row>
        <row r="5">
          <cell r="C5">
            <v>51.3375107432</v>
          </cell>
        </row>
        <row r="7">
          <cell r="C7">
            <v>43.627</v>
          </cell>
        </row>
        <row r="8">
          <cell r="C8">
            <v>0</v>
          </cell>
        </row>
        <row r="9">
          <cell r="C9">
            <v>7.710510743199997</v>
          </cell>
        </row>
        <row r="11">
          <cell r="C11">
            <v>2.0063316481825137</v>
          </cell>
        </row>
        <row r="12">
          <cell r="C12">
            <v>2.3714193382330935</v>
          </cell>
        </row>
        <row r="13">
          <cell r="C13">
            <v>0.5057204239969679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</v>
          </cell>
        </row>
        <row r="4">
          <cell r="C4">
            <v>45.129508</v>
          </cell>
        </row>
        <row r="5">
          <cell r="C5">
            <v>54.1554096</v>
          </cell>
        </row>
        <row r="7">
          <cell r="C7">
            <v>9.479</v>
          </cell>
        </row>
        <row r="8">
          <cell r="C8">
            <v>0</v>
          </cell>
        </row>
        <row r="9">
          <cell r="C9">
            <v>44.6764096</v>
          </cell>
        </row>
        <row r="11">
          <cell r="C11">
            <v>27.208658984594194</v>
          </cell>
        </row>
        <row r="12">
          <cell r="C12">
            <v>21.67388248716183</v>
          </cell>
        </row>
        <row r="13">
          <cell r="C13">
            <v>0.21003995877819007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7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20.21</v>
          </cell>
        </row>
        <row r="4">
          <cell r="C4">
            <v>2.669746</v>
          </cell>
        </row>
        <row r="5">
          <cell r="C5">
            <v>53.95556666</v>
          </cell>
        </row>
        <row r="7">
          <cell r="C7">
            <v>22.925</v>
          </cell>
        </row>
        <row r="8">
          <cell r="C8">
            <v>0</v>
          </cell>
        </row>
        <row r="9">
          <cell r="C9">
            <v>31.03056666</v>
          </cell>
        </row>
        <row r="11">
          <cell r="C11">
            <v>68.7035882165937</v>
          </cell>
        </row>
        <row r="12">
          <cell r="C12">
            <v>2.399484820217402</v>
          </cell>
        </row>
        <row r="13">
          <cell r="C13">
            <v>8.586959208853576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8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2.43</v>
          </cell>
        </row>
        <row r="4">
          <cell r="C4">
            <v>22.747985</v>
          </cell>
        </row>
        <row r="5">
          <cell r="C5">
            <v>55.27760355</v>
          </cell>
        </row>
        <row r="7">
          <cell r="C7">
            <v>72.626</v>
          </cell>
        </row>
        <row r="8">
          <cell r="C8">
            <v>0</v>
          </cell>
        </row>
        <row r="9">
          <cell r="C9">
            <v>-17.348396450000003</v>
          </cell>
        </row>
        <row r="11">
          <cell r="C11">
            <v>3.1926344245435367</v>
          </cell>
        </row>
        <row r="12">
          <cell r="C12">
            <v>0.31384132697264877</v>
          </cell>
        </row>
        <row r="13">
          <cell r="C13">
            <v>3.1926344245435367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8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2.07</v>
          </cell>
        </row>
        <row r="4">
          <cell r="C4">
            <v>23.804981</v>
          </cell>
        </row>
        <row r="5">
          <cell r="C5">
            <v>49.27631067</v>
          </cell>
        </row>
        <row r="7">
          <cell r="C7">
            <v>93.53800000000001</v>
          </cell>
        </row>
        <row r="8">
          <cell r="C8">
            <v>0</v>
          </cell>
        </row>
        <row r="9">
          <cell r="C9">
            <v>-44.26168933000001</v>
          </cell>
        </row>
        <row r="11">
          <cell r="C11">
            <v>3.9293457113030255</v>
          </cell>
        </row>
        <row r="12">
          <cell r="C12">
            <v>0.8982346431415584</v>
          </cell>
        </row>
        <row r="13">
          <cell r="C13">
            <v>3.9293457113030255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8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1.63</v>
          </cell>
        </row>
        <row r="4">
          <cell r="C4">
            <v>37.423917</v>
          </cell>
        </row>
        <row r="5">
          <cell r="C5">
            <v>61.00098471</v>
          </cell>
        </row>
        <row r="7">
          <cell r="C7">
            <v>118</v>
          </cell>
        </row>
        <row r="8">
          <cell r="C8">
            <v>0</v>
          </cell>
        </row>
        <row r="9">
          <cell r="C9">
            <v>-56.99901529</v>
          </cell>
        </row>
        <row r="11">
          <cell r="C11">
            <v>66.16357943313356</v>
          </cell>
        </row>
        <row r="12">
          <cell r="C12">
            <v>39.59115302646231</v>
          </cell>
        </row>
        <row r="13">
          <cell r="C13">
            <v>3.1530638548605157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8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9.86</v>
          </cell>
        </row>
        <row r="4">
          <cell r="C4">
            <v>5.103002</v>
          </cell>
        </row>
        <row r="5">
          <cell r="C5">
            <v>50.315599719999994</v>
          </cell>
        </row>
        <row r="7">
          <cell r="C7">
            <v>8.806977</v>
          </cell>
        </row>
        <row r="8">
          <cell r="C8">
            <v>0</v>
          </cell>
        </row>
        <row r="9">
          <cell r="C9">
            <v>41.50862271999999</v>
          </cell>
        </row>
        <row r="11">
          <cell r="C11">
            <v>16.945369551283658</v>
          </cell>
        </row>
        <row r="12">
          <cell r="C12">
            <v>0.7185973175744076</v>
          </cell>
        </row>
        <row r="13">
          <cell r="C13">
            <v>1.72584235710666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8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0.519</v>
          </cell>
        </row>
        <row r="4">
          <cell r="C4">
            <v>107.207513</v>
          </cell>
        </row>
        <row r="5">
          <cell r="C5">
            <v>55.64069924700001</v>
          </cell>
        </row>
        <row r="7">
          <cell r="C7">
            <v>113.8</v>
          </cell>
        </row>
        <row r="8">
          <cell r="C8">
            <v>0</v>
          </cell>
        </row>
        <row r="9">
          <cell r="C9">
            <v>-58.15930075299999</v>
          </cell>
        </row>
        <row r="11">
          <cell r="C11">
            <v>-0.3243489896697541</v>
          </cell>
        </row>
        <row r="12">
          <cell r="C12">
            <v>-1.6249498837567518</v>
          </cell>
        </row>
        <row r="13">
          <cell r="C13">
            <v>1.0614927705673014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8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5.27</v>
          </cell>
        </row>
        <row r="4">
          <cell r="C4">
            <v>9.421663</v>
          </cell>
        </row>
        <row r="5">
          <cell r="C5">
            <v>49.65216401</v>
          </cell>
        </row>
        <row r="7">
          <cell r="C7">
            <v>51.067</v>
          </cell>
        </row>
        <row r="8">
          <cell r="C8">
            <v>0</v>
          </cell>
        </row>
        <row r="9">
          <cell r="C9">
            <v>-1.4148359900000003</v>
          </cell>
        </row>
        <row r="11">
          <cell r="C11">
            <v>138.20248988340342</v>
          </cell>
        </row>
        <row r="12">
          <cell r="C12">
            <v>25.224381382049987</v>
          </cell>
        </row>
        <row r="13">
          <cell r="C13">
            <v>5.420168392777368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8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2.37</v>
          </cell>
        </row>
        <row r="4">
          <cell r="C4">
            <v>18.1257385</v>
          </cell>
        </row>
        <row r="5">
          <cell r="C5">
            <v>42.958000245</v>
          </cell>
        </row>
        <row r="7">
          <cell r="C7">
            <v>23.104384133611692</v>
          </cell>
        </row>
        <row r="8">
          <cell r="C8" t="str">
            <v>empty</v>
          </cell>
        </row>
        <row r="9">
          <cell r="C9">
            <v>19.85361611138831</v>
          </cell>
        </row>
        <row r="11">
          <cell r="C11">
            <v>1.2746727055348224</v>
          </cell>
        </row>
        <row r="12">
          <cell r="C12">
            <v>-0.4621634153861509</v>
          </cell>
        </row>
        <row r="13">
          <cell r="C13">
            <v>1.2746727055348224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8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0.821</v>
          </cell>
        </row>
        <row r="4">
          <cell r="C4">
            <v>64.307256</v>
          </cell>
        </row>
        <row r="5">
          <cell r="C5">
            <v>52.79625717599999</v>
          </cell>
        </row>
        <row r="7">
          <cell r="C7">
            <v>88.039</v>
          </cell>
        </row>
        <row r="8">
          <cell r="C8">
            <v>0</v>
          </cell>
        </row>
        <row r="9">
          <cell r="C9">
            <v>-35.24274282400001</v>
          </cell>
        </row>
        <row r="11">
          <cell r="C11">
            <v>3.9915925007325344</v>
          </cell>
        </row>
        <row r="12">
          <cell r="C12">
            <v>3.8618666269580206</v>
          </cell>
        </row>
        <row r="13">
          <cell r="C13">
            <v>1.3690368004506366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8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2.975</v>
          </cell>
        </row>
        <row r="4">
          <cell r="C4">
            <v>15.539434</v>
          </cell>
        </row>
        <row r="5">
          <cell r="C5">
            <v>46.22981615</v>
          </cell>
        </row>
        <row r="7">
          <cell r="C7">
            <v>9.637216</v>
          </cell>
        </row>
        <row r="8">
          <cell r="C8">
            <v>8.438677</v>
          </cell>
        </row>
        <row r="9">
          <cell r="C9">
            <v>45.031277149999994</v>
          </cell>
        </row>
        <row r="11">
          <cell r="C11">
            <v>0.0771288709743225</v>
          </cell>
        </row>
        <row r="12">
          <cell r="C12">
            <v>-0.9740743290842614</v>
          </cell>
        </row>
        <row r="13">
          <cell r="C13">
            <v>0.0771288709743225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8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0.2237</v>
          </cell>
        </row>
        <row r="4">
          <cell r="C4">
            <v>237.381498</v>
          </cell>
        </row>
        <row r="5">
          <cell r="C5">
            <v>53.102241102600004</v>
          </cell>
        </row>
        <row r="7">
          <cell r="C7">
            <v>5.755</v>
          </cell>
        </row>
        <row r="8">
          <cell r="C8">
            <v>0</v>
          </cell>
        </row>
        <row r="9">
          <cell r="C9">
            <v>47.3472411026</v>
          </cell>
        </row>
        <row r="11">
          <cell r="C11">
            <v>1.26728992612092</v>
          </cell>
        </row>
        <row r="12">
          <cell r="C12">
            <v>4.665131542784622</v>
          </cell>
        </row>
        <row r="13">
          <cell r="C13">
            <v>0.0242436754696021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9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0.2951</v>
          </cell>
        </row>
        <row r="4">
          <cell r="C4">
            <v>159.6909728</v>
          </cell>
        </row>
        <row r="5">
          <cell r="C5">
            <v>47.12480607328</v>
          </cell>
        </row>
        <row r="7">
          <cell r="C7">
            <v>30.118</v>
          </cell>
        </row>
        <row r="8">
          <cell r="C8">
            <v>0</v>
          </cell>
        </row>
        <row r="9">
          <cell r="C9">
            <v>17.00680607328</v>
          </cell>
        </row>
        <row r="11">
          <cell r="C11">
            <v>0.1886017692291245</v>
          </cell>
        </row>
        <row r="12">
          <cell r="C12">
            <v>-0.3608886166413944</v>
          </cell>
        </row>
        <row r="13">
          <cell r="C13">
            <v>0.1886017692291245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9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1.05</v>
          </cell>
        </row>
        <row r="4">
          <cell r="C4">
            <v>48.599066</v>
          </cell>
        </row>
        <row r="5">
          <cell r="C5">
            <v>51.0290193</v>
          </cell>
        </row>
        <row r="7">
          <cell r="C7">
            <v>21.987</v>
          </cell>
        </row>
        <row r="8">
          <cell r="C8">
            <v>0</v>
          </cell>
        </row>
        <row r="9">
          <cell r="C9">
            <v>29.042019300000003</v>
          </cell>
        </row>
        <row r="11">
          <cell r="C11">
            <v>0.8224773690341572</v>
          </cell>
        </row>
        <row r="12">
          <cell r="C12">
            <v>-0.21668821996746934</v>
          </cell>
        </row>
        <row r="13">
          <cell r="C13">
            <v>0.45241610198846205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9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3.88</v>
          </cell>
        </row>
        <row r="4">
          <cell r="C4">
            <v>12.803006</v>
          </cell>
        </row>
        <row r="5">
          <cell r="C5">
            <v>49.675663279999995</v>
          </cell>
        </row>
        <row r="7">
          <cell r="C7">
            <v>5.591</v>
          </cell>
        </row>
        <row r="8">
          <cell r="C8">
            <v>0</v>
          </cell>
        </row>
        <row r="9">
          <cell r="C9">
            <v>44.084663279999994</v>
          </cell>
        </row>
        <row r="11">
          <cell r="C11">
            <v>0.43669432006827147</v>
          </cell>
        </row>
        <row r="12">
          <cell r="C12">
            <v>-0.8874499175081775</v>
          </cell>
        </row>
        <row r="13">
          <cell r="C13">
            <v>0.43669432006827147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9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1.57</v>
          </cell>
        </row>
        <row r="4">
          <cell r="C4">
            <v>26.281882</v>
          </cell>
        </row>
        <row r="5">
          <cell r="C5">
            <v>41.26255474</v>
          </cell>
        </row>
        <row r="7">
          <cell r="C7">
            <v>23.48</v>
          </cell>
        </row>
        <row r="8">
          <cell r="C8">
            <v>9.535</v>
          </cell>
        </row>
        <row r="9">
          <cell r="C9">
            <v>27.31755474</v>
          </cell>
        </row>
        <row r="11">
          <cell r="C11">
            <v>2.9550087022125044</v>
          </cell>
        </row>
        <row r="12">
          <cell r="C12">
            <v>0.8821711479060537</v>
          </cell>
        </row>
        <row r="13">
          <cell r="C13">
            <v>0.5305936614432711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9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6.43</v>
          </cell>
        </row>
        <row r="4">
          <cell r="C4">
            <v>6.51154</v>
          </cell>
        </row>
        <row r="5">
          <cell r="C5">
            <v>41.8692022</v>
          </cell>
        </row>
        <row r="7">
          <cell r="C7">
            <v>1.082155</v>
          </cell>
        </row>
        <row r="8">
          <cell r="C8">
            <v>1.651</v>
          </cell>
        </row>
        <row r="9">
          <cell r="C9">
            <v>42.4380472</v>
          </cell>
        </row>
        <row r="11">
          <cell r="C11">
            <v>-0.08735951863921593</v>
          </cell>
        </row>
        <row r="12">
          <cell r="C12">
            <v>-1.0135862392907022</v>
          </cell>
        </row>
        <row r="13">
          <cell r="C13">
            <v>-0.08735951863921593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9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</v>
          </cell>
        </row>
        <row r="4">
          <cell r="C4">
            <v>27.753789</v>
          </cell>
        </row>
        <row r="5">
          <cell r="C5">
            <v>44.4060624</v>
          </cell>
        </row>
        <row r="7">
          <cell r="C7">
            <v>18.411</v>
          </cell>
        </row>
        <row r="8">
          <cell r="C8">
            <v>0</v>
          </cell>
        </row>
        <row r="9">
          <cell r="C9">
            <v>25.995062400000002</v>
          </cell>
        </row>
        <row r="11">
          <cell r="C11">
            <v>21.238146410533417</v>
          </cell>
        </row>
        <row r="12">
          <cell r="C12">
            <v>12.273841506583386</v>
          </cell>
        </row>
        <row r="13">
          <cell r="C13">
            <v>0.663368882713636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9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4.13</v>
          </cell>
        </row>
        <row r="4">
          <cell r="C4">
            <v>11.351456</v>
          </cell>
        </row>
        <row r="5">
          <cell r="C5">
            <v>46.88151328</v>
          </cell>
        </row>
        <row r="7">
          <cell r="C7">
            <v>136.15300000000002</v>
          </cell>
        </row>
        <row r="8">
          <cell r="C8">
            <v>0</v>
          </cell>
        </row>
        <row r="9">
          <cell r="C9">
            <v>-89.27148672000001</v>
          </cell>
        </row>
        <row r="11">
          <cell r="C11">
            <v>11.994320376170247</v>
          </cell>
        </row>
        <row r="12">
          <cell r="C12">
            <v>1.9041937956828687</v>
          </cell>
        </row>
        <row r="13">
          <cell r="C13">
            <v>11.994320376170247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9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1.66</v>
          </cell>
        </row>
        <row r="4">
          <cell r="C4">
            <v>25.400473</v>
          </cell>
        </row>
        <row r="5">
          <cell r="C5">
            <v>42.16478518</v>
          </cell>
        </row>
        <row r="7">
          <cell r="C7">
            <v>23.024</v>
          </cell>
        </row>
        <row r="8">
          <cell r="C8">
            <v>3.087</v>
          </cell>
        </row>
        <row r="9">
          <cell r="C9">
            <v>22.22778518</v>
          </cell>
        </row>
        <row r="11">
          <cell r="C11">
            <v>0.6194909708192644</v>
          </cell>
        </row>
        <row r="12">
          <cell r="C12">
            <v>-0.626812668181166</v>
          </cell>
        </row>
        <row r="13">
          <cell r="C13">
            <v>0.7849066432739265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49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0.8935</v>
          </cell>
        </row>
        <row r="4">
          <cell r="C4">
            <v>50.615437</v>
          </cell>
        </row>
        <row r="5">
          <cell r="C5">
            <v>45.224892959499996</v>
          </cell>
        </row>
        <row r="7">
          <cell r="C7">
            <v>6.968</v>
          </cell>
        </row>
        <row r="8">
          <cell r="C8">
            <v>0</v>
          </cell>
        </row>
        <row r="9">
          <cell r="C9">
            <v>38.25689295949999</v>
          </cell>
        </row>
        <row r="11">
          <cell r="C11">
            <v>0.13766551101791336</v>
          </cell>
        </row>
        <row r="12">
          <cell r="C12">
            <v>-0.8459255612558328</v>
          </cell>
        </row>
        <row r="13">
          <cell r="C13">
            <v>0.13766551101791336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49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</v>
          </cell>
        </row>
        <row r="4">
          <cell r="C4">
            <v>31.881979</v>
          </cell>
        </row>
        <row r="5">
          <cell r="C5">
            <v>47.8229685</v>
          </cell>
        </row>
        <row r="7">
          <cell r="C7">
            <v>10.077</v>
          </cell>
        </row>
        <row r="8">
          <cell r="C8">
            <v>0</v>
          </cell>
        </row>
        <row r="9">
          <cell r="C9">
            <v>37.745968500000004</v>
          </cell>
        </row>
        <row r="11">
          <cell r="C11">
            <v>0.3160719728220133</v>
          </cell>
        </row>
        <row r="12">
          <cell r="C12">
            <v>-0.7892853514519911</v>
          </cell>
        </row>
        <row r="13">
          <cell r="C13">
            <v>0.3160719728220133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0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4.52</v>
          </cell>
        </row>
        <row r="4">
          <cell r="C4">
            <v>9.36149</v>
          </cell>
        </row>
        <row r="5">
          <cell r="C5">
            <v>42.3139348</v>
          </cell>
        </row>
        <row r="7">
          <cell r="C7">
            <v>118.19</v>
          </cell>
        </row>
        <row r="8">
          <cell r="C8">
            <v>0</v>
          </cell>
        </row>
        <row r="9">
          <cell r="C9">
            <v>-75.8760652</v>
          </cell>
        </row>
        <row r="11">
          <cell r="C11">
            <v>36.47160227900287</v>
          </cell>
        </row>
        <row r="12">
          <cell r="C12">
            <v>7.0689385573015215</v>
          </cell>
        </row>
        <row r="13">
          <cell r="C13">
            <v>12.625126982990956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0.9932</v>
          </cell>
        </row>
        <row r="4">
          <cell r="C4">
            <v>42.606152</v>
          </cell>
        </row>
        <row r="5">
          <cell r="C5">
            <v>42.3164301664</v>
          </cell>
        </row>
        <row r="7">
          <cell r="C7">
            <v>18.728945</v>
          </cell>
        </row>
        <row r="8">
          <cell r="C8">
            <v>0</v>
          </cell>
        </row>
        <row r="9">
          <cell r="C9">
            <v>23.587485166400004</v>
          </cell>
        </row>
        <row r="11">
          <cell r="C11">
            <v>74.70364486958611</v>
          </cell>
        </row>
        <row r="12">
          <cell r="C12">
            <v>74.21510760127478</v>
          </cell>
        </row>
        <row r="13">
          <cell r="C13">
            <v>0.4395831146638166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0.6651</v>
          </cell>
        </row>
        <row r="4">
          <cell r="C4">
            <v>60.326421</v>
          </cell>
        </row>
        <row r="5">
          <cell r="C5">
            <v>40.1231026071</v>
          </cell>
        </row>
        <row r="7">
          <cell r="C7">
            <v>45.089786</v>
          </cell>
        </row>
        <row r="8">
          <cell r="C8">
            <v>0</v>
          </cell>
        </row>
        <row r="9">
          <cell r="C9">
            <v>-4.966683392899995</v>
          </cell>
        </row>
        <row r="11">
          <cell r="C11">
            <v>19.80874211658307</v>
          </cell>
        </row>
        <row r="12">
          <cell r="C12">
            <v>28.78310346802446</v>
          </cell>
        </row>
        <row r="13">
          <cell r="C13">
            <v>0.7474301517074914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1.15</v>
          </cell>
        </row>
        <row r="4">
          <cell r="C4">
            <v>33.992553</v>
          </cell>
        </row>
        <row r="5">
          <cell r="C5">
            <v>39.09143595</v>
          </cell>
        </row>
        <row r="7">
          <cell r="C7">
            <v>9.610033</v>
          </cell>
        </row>
        <row r="8">
          <cell r="C8">
            <v>0</v>
          </cell>
        </row>
        <row r="9">
          <cell r="C9">
            <v>29.481402949999996</v>
          </cell>
        </row>
        <row r="11">
          <cell r="C11">
            <v>1.2761800450906184</v>
          </cell>
        </row>
        <row r="12">
          <cell r="C12">
            <v>0.10972177833966823</v>
          </cell>
        </row>
        <row r="13">
          <cell r="C13">
            <v>0.2827099512060774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1.26</v>
          </cell>
        </row>
        <row r="4">
          <cell r="C4">
            <v>32.449767</v>
          </cell>
        </row>
        <row r="5">
          <cell r="C5">
            <v>40.88670642</v>
          </cell>
        </row>
        <row r="7">
          <cell r="C7">
            <v>0.368</v>
          </cell>
        </row>
        <row r="8">
          <cell r="C8">
            <v>0</v>
          </cell>
        </row>
        <row r="9">
          <cell r="C9">
            <v>40.51870642</v>
          </cell>
        </row>
        <row r="11">
          <cell r="C11">
            <v>0.011340605311588215</v>
          </cell>
        </row>
        <row r="12">
          <cell r="C12">
            <v>-0.9909995195939776</v>
          </cell>
        </row>
        <row r="13">
          <cell r="C13">
            <v>0.011340605311588215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0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5.94</v>
          </cell>
        </row>
        <row r="4">
          <cell r="C4">
            <v>6.781976</v>
          </cell>
        </row>
        <row r="5">
          <cell r="C5">
            <v>40.28493744000001</v>
          </cell>
        </row>
        <row r="7">
          <cell r="C7">
            <v>5.541</v>
          </cell>
        </row>
        <row r="8">
          <cell r="C8">
            <v>85.192</v>
          </cell>
        </row>
        <row r="9">
          <cell r="C9">
            <v>119.93593744</v>
          </cell>
        </row>
        <row r="11">
          <cell r="C11">
            <v>-11.744512218857748</v>
          </cell>
        </row>
        <row r="12">
          <cell r="C12">
            <v>-2.9771906092353113</v>
          </cell>
        </row>
        <row r="13">
          <cell r="C13">
            <v>-11.744512218857748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0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3.73</v>
          </cell>
        </row>
        <row r="4">
          <cell r="C4">
            <v>12.848513</v>
          </cell>
        </row>
        <row r="5">
          <cell r="C5">
            <v>47.92495349</v>
          </cell>
        </row>
        <row r="7">
          <cell r="C7">
            <v>9.7</v>
          </cell>
        </row>
        <row r="8">
          <cell r="C8">
            <v>5.374</v>
          </cell>
        </row>
        <row r="9">
          <cell r="C9">
            <v>43.59895349000001</v>
          </cell>
        </row>
        <row r="11">
          <cell r="C11">
            <v>48.700412768712646</v>
          </cell>
        </row>
        <row r="12">
          <cell r="C12">
            <v>12.05641092994977</v>
          </cell>
        </row>
        <row r="13">
          <cell r="C13">
            <v>0.33669265852009483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1.98</v>
          </cell>
        </row>
        <row r="4">
          <cell r="C4">
            <v>21.03593</v>
          </cell>
        </row>
        <row r="5">
          <cell r="C5">
            <v>41.6511414</v>
          </cell>
        </row>
        <row r="7">
          <cell r="C7">
            <v>13.756</v>
          </cell>
        </row>
        <row r="8">
          <cell r="C8">
            <v>0</v>
          </cell>
        </row>
        <row r="9">
          <cell r="C9">
            <v>27.8951414</v>
          </cell>
        </row>
        <row r="11">
          <cell r="C11">
            <v>18.637534646906563</v>
          </cell>
        </row>
        <row r="12">
          <cell r="C12">
            <v>8.412896286316446</v>
          </cell>
        </row>
        <row r="13">
          <cell r="C13">
            <v>0.6539287780478448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2.38</v>
          </cell>
        </row>
        <row r="4">
          <cell r="C4">
            <v>17.05032</v>
          </cell>
        </row>
        <row r="5">
          <cell r="C5">
            <v>40.5797616</v>
          </cell>
        </row>
        <row r="7">
          <cell r="C7">
            <v>23.880142</v>
          </cell>
        </row>
        <row r="8">
          <cell r="C8">
            <v>0</v>
          </cell>
        </row>
        <row r="9">
          <cell r="C9">
            <v>16.6996196</v>
          </cell>
        </row>
        <row r="11">
          <cell r="C11">
            <v>40.28773143121935</v>
          </cell>
        </row>
        <row r="12">
          <cell r="C12">
            <v>15.927618248411491</v>
          </cell>
        </row>
        <row r="13">
          <cell r="C13">
            <v>1.4005685523790756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0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1.07</v>
          </cell>
        </row>
        <row r="4">
          <cell r="C4">
            <v>35.927468</v>
          </cell>
        </row>
        <row r="5">
          <cell r="C5">
            <v>38.44239076</v>
          </cell>
        </row>
        <row r="7">
          <cell r="C7">
            <v>11.168</v>
          </cell>
        </row>
        <row r="8">
          <cell r="C8">
            <v>121.502</v>
          </cell>
        </row>
        <row r="9">
          <cell r="C9">
            <v>148.77639076</v>
          </cell>
        </row>
        <row r="11">
          <cell r="C11">
            <v>1.8771717917677544</v>
          </cell>
        </row>
        <row r="12">
          <cell r="C12">
            <v>0.7543661605306116</v>
          </cell>
        </row>
        <row r="13">
          <cell r="C13">
            <v>-3.071020757711064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1.56</v>
          </cell>
        </row>
        <row r="4">
          <cell r="C4">
            <v>25.47817</v>
          </cell>
        </row>
        <row r="5">
          <cell r="C5">
            <v>39.7459452</v>
          </cell>
        </row>
        <row r="7">
          <cell r="C7">
            <v>3.59203</v>
          </cell>
        </row>
        <row r="8">
          <cell r="C8">
            <v>0</v>
          </cell>
        </row>
        <row r="9">
          <cell r="C9">
            <v>36.1539152</v>
          </cell>
        </row>
        <row r="11">
          <cell r="C11">
            <v>0.1409846154570756</v>
          </cell>
        </row>
        <row r="12">
          <cell r="C12">
            <v>-0.9096252465018746</v>
          </cell>
        </row>
        <row r="13">
          <cell r="C13">
            <v>0.1409846154570756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4.12</v>
          </cell>
        </row>
        <row r="4">
          <cell r="C4">
            <v>9.281359</v>
          </cell>
        </row>
        <row r="5">
          <cell r="C5">
            <v>38.23919908</v>
          </cell>
        </row>
        <row r="7">
          <cell r="C7">
            <v>5.652696</v>
          </cell>
        </row>
        <row r="8">
          <cell r="C8">
            <v>0</v>
          </cell>
        </row>
        <row r="9">
          <cell r="C9">
            <v>32.58650308</v>
          </cell>
        </row>
        <row r="11">
          <cell r="C11">
            <v>0.6090375342662642</v>
          </cell>
        </row>
        <row r="12">
          <cell r="C12">
            <v>-0.8521753557606155</v>
          </cell>
        </row>
        <row r="13">
          <cell r="C13">
            <v>0.6090375342662642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1.64</v>
          </cell>
        </row>
        <row r="4">
          <cell r="C4">
            <v>17.849471</v>
          </cell>
        </row>
        <row r="5">
          <cell r="C5">
            <v>29.27313244</v>
          </cell>
        </row>
        <row r="7">
          <cell r="C7">
            <v>6.962492</v>
          </cell>
        </row>
        <row r="8">
          <cell r="C8">
            <v>1</v>
          </cell>
        </row>
        <row r="9">
          <cell r="C9">
            <v>23.31064044</v>
          </cell>
        </row>
        <row r="11">
          <cell r="C11">
            <v>0.3340430649177222</v>
          </cell>
        </row>
        <row r="12">
          <cell r="C12">
            <v>-0.796315204318462</v>
          </cell>
        </row>
        <row r="13">
          <cell r="C13">
            <v>0.3340430649177222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3.8</v>
          </cell>
        </row>
        <row r="4">
          <cell r="C4">
            <v>9.949609</v>
          </cell>
        </row>
        <row r="5">
          <cell r="C5">
            <v>37.8085142</v>
          </cell>
        </row>
        <row r="7">
          <cell r="C7">
            <v>71.1</v>
          </cell>
        </row>
        <row r="8">
          <cell r="C8">
            <v>0</v>
          </cell>
        </row>
        <row r="9">
          <cell r="C9">
            <v>-33.2914858</v>
          </cell>
        </row>
        <row r="11">
          <cell r="C11">
            <v>7.146009456250994</v>
          </cell>
        </row>
        <row r="12">
          <cell r="C12">
            <v>0.8805288042765773</v>
          </cell>
        </row>
        <row r="13">
          <cell r="C13">
            <v>7.146009456250994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</v>
          </cell>
        </row>
        <row r="4">
          <cell r="C4">
            <v>14.692796</v>
          </cell>
        </row>
        <row r="5">
          <cell r="C5">
            <v>24.9777532</v>
          </cell>
        </row>
        <row r="7">
          <cell r="C7">
            <v>0.761</v>
          </cell>
        </row>
        <row r="8">
          <cell r="C8">
            <v>0</v>
          </cell>
        </row>
        <row r="9">
          <cell r="C9">
            <v>24.2167532</v>
          </cell>
        </row>
        <row r="11">
          <cell r="C11">
            <v>0.051794090110554865</v>
          </cell>
        </row>
        <row r="12">
          <cell r="C12">
            <v>-0.9695328881702618</v>
          </cell>
        </row>
        <row r="13">
          <cell r="C13">
            <v>0.051794090110554865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1.065</v>
          </cell>
        </row>
        <row r="4">
          <cell r="C4">
            <v>34.14146</v>
          </cell>
        </row>
        <row r="5">
          <cell r="C5">
            <v>36.3606549</v>
          </cell>
        </row>
        <row r="7">
          <cell r="C7">
            <v>18.617</v>
          </cell>
        </row>
        <row r="8">
          <cell r="C8">
            <v>0</v>
          </cell>
        </row>
        <row r="9">
          <cell r="C9">
            <v>17.7436549</v>
          </cell>
        </row>
        <row r="11">
          <cell r="C11">
            <v>0.5452900959712912</v>
          </cell>
        </row>
        <row r="12">
          <cell r="C12">
            <v>-0.48799052021475</v>
          </cell>
        </row>
        <row r="13">
          <cell r="C13">
            <v>0.5452900959712912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2.78</v>
          </cell>
        </row>
        <row r="4">
          <cell r="C4">
            <v>12.544627</v>
          </cell>
        </row>
        <row r="5">
          <cell r="C5">
            <v>34.87406306</v>
          </cell>
        </row>
        <row r="7">
          <cell r="C7">
            <v>67.711</v>
          </cell>
        </row>
        <row r="8">
          <cell r="C8">
            <v>0</v>
          </cell>
        </row>
        <row r="9">
          <cell r="C9">
            <v>-32.83693694</v>
          </cell>
        </row>
        <row r="11">
          <cell r="C11">
            <v>24.58357572038088</v>
          </cell>
        </row>
        <row r="12">
          <cell r="C12">
            <v>7.843012849057871</v>
          </cell>
        </row>
        <row r="13">
          <cell r="C13">
            <v>5.3976096698610485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</v>
          </cell>
        </row>
        <row r="4">
          <cell r="C4">
            <v>25.525</v>
          </cell>
        </row>
        <row r="5">
          <cell r="C5">
            <v>38.287499999999994</v>
          </cell>
        </row>
        <row r="7">
          <cell r="C7">
            <v>2.79411</v>
          </cell>
        </row>
        <row r="8">
          <cell r="C8">
            <v>0</v>
          </cell>
        </row>
        <row r="9">
          <cell r="C9">
            <v>35.49338999999999</v>
          </cell>
        </row>
        <row r="11">
          <cell r="C11">
            <v>0.10946562193927523</v>
          </cell>
        </row>
        <row r="12">
          <cell r="C12">
            <v>-0.9270229187071498</v>
          </cell>
        </row>
        <row r="13">
          <cell r="C13">
            <v>0.10946562193927523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0.8105</v>
          </cell>
        </row>
        <row r="4">
          <cell r="C4">
            <v>44.28923</v>
          </cell>
        </row>
        <row r="5">
          <cell r="C5">
            <v>35.896420915</v>
          </cell>
        </row>
        <row r="7">
          <cell r="C7">
            <v>19.896</v>
          </cell>
        </row>
        <row r="8">
          <cell r="C8">
            <v>0</v>
          </cell>
        </row>
        <row r="9">
          <cell r="C9">
            <v>16.000420915</v>
          </cell>
        </row>
        <row r="11">
          <cell r="C11">
            <v>0.4492288531545931</v>
          </cell>
        </row>
        <row r="12">
          <cell r="C12">
            <v>-0.44573861424479566</v>
          </cell>
        </row>
        <row r="13">
          <cell r="C13">
            <v>0.4492288531545931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1.19</v>
          </cell>
        </row>
        <row r="4">
          <cell r="C4">
            <v>30.407268</v>
          </cell>
        </row>
        <row r="5">
          <cell r="C5">
            <v>36.184648919999994</v>
          </cell>
        </row>
        <row r="7">
          <cell r="C7">
            <v>5.706</v>
          </cell>
        </row>
        <row r="8">
          <cell r="C8">
            <v>0</v>
          </cell>
        </row>
        <row r="9">
          <cell r="C9">
            <v>30.478648919999994</v>
          </cell>
        </row>
        <row r="11">
          <cell r="C11">
            <v>0.18765250465776803</v>
          </cell>
        </row>
        <row r="12">
          <cell r="C12">
            <v>-0.842308819615321</v>
          </cell>
        </row>
        <row r="13">
          <cell r="C13">
            <v>0.18765250465776803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0.6885</v>
          </cell>
        </row>
        <row r="4">
          <cell r="C4">
            <v>48.307896</v>
          </cell>
        </row>
        <row r="5">
          <cell r="C5">
            <v>33.259986396</v>
          </cell>
        </row>
        <row r="7">
          <cell r="C7">
            <v>86.573</v>
          </cell>
        </row>
        <row r="8">
          <cell r="C8">
            <v>0</v>
          </cell>
        </row>
        <row r="9">
          <cell r="C9">
            <v>-53.31301360399999</v>
          </cell>
        </row>
        <row r="11">
          <cell r="C11">
            <v>1.7921086855035042</v>
          </cell>
        </row>
        <row r="12">
          <cell r="C12">
            <v>1.6029174807603548</v>
          </cell>
        </row>
        <row r="13">
          <cell r="C13">
            <v>1.7921086855035042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2.29</v>
          </cell>
        </row>
        <row r="4">
          <cell r="C4">
            <v>15.119096</v>
          </cell>
        </row>
        <row r="5">
          <cell r="C5">
            <v>34.622729840000005</v>
          </cell>
        </row>
        <row r="7">
          <cell r="C7">
            <v>24.938172</v>
          </cell>
        </row>
        <row r="8">
          <cell r="C8">
            <v>0</v>
          </cell>
        </row>
        <row r="9">
          <cell r="C9">
            <v>9.684557840000004</v>
          </cell>
        </row>
        <row r="11">
          <cell r="C11">
            <v>8.968345206119611</v>
          </cell>
        </row>
        <row r="12">
          <cell r="C12">
            <v>2.9163079502705727</v>
          </cell>
        </row>
        <row r="13">
          <cell r="C13">
            <v>1.649448617827415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1.395</v>
          </cell>
        </row>
        <row r="4">
          <cell r="C4">
            <v>31.441436</v>
          </cell>
        </row>
        <row r="5">
          <cell r="C5">
            <v>43.86080322</v>
          </cell>
        </row>
        <row r="7">
          <cell r="C7">
            <v>36.473</v>
          </cell>
        </row>
        <row r="8">
          <cell r="C8">
            <v>0</v>
          </cell>
        </row>
        <row r="9">
          <cell r="C9">
            <v>7.387803220000002</v>
          </cell>
        </row>
        <row r="11">
          <cell r="C11">
            <v>26.397235703907448</v>
          </cell>
        </row>
        <row r="12">
          <cell r="C12">
            <v>17.922749608535806</v>
          </cell>
        </row>
        <row r="13">
          <cell r="C13">
            <v>1.1600297136555722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40.27</v>
          </cell>
        </row>
        <row r="4">
          <cell r="C4">
            <v>1.017063</v>
          </cell>
        </row>
        <row r="5">
          <cell r="C5">
            <v>40.95712701000001</v>
          </cell>
        </row>
        <row r="7">
          <cell r="C7">
            <v>115.981</v>
          </cell>
        </row>
        <row r="8">
          <cell r="C8">
            <v>0</v>
          </cell>
        </row>
        <row r="9">
          <cell r="C9">
            <v>-75.02387298999999</v>
          </cell>
        </row>
        <row r="11">
          <cell r="C11">
            <v>451.7115009136552</v>
          </cell>
        </row>
        <row r="12">
          <cell r="C12">
            <v>10.217072284918181</v>
          </cell>
        </row>
        <row r="13">
          <cell r="C13">
            <v>114.03521709078001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3.66</v>
          </cell>
        </row>
        <row r="4">
          <cell r="C4">
            <v>8.101725</v>
          </cell>
        </row>
        <row r="5">
          <cell r="C5">
            <v>29.6523135</v>
          </cell>
        </row>
        <row r="7">
          <cell r="C7">
            <v>2.429719</v>
          </cell>
        </row>
        <row r="8">
          <cell r="C8">
            <v>0.059025999999999995</v>
          </cell>
        </row>
        <row r="9">
          <cell r="C9">
            <v>27.281620500000002</v>
          </cell>
        </row>
        <row r="11">
          <cell r="C11">
            <v>0.2926158318135953</v>
          </cell>
        </row>
        <row r="12">
          <cell r="C12">
            <v>-0.9200503191766133</v>
          </cell>
        </row>
        <row r="13">
          <cell r="C13">
            <v>0.2926158318135953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1.56</v>
          </cell>
        </row>
        <row r="4">
          <cell r="C4">
            <v>17.588987</v>
          </cell>
        </row>
        <row r="5">
          <cell r="C5">
            <v>27.43881972</v>
          </cell>
        </row>
        <row r="7">
          <cell r="C7">
            <v>6.527381</v>
          </cell>
        </row>
        <row r="8">
          <cell r="C8">
            <v>0</v>
          </cell>
        </row>
        <row r="9">
          <cell r="C9">
            <v>20.91143872</v>
          </cell>
        </row>
        <row r="11">
          <cell r="C11">
            <v>0.37110613590197095</v>
          </cell>
        </row>
        <row r="12">
          <cell r="C12">
            <v>-0.7621114513448904</v>
          </cell>
        </row>
        <row r="13">
          <cell r="C13">
            <v>0.37110613590197095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5.03</v>
          </cell>
        </row>
        <row r="4">
          <cell r="C4">
            <v>6.236828</v>
          </cell>
        </row>
        <row r="5">
          <cell r="C5">
            <v>31.371244840000003</v>
          </cell>
        </row>
        <row r="7">
          <cell r="C7">
            <v>30.381</v>
          </cell>
        </row>
        <row r="8">
          <cell r="C8">
            <v>0</v>
          </cell>
        </row>
        <row r="9">
          <cell r="C9">
            <v>0.9902448400000026</v>
          </cell>
        </row>
        <row r="11">
          <cell r="C11">
            <v>37.35624667728682</v>
          </cell>
        </row>
        <row r="12">
          <cell r="C12">
            <v>6.4266892002558285</v>
          </cell>
        </row>
        <row r="13">
          <cell r="C13">
            <v>4.87122620665505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4.63</v>
          </cell>
        </row>
        <row r="4">
          <cell r="C4">
            <v>7.131123</v>
          </cell>
        </row>
        <row r="5">
          <cell r="C5">
            <v>33.01709949</v>
          </cell>
        </row>
        <row r="7">
          <cell r="C7">
            <v>1.379721</v>
          </cell>
        </row>
        <row r="8">
          <cell r="C8">
            <v>1.676361</v>
          </cell>
        </row>
        <row r="9">
          <cell r="C9">
            <v>33.31373949</v>
          </cell>
        </row>
        <row r="11">
          <cell r="C11">
            <v>-0.04159793625772547</v>
          </cell>
        </row>
        <row r="12">
          <cell r="C12">
            <v>-1.0089844354768305</v>
          </cell>
        </row>
        <row r="13">
          <cell r="C13">
            <v>-0.04159793625772547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0.8313</v>
          </cell>
        </row>
        <row r="4">
          <cell r="C4">
            <v>37.777105</v>
          </cell>
        </row>
        <row r="5">
          <cell r="C5">
            <v>31.4041073865</v>
          </cell>
        </row>
        <row r="7">
          <cell r="C7">
            <v>120.66399999999999</v>
          </cell>
        </row>
        <row r="8">
          <cell r="C8">
            <v>0</v>
          </cell>
        </row>
        <row r="9">
          <cell r="C9">
            <v>-89.25989261349999</v>
          </cell>
        </row>
        <row r="11">
          <cell r="C11">
            <v>3.1941039420569677</v>
          </cell>
        </row>
        <row r="12">
          <cell r="C12">
            <v>2.8422999423276405</v>
          </cell>
        </row>
        <row r="13">
          <cell r="C13">
            <v>3.1941039420569677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3.46</v>
          </cell>
        </row>
        <row r="4">
          <cell r="C4">
            <v>8.699787</v>
          </cell>
        </row>
        <row r="5">
          <cell r="C5">
            <v>30.10126302</v>
          </cell>
        </row>
        <row r="7">
          <cell r="C7">
            <v>22.804425</v>
          </cell>
        </row>
        <row r="8">
          <cell r="C8">
            <v>0</v>
          </cell>
        </row>
        <row r="9">
          <cell r="C9">
            <v>7.296838020000003</v>
          </cell>
        </row>
        <row r="11">
          <cell r="C11">
            <v>163.26343063575496</v>
          </cell>
        </row>
        <row r="12">
          <cell r="C12">
            <v>46.18596261148987</v>
          </cell>
        </row>
        <row r="13">
          <cell r="C13">
            <v>2.6212624515979526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0.7243</v>
          </cell>
        </row>
        <row r="4">
          <cell r="C4">
            <v>43.022002</v>
          </cell>
        </row>
        <row r="5">
          <cell r="C5">
            <v>31.160836048600004</v>
          </cell>
        </row>
        <row r="7">
          <cell r="C7">
            <v>0.304874</v>
          </cell>
        </row>
        <row r="8">
          <cell r="C8">
            <v>3.6044</v>
          </cell>
        </row>
        <row r="9">
          <cell r="C9">
            <v>34.460362048600004</v>
          </cell>
        </row>
        <row r="11">
          <cell r="C11">
            <v>-0.07669392047352887</v>
          </cell>
        </row>
        <row r="12">
          <cell r="C12">
            <v>-1.1058869535738352</v>
          </cell>
        </row>
        <row r="13">
          <cell r="C13">
            <v>-0.07669392047352887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2.54</v>
          </cell>
        </row>
        <row r="4">
          <cell r="C4">
            <v>9.979298</v>
          </cell>
        </row>
        <row r="5">
          <cell r="C5">
            <v>25.34741692</v>
          </cell>
        </row>
        <row r="7">
          <cell r="C7">
            <v>26.094</v>
          </cell>
        </row>
        <row r="8">
          <cell r="C8">
            <v>0</v>
          </cell>
        </row>
        <row r="9">
          <cell r="C9">
            <v>-0.7465830800000006</v>
          </cell>
        </row>
        <row r="11">
          <cell r="C11">
            <v>23.199336692658953</v>
          </cell>
        </row>
        <row r="12">
          <cell r="C12">
            <v>8.133597123094075</v>
          </cell>
        </row>
        <row r="13">
          <cell r="C13">
            <v>2.614813186258192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1.66</v>
          </cell>
        </row>
        <row r="4">
          <cell r="C4">
            <v>16.930739</v>
          </cell>
        </row>
        <row r="5">
          <cell r="C5">
            <v>28.105026739999996</v>
          </cell>
        </row>
        <row r="7">
          <cell r="C7">
            <v>8.383393</v>
          </cell>
        </row>
        <row r="8">
          <cell r="C8">
            <v>0.652411</v>
          </cell>
        </row>
        <row r="9">
          <cell r="C9">
            <v>20.374044739999995</v>
          </cell>
        </row>
        <row r="11">
          <cell r="C11">
            <v>-1.2054088277423025</v>
          </cell>
        </row>
        <row r="12">
          <cell r="C12">
            <v>-1.7261498962303028</v>
          </cell>
        </row>
        <row r="13">
          <cell r="C13">
            <v>0.4566240138720466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5.44</v>
          </cell>
        </row>
        <row r="4">
          <cell r="C4">
            <v>4.577359</v>
          </cell>
        </row>
        <row r="5">
          <cell r="C5">
            <v>24.900832960000002</v>
          </cell>
        </row>
        <row r="7">
          <cell r="C7">
            <v>20.088</v>
          </cell>
        </row>
        <row r="8">
          <cell r="C8">
            <v>0</v>
          </cell>
        </row>
        <row r="9">
          <cell r="C9">
            <v>4.8128329600000015</v>
          </cell>
        </row>
        <row r="11">
          <cell r="C11">
            <v>-11.989317370762706</v>
          </cell>
        </row>
        <row r="12">
          <cell r="C12">
            <v>-3.2039186343313797</v>
          </cell>
        </row>
        <row r="13">
          <cell r="C13">
            <v>4.38855680753902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3.24</v>
          </cell>
        </row>
        <row r="4">
          <cell r="C4">
            <v>9.015383</v>
          </cell>
        </row>
        <row r="5">
          <cell r="C5">
            <v>29.20984092</v>
          </cell>
        </row>
        <row r="7">
          <cell r="C7">
            <v>1.237</v>
          </cell>
        </row>
        <row r="8">
          <cell r="C8">
            <v>0</v>
          </cell>
        </row>
        <row r="9">
          <cell r="C9">
            <v>27.972840920000003</v>
          </cell>
        </row>
        <row r="11">
          <cell r="C11">
            <v>0.13720992219631714</v>
          </cell>
        </row>
        <row r="12">
          <cell r="C12">
            <v>-0.9576512585813836</v>
          </cell>
        </row>
        <row r="13">
          <cell r="C13">
            <v>0.13720992219631714</v>
          </cell>
        </row>
        <row r="14">
          <cell r="C14" t="str">
            <v>revenue jump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0.6501</v>
          </cell>
        </row>
        <row r="4">
          <cell r="C4">
            <v>42.022087</v>
          </cell>
        </row>
        <row r="5">
          <cell r="C5">
            <v>27.3185587587</v>
          </cell>
        </row>
        <row r="7">
          <cell r="C7">
            <v>8.113415</v>
          </cell>
        </row>
        <row r="8">
          <cell r="C8">
            <v>0</v>
          </cell>
        </row>
        <row r="9">
          <cell r="C9">
            <v>19.2051437587</v>
          </cell>
        </row>
        <row r="11">
          <cell r="C11">
            <v>0.19307501314725278</v>
          </cell>
        </row>
        <row r="12">
          <cell r="C12">
            <v>-0.7030072094335444</v>
          </cell>
        </row>
        <row r="13">
          <cell r="C13">
            <v>0.19307501314725278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4.91</v>
          </cell>
        </row>
        <row r="4">
          <cell r="C4">
            <v>4.764696</v>
          </cell>
        </row>
        <row r="5">
          <cell r="C5">
            <v>23.39465736</v>
          </cell>
        </row>
        <row r="7">
          <cell r="C7">
            <v>0.090238</v>
          </cell>
        </row>
        <row r="8">
          <cell r="C8">
            <v>0</v>
          </cell>
        </row>
        <row r="9">
          <cell r="C9">
            <v>23.30441936</v>
          </cell>
        </row>
        <row r="11">
          <cell r="C11">
            <v>0.018938878786810324</v>
          </cell>
        </row>
        <row r="12">
          <cell r="C12">
            <v>-0.9961427945444378</v>
          </cell>
        </row>
        <row r="13">
          <cell r="C13">
            <v>0.018938878786810324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0.245</v>
          </cell>
        </row>
        <row r="4">
          <cell r="C4">
            <v>103.384008</v>
          </cell>
        </row>
        <row r="5">
          <cell r="C5">
            <v>25.32908196</v>
          </cell>
        </row>
        <row r="7">
          <cell r="C7">
            <v>0.35400000000000004</v>
          </cell>
        </row>
        <row r="8">
          <cell r="C8">
            <v>1.082</v>
          </cell>
        </row>
        <row r="9">
          <cell r="C9">
            <v>26.05708196</v>
          </cell>
        </row>
        <row r="11">
          <cell r="C11">
            <v>4.289909482129092</v>
          </cell>
        </row>
        <row r="12">
          <cell r="C12">
            <v>16.50983462093507</v>
          </cell>
        </row>
        <row r="13">
          <cell r="C13">
            <v>-0.007041708036701382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1.19</v>
          </cell>
        </row>
        <row r="4">
          <cell r="C4">
            <v>22.189739</v>
          </cell>
        </row>
        <row r="5">
          <cell r="C5">
            <v>26.405789409999997</v>
          </cell>
        </row>
        <row r="7">
          <cell r="C7">
            <v>2.108</v>
          </cell>
        </row>
        <row r="8">
          <cell r="C8">
            <v>7.388</v>
          </cell>
        </row>
        <row r="9">
          <cell r="C9">
            <v>31.685789409999998</v>
          </cell>
        </row>
        <row r="11">
          <cell r="C11">
            <v>-0.23794781903473491</v>
          </cell>
        </row>
        <row r="12">
          <cell r="C12">
            <v>-1.199956150449357</v>
          </cell>
        </row>
        <row r="13">
          <cell r="C13">
            <v>-0.23794781903473491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2.31</v>
          </cell>
        </row>
        <row r="4">
          <cell r="C4">
            <v>9.941261</v>
          </cell>
        </row>
        <row r="5">
          <cell r="C5">
            <v>22.964312910000004</v>
          </cell>
        </row>
        <row r="7">
          <cell r="C7">
            <v>15.594</v>
          </cell>
        </row>
        <row r="8">
          <cell r="C8">
            <v>0</v>
          </cell>
        </row>
        <row r="9">
          <cell r="C9">
            <v>7.370312910000004</v>
          </cell>
        </row>
        <row r="11">
          <cell r="C11">
            <v>1.5686138810760524</v>
          </cell>
        </row>
        <row r="12">
          <cell r="C12">
            <v>-0.3209463718285488</v>
          </cell>
        </row>
        <row r="13">
          <cell r="C13">
            <v>1.5686138810760524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2.82</v>
          </cell>
        </row>
        <row r="4">
          <cell r="C4">
            <v>9.641031</v>
          </cell>
        </row>
        <row r="5">
          <cell r="C5">
            <v>27.18770742</v>
          </cell>
        </row>
        <row r="7">
          <cell r="C7">
            <v>10.3</v>
          </cell>
        </row>
        <row r="8">
          <cell r="C8">
            <v>0</v>
          </cell>
        </row>
        <row r="9">
          <cell r="C9">
            <v>16.887707419999998</v>
          </cell>
        </row>
        <row r="11">
          <cell r="C11">
            <v>1.068350469986042</v>
          </cell>
        </row>
        <row r="12">
          <cell r="C12">
            <v>-0.6211523156077865</v>
          </cell>
        </row>
        <row r="13">
          <cell r="C13">
            <v>1.068350469986042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0.515</v>
          </cell>
        </row>
        <row r="4">
          <cell r="C4">
            <v>36.271119</v>
          </cell>
        </row>
        <row r="5">
          <cell r="C5">
            <v>18.679626285</v>
          </cell>
        </row>
        <row r="7">
          <cell r="C7">
            <v>3.155272</v>
          </cell>
        </row>
        <row r="8">
          <cell r="C8">
            <v>0.12</v>
          </cell>
        </row>
        <row r="9">
          <cell r="C9">
            <v>15.644354285</v>
          </cell>
        </row>
        <row r="11">
          <cell r="C11">
            <v>0.0836828883057068</v>
          </cell>
        </row>
        <row r="12">
          <cell r="C12">
            <v>-0.8375089547462004</v>
          </cell>
        </row>
        <row r="13">
          <cell r="C13">
            <v>0.0836828883057068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0.93</v>
          </cell>
        </row>
        <row r="4">
          <cell r="C4">
            <v>26.654365</v>
          </cell>
        </row>
        <row r="5">
          <cell r="C5">
            <v>24.78855945</v>
          </cell>
        </row>
        <row r="7">
          <cell r="C7">
            <v>0.094364</v>
          </cell>
        </row>
        <row r="8">
          <cell r="C8">
            <v>0.059462</v>
          </cell>
        </row>
        <row r="9">
          <cell r="C9">
            <v>24.753657450000002</v>
          </cell>
        </row>
        <row r="11">
          <cell r="C11">
            <v>0.0013094290559913923</v>
          </cell>
        </row>
        <row r="12">
          <cell r="C12">
            <v>-0.9985920117677511</v>
          </cell>
        </row>
        <row r="13">
          <cell r="C13">
            <v>0.0013094290559913923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2.53</v>
          </cell>
        </row>
        <row r="4">
          <cell r="C4">
            <v>8.493</v>
          </cell>
        </row>
        <row r="5">
          <cell r="C5">
            <v>21.487289999999998</v>
          </cell>
        </row>
        <row r="7">
          <cell r="C7">
            <v>0.566</v>
          </cell>
        </row>
        <row r="8">
          <cell r="C8">
            <v>80.806</v>
          </cell>
        </row>
        <row r="9">
          <cell r="C9">
            <v>101.72729</v>
          </cell>
        </row>
        <row r="11">
          <cell r="C11">
            <v>-9.447780525138349</v>
          </cell>
        </row>
        <row r="12">
          <cell r="C12">
            <v>-4.734300602821482</v>
          </cell>
        </row>
        <row r="13">
          <cell r="C13">
            <v>-9.447780525138349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1.08</v>
          </cell>
        </row>
        <row r="4">
          <cell r="C4">
            <v>20.234993</v>
          </cell>
        </row>
        <row r="5">
          <cell r="C5">
            <v>21.85379244</v>
          </cell>
        </row>
        <row r="7">
          <cell r="C7">
            <v>0.577328</v>
          </cell>
        </row>
        <row r="8">
          <cell r="C8">
            <v>0.475844</v>
          </cell>
        </row>
        <row r="9">
          <cell r="C9">
            <v>21.752308439999997</v>
          </cell>
        </row>
        <row r="11">
          <cell r="C11">
            <v>0.005015272305752711</v>
          </cell>
        </row>
        <row r="12">
          <cell r="C12">
            <v>-0.9953562293465252</v>
          </cell>
        </row>
        <row r="13">
          <cell r="C13">
            <v>0.005015272305752711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4.05</v>
          </cell>
        </row>
        <row r="4">
          <cell r="C4">
            <v>8.34021512</v>
          </cell>
        </row>
        <row r="5">
          <cell r="C5">
            <v>33.777871235999996</v>
          </cell>
        </row>
        <row r="7">
          <cell r="C7">
            <v>23.234</v>
          </cell>
        </row>
        <row r="8">
          <cell r="C8">
            <v>5.537000000000001</v>
          </cell>
        </row>
        <row r="9">
          <cell r="C9">
            <v>16.080871235999993</v>
          </cell>
        </row>
        <row r="11">
          <cell r="C11">
            <v>16.435645004183307</v>
          </cell>
        </row>
        <row r="12">
          <cell r="C12">
            <v>3.058183951650199</v>
          </cell>
        </row>
        <row r="13">
          <cell r="C13">
            <v>2.1218877145701254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0.5227</v>
          </cell>
        </row>
        <row r="4">
          <cell r="C4">
            <v>41.11982</v>
          </cell>
        </row>
        <row r="5">
          <cell r="C5">
            <v>21.493329914</v>
          </cell>
        </row>
        <row r="7">
          <cell r="C7">
            <v>6.529</v>
          </cell>
        </row>
        <row r="8">
          <cell r="C8">
            <v>0</v>
          </cell>
        </row>
        <row r="9">
          <cell r="C9">
            <v>14.964329914</v>
          </cell>
        </row>
        <row r="11">
          <cell r="C11">
            <v>37.18559198474826</v>
          </cell>
        </row>
        <row r="12">
          <cell r="C12">
            <v>70.14136595513345</v>
          </cell>
        </row>
        <row r="13">
          <cell r="C13">
            <v>0.15877987792748122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0.2438</v>
          </cell>
        </row>
        <row r="4">
          <cell r="C4">
            <v>91.879177</v>
          </cell>
        </row>
        <row r="5">
          <cell r="C5">
            <v>22.400143352599997</v>
          </cell>
        </row>
        <row r="7">
          <cell r="C7">
            <v>42.990371</v>
          </cell>
        </row>
        <row r="8">
          <cell r="C8">
            <v>0</v>
          </cell>
        </row>
        <row r="9">
          <cell r="C9">
            <v>-20.590227647400006</v>
          </cell>
        </row>
        <row r="11">
          <cell r="C11">
            <v>1.3228974310426584</v>
          </cell>
        </row>
        <row r="12">
          <cell r="C12">
            <v>4.426158453825507</v>
          </cell>
        </row>
        <row r="13">
          <cell r="C13">
            <v>0.4679011328105388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1.88</v>
          </cell>
        </row>
        <row r="4">
          <cell r="C4">
            <v>11.574362</v>
          </cell>
        </row>
        <row r="5">
          <cell r="C5">
            <v>21.75980056</v>
          </cell>
        </row>
        <row r="7">
          <cell r="C7">
            <v>9.189</v>
          </cell>
        </row>
        <row r="8">
          <cell r="C8">
            <v>0</v>
          </cell>
        </row>
        <row r="9">
          <cell r="C9">
            <v>12.570800559999999</v>
          </cell>
        </row>
        <row r="11">
          <cell r="C11">
            <v>10.062046465516863</v>
          </cell>
        </row>
        <row r="12">
          <cell r="C12">
            <v>4.352152375274927</v>
          </cell>
        </row>
        <row r="13">
          <cell r="C13">
            <v>0.793909850063442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5.28</v>
          </cell>
        </row>
        <row r="4">
          <cell r="C4">
            <v>4.049124</v>
          </cell>
        </row>
        <row r="5">
          <cell r="C5">
            <v>21.37937472</v>
          </cell>
        </row>
        <row r="7">
          <cell r="C7">
            <v>91.318</v>
          </cell>
        </row>
        <row r="8">
          <cell r="C8">
            <v>0</v>
          </cell>
        </row>
        <row r="9">
          <cell r="C9">
            <v>-69.93862528</v>
          </cell>
        </row>
        <row r="11">
          <cell r="C11">
            <v>203.7025205213928</v>
          </cell>
        </row>
        <row r="12">
          <cell r="C12">
            <v>37.58002282602136</v>
          </cell>
        </row>
        <row r="13">
          <cell r="C13">
            <v>22.552532350207105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2.01</v>
          </cell>
        </row>
        <row r="4">
          <cell r="C4">
            <v>10.866708</v>
          </cell>
        </row>
        <row r="5">
          <cell r="C5">
            <v>21.842083079999995</v>
          </cell>
        </row>
        <row r="7">
          <cell r="C7">
            <v>26.308</v>
          </cell>
        </row>
        <row r="8">
          <cell r="C8">
            <v>17.032</v>
          </cell>
        </row>
        <row r="9">
          <cell r="C9">
            <v>12.566083079999995</v>
          </cell>
        </row>
        <row r="11">
          <cell r="C11">
            <v>2.897737167774276</v>
          </cell>
        </row>
        <row r="12">
          <cell r="C12">
            <v>0.4416602824747644</v>
          </cell>
        </row>
        <row r="13">
          <cell r="C13">
            <v>0.8536163850174313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0.9429</v>
          </cell>
        </row>
        <row r="4">
          <cell r="C4">
            <v>19.2632</v>
          </cell>
        </row>
        <row r="5">
          <cell r="C5">
            <v>18.16327128</v>
          </cell>
        </row>
        <row r="7">
          <cell r="C7">
            <v>2.169</v>
          </cell>
        </row>
        <row r="8">
          <cell r="C8">
            <v>0</v>
          </cell>
        </row>
        <row r="9">
          <cell r="C9">
            <v>15.99427128</v>
          </cell>
        </row>
        <row r="11">
          <cell r="C11">
            <v>3.8156301979427947</v>
          </cell>
        </row>
        <row r="12">
          <cell r="C12">
            <v>3.046696572216348</v>
          </cell>
        </row>
        <row r="13">
          <cell r="C13">
            <v>0.11259811453964035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</v>
          </cell>
        </row>
        <row r="4">
          <cell r="C4">
            <v>43.497864</v>
          </cell>
        </row>
        <row r="5">
          <cell r="C5">
            <v>17.3991456</v>
          </cell>
        </row>
        <row r="7">
          <cell r="C7">
            <v>0.1</v>
          </cell>
        </row>
        <row r="8">
          <cell r="C8">
            <v>0</v>
          </cell>
        </row>
        <row r="9">
          <cell r="C9">
            <v>17.2991456</v>
          </cell>
        </row>
        <row r="11">
          <cell r="C11">
            <v>1.535996277684818</v>
          </cell>
        </row>
        <row r="12">
          <cell r="C12">
            <v>2.8399906942120445</v>
          </cell>
        </row>
        <row r="13">
          <cell r="C13">
            <v>0.0022989634617460756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2.63</v>
          </cell>
        </row>
        <row r="4">
          <cell r="C4">
            <v>5.1683</v>
          </cell>
        </row>
        <row r="5">
          <cell r="C5">
            <v>13.592629</v>
          </cell>
        </row>
        <row r="7">
          <cell r="C7">
            <v>3.788</v>
          </cell>
        </row>
        <row r="8">
          <cell r="C8">
            <v>15.559000000000001</v>
          </cell>
        </row>
        <row r="9">
          <cell r="C9">
            <v>25.363629000000003</v>
          </cell>
        </row>
        <row r="11">
          <cell r="C11">
            <v>-2.277538068610568</v>
          </cell>
        </row>
        <row r="12">
          <cell r="C12">
            <v>-1.8659840565059196</v>
          </cell>
        </row>
        <row r="13">
          <cell r="C13">
            <v>-2.277538068610568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3.39</v>
          </cell>
        </row>
        <row r="4">
          <cell r="C4">
            <v>5.411334</v>
          </cell>
        </row>
        <row r="5">
          <cell r="C5">
            <v>18.34442226</v>
          </cell>
        </row>
        <row r="7">
          <cell r="C7">
            <v>19.865531</v>
          </cell>
        </row>
        <row r="8">
          <cell r="C8">
            <v>0</v>
          </cell>
        </row>
        <row r="9">
          <cell r="C9">
            <v>-1.521108739999999</v>
          </cell>
        </row>
        <row r="11">
          <cell r="C11">
            <v>83.35699886488433</v>
          </cell>
        </row>
        <row r="12">
          <cell r="C12">
            <v>23.589085210880334</v>
          </cell>
        </row>
        <row r="13">
          <cell r="C13">
            <v>3.6710968127267694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1.16</v>
          </cell>
        </row>
        <row r="4">
          <cell r="C4">
            <v>16.673127</v>
          </cell>
        </row>
        <row r="5">
          <cell r="C5">
            <v>19.34082732</v>
          </cell>
        </row>
        <row r="7">
          <cell r="C7">
            <v>11.331023</v>
          </cell>
        </row>
        <row r="8">
          <cell r="C8">
            <v>0</v>
          </cell>
        </row>
        <row r="9">
          <cell r="C9">
            <v>8.009804319999999</v>
          </cell>
        </row>
        <row r="11">
          <cell r="C11">
            <v>12.694798667798478</v>
          </cell>
        </row>
        <row r="12">
          <cell r="C12">
            <v>9.943791954998689</v>
          </cell>
        </row>
        <row r="13">
          <cell r="C13">
            <v>0.6795979542409771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0.1733</v>
          </cell>
        </row>
        <row r="4">
          <cell r="C4">
            <v>98.087425</v>
          </cell>
        </row>
        <row r="5">
          <cell r="C5">
            <v>16.9985507525</v>
          </cell>
        </row>
        <row r="7">
          <cell r="C7">
            <v>57.418000000000006</v>
          </cell>
        </row>
        <row r="8">
          <cell r="C8">
            <v>0</v>
          </cell>
        </row>
        <row r="9">
          <cell r="C9">
            <v>-40.419449247500005</v>
          </cell>
        </row>
        <row r="11">
          <cell r="C11">
            <v>1.5796908325165528</v>
          </cell>
        </row>
        <row r="12">
          <cell r="C12">
            <v>8.11535390950117</v>
          </cell>
        </row>
        <row r="13">
          <cell r="C13">
            <v>0.5853757502554482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9.29</v>
          </cell>
        </row>
        <row r="4">
          <cell r="C4">
            <v>1.9469816191625</v>
          </cell>
        </row>
        <row r="5">
          <cell r="C5">
            <v>18.087459242019623</v>
          </cell>
        </row>
        <row r="7">
          <cell r="C7">
            <v>7.694</v>
          </cell>
        </row>
        <row r="8">
          <cell r="C8">
            <v>0.693</v>
          </cell>
        </row>
        <row r="9">
          <cell r="C9">
            <v>11.086459242019624</v>
          </cell>
        </row>
        <row r="11">
          <cell r="C11">
            <v>3.595822339099175</v>
          </cell>
        </row>
        <row r="12">
          <cell r="C12">
            <v>-0.612936239063598</v>
          </cell>
        </row>
        <row r="13">
          <cell r="C13">
            <v>3.595822339099175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0.4999</v>
          </cell>
        </row>
        <row r="4">
          <cell r="C4">
            <v>33.274561</v>
          </cell>
        </row>
        <row r="5">
          <cell r="C5">
            <v>16.6339530439</v>
          </cell>
        </row>
        <row r="7">
          <cell r="C7">
            <v>7.314</v>
          </cell>
        </row>
        <row r="8">
          <cell r="C8">
            <v>0.4</v>
          </cell>
        </row>
        <row r="9">
          <cell r="C9">
            <v>9.7199530439</v>
          </cell>
        </row>
        <row r="11">
          <cell r="C11">
            <v>1.1171558820620597</v>
          </cell>
        </row>
        <row r="12">
          <cell r="C12">
            <v>1.2347587158672928</v>
          </cell>
        </row>
        <row r="13">
          <cell r="C13">
            <v>0.2077863626810884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0.5837</v>
          </cell>
        </row>
        <row r="4">
          <cell r="C4">
            <v>23.697683</v>
          </cell>
        </row>
        <row r="5">
          <cell r="C5">
            <v>13.832337567100002</v>
          </cell>
        </row>
        <row r="7">
          <cell r="C7">
            <v>2.626</v>
          </cell>
        </row>
        <row r="8">
          <cell r="C8">
            <v>0</v>
          </cell>
        </row>
        <row r="9">
          <cell r="C9">
            <v>11.206337567100002</v>
          </cell>
        </row>
        <row r="11">
          <cell r="C11">
            <v>0.11081252120724207</v>
          </cell>
        </row>
        <row r="12">
          <cell r="C12">
            <v>-0.8101550090675997</v>
          </cell>
        </row>
        <row r="13">
          <cell r="C13">
            <v>0.11081252120724207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0.615</v>
          </cell>
        </row>
        <row r="4">
          <cell r="C4">
            <v>23.432183</v>
          </cell>
        </row>
        <row r="5">
          <cell r="C5">
            <v>14.410792545</v>
          </cell>
        </row>
        <row r="7">
          <cell r="C7">
            <v>31.677263264502333</v>
          </cell>
        </row>
        <row r="8">
          <cell r="C8">
            <v>8.555674337478196</v>
          </cell>
        </row>
        <row r="9">
          <cell r="C9">
            <v>-8.710796382024137</v>
          </cell>
        </row>
        <row r="11">
          <cell r="C11">
            <v>0.9867449792033519</v>
          </cell>
        </row>
        <row r="12">
          <cell r="C12">
            <v>0.6044633808184585</v>
          </cell>
        </row>
        <row r="13">
          <cell r="C13">
            <v>0.9867449792033519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0.224</v>
          </cell>
        </row>
        <row r="4">
          <cell r="C4">
            <v>67.779255</v>
          </cell>
        </row>
        <row r="5">
          <cell r="C5">
            <v>15.182553120000001</v>
          </cell>
        </row>
        <row r="7">
          <cell r="C7">
            <v>100.156</v>
          </cell>
        </row>
        <row r="8">
          <cell r="C8">
            <v>32.778999999999996</v>
          </cell>
        </row>
        <row r="9">
          <cell r="C9">
            <v>-52.194446880000015</v>
          </cell>
        </row>
        <row r="11">
          <cell r="C11">
            <v>9.038567675994958</v>
          </cell>
        </row>
        <row r="12">
          <cell r="C12">
            <v>39.35074855354892</v>
          </cell>
        </row>
        <row r="13">
          <cell r="C13">
            <v>0.9940652195129617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0.3851</v>
          </cell>
        </row>
        <row r="4">
          <cell r="C4">
            <v>36.438703</v>
          </cell>
        </row>
        <row r="5">
          <cell r="C5">
            <v>14.032544525299999</v>
          </cell>
        </row>
        <row r="7">
          <cell r="C7">
            <v>4.8</v>
          </cell>
        </row>
        <row r="8">
          <cell r="C8">
            <v>0</v>
          </cell>
        </row>
        <row r="9">
          <cell r="C9">
            <v>9.2325445253</v>
          </cell>
        </row>
        <row r="11">
          <cell r="C11">
            <v>0.13172806946504106</v>
          </cell>
        </row>
        <row r="12">
          <cell r="C12">
            <v>-0.6579380174888573</v>
          </cell>
        </row>
        <row r="13">
          <cell r="C13">
            <v>0.13172806946504106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9.15</v>
          </cell>
        </row>
        <row r="4">
          <cell r="C4">
            <v>1.608266</v>
          </cell>
        </row>
        <row r="5">
          <cell r="C5">
            <v>14.7156339</v>
          </cell>
        </row>
        <row r="7">
          <cell r="C7">
            <v>1.306</v>
          </cell>
        </row>
        <row r="8">
          <cell r="C8">
            <v>0</v>
          </cell>
        </row>
        <row r="9">
          <cell r="C9">
            <v>13.4096339</v>
          </cell>
        </row>
        <row r="11">
          <cell r="C11">
            <v>0.8120547222909643</v>
          </cell>
        </row>
        <row r="12">
          <cell r="C12">
            <v>-0.9112508500228454</v>
          </cell>
        </row>
        <row r="13">
          <cell r="C13">
            <v>0.8120547222909643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0.6161</v>
          </cell>
        </row>
        <row r="4">
          <cell r="C4">
            <v>24.014202</v>
          </cell>
        </row>
        <row r="5">
          <cell r="C5">
            <v>14.7951498522</v>
          </cell>
        </row>
        <row r="7">
          <cell r="C7">
            <v>4.425841</v>
          </cell>
        </row>
        <row r="8">
          <cell r="C8">
            <v>0</v>
          </cell>
        </row>
        <row r="9">
          <cell r="C9">
            <v>10.3693088522</v>
          </cell>
        </row>
        <row r="11">
          <cell r="C11">
            <v>4.1874719180460085</v>
          </cell>
        </row>
        <row r="12">
          <cell r="C12">
            <v>5.796740655812382</v>
          </cell>
        </row>
        <row r="13">
          <cell r="C13">
            <v>0.18430098156082805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0.8758</v>
          </cell>
        </row>
        <row r="4">
          <cell r="C4">
            <v>15.910724</v>
          </cell>
        </row>
        <row r="5">
          <cell r="C5">
            <v>13.9346120792</v>
          </cell>
        </row>
        <row r="7">
          <cell r="C7">
            <v>16.982</v>
          </cell>
        </row>
        <row r="8">
          <cell r="C8">
            <v>22.285999999999998</v>
          </cell>
        </row>
        <row r="9">
          <cell r="C9">
            <v>19.2386120792</v>
          </cell>
        </row>
        <row r="11">
          <cell r="C11">
            <v>5.667794631425875</v>
          </cell>
        </row>
        <row r="12">
          <cell r="C12">
            <v>5.471562721427124</v>
          </cell>
        </row>
        <row r="13">
          <cell r="C13">
            <v>-0.33336006582729977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0.41</v>
          </cell>
        </row>
        <row r="4">
          <cell r="C4">
            <v>33.414448</v>
          </cell>
        </row>
        <row r="5">
          <cell r="C5">
            <v>13.69992368</v>
          </cell>
        </row>
        <row r="7">
          <cell r="C7">
            <v>45.663782</v>
          </cell>
        </row>
        <row r="8">
          <cell r="C8">
            <v>0</v>
          </cell>
        </row>
        <row r="9">
          <cell r="C9">
            <v>-31.96385832</v>
          </cell>
        </row>
        <row r="11">
          <cell r="C11">
            <v>1.1632808560222812</v>
          </cell>
        </row>
        <row r="12">
          <cell r="C12">
            <v>1.8372703805421495</v>
          </cell>
        </row>
        <row r="13">
          <cell r="C13">
            <v>1.3665879502184204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1.04</v>
          </cell>
        </row>
        <row r="4">
          <cell r="C4">
            <v>15.138782</v>
          </cell>
        </row>
        <row r="5">
          <cell r="C5">
            <v>15.744333280000001</v>
          </cell>
        </row>
        <row r="7">
          <cell r="C7">
            <v>4.117</v>
          </cell>
        </row>
        <row r="8">
          <cell r="C8">
            <v>0</v>
          </cell>
        </row>
        <row r="9">
          <cell r="C9">
            <v>11.627333280000002</v>
          </cell>
        </row>
        <row r="11">
          <cell r="C11">
            <v>103.41742968482552</v>
          </cell>
        </row>
        <row r="12">
          <cell r="C12">
            <v>98.43983623540915</v>
          </cell>
        </row>
        <row r="13">
          <cell r="C13">
            <v>0.271950543973749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1.62</v>
          </cell>
        </row>
        <row r="4">
          <cell r="C4">
            <v>8.244253</v>
          </cell>
        </row>
        <row r="5">
          <cell r="C5">
            <v>13.355689860000002</v>
          </cell>
        </row>
        <row r="7">
          <cell r="C7">
            <v>23.266609</v>
          </cell>
        </row>
        <row r="8">
          <cell r="C8">
            <v>0</v>
          </cell>
        </row>
        <row r="9">
          <cell r="C9">
            <v>-9.910919139999997</v>
          </cell>
        </row>
        <row r="11">
          <cell r="C11">
            <v>153.2191916084399</v>
          </cell>
        </row>
        <row r="12">
          <cell r="C12">
            <v>93.57974790644438</v>
          </cell>
        </row>
        <row r="13">
          <cell r="C13">
            <v>2.8221609647350703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2.61</v>
          </cell>
        </row>
        <row r="4">
          <cell r="C4">
            <v>4.797505</v>
          </cell>
        </row>
        <row r="5">
          <cell r="C5">
            <v>12.52148805</v>
          </cell>
        </row>
        <row r="7">
          <cell r="C7">
            <v>2.201</v>
          </cell>
        </row>
        <row r="8">
          <cell r="C8">
            <v>0.355</v>
          </cell>
        </row>
        <row r="9">
          <cell r="C9">
            <v>10.67548805</v>
          </cell>
        </row>
        <row r="11">
          <cell r="C11">
            <v>0.38478334050720114</v>
          </cell>
        </row>
        <row r="12">
          <cell r="C12">
            <v>-0.8525734327558616</v>
          </cell>
        </row>
        <row r="13">
          <cell r="C13">
            <v>0.38478334050720114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0.992</v>
          </cell>
        </row>
        <row r="4">
          <cell r="C4">
            <v>13.338943</v>
          </cell>
        </row>
        <row r="5">
          <cell r="C5">
            <v>13.232231456000001</v>
          </cell>
        </row>
        <row r="7">
          <cell r="C7">
            <v>15.765</v>
          </cell>
        </row>
        <row r="8">
          <cell r="C8">
            <v>0</v>
          </cell>
        </row>
        <row r="9">
          <cell r="C9">
            <v>-2.5327685439999996</v>
          </cell>
        </row>
        <row r="11">
          <cell r="C11">
            <v>22.055862964928405</v>
          </cell>
        </row>
        <row r="12">
          <cell r="C12">
            <v>21.233732827548796</v>
          </cell>
        </row>
        <row r="13">
          <cell r="C13">
            <v>1.1818777544817456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0.5311</v>
          </cell>
        </row>
        <row r="4">
          <cell r="C4">
            <v>24.897581</v>
          </cell>
        </row>
        <row r="5">
          <cell r="C5">
            <v>13.2231052691</v>
          </cell>
        </row>
        <row r="7">
          <cell r="C7">
            <v>7.891911</v>
          </cell>
        </row>
        <row r="8">
          <cell r="C8">
            <v>0</v>
          </cell>
        </row>
        <row r="9">
          <cell r="C9">
            <v>5.331194269099999</v>
          </cell>
        </row>
        <row r="11">
          <cell r="C11">
            <v>0.3169750105441971</v>
          </cell>
        </row>
        <row r="12">
          <cell r="C12">
            <v>-0.4031726406624043</v>
          </cell>
        </row>
        <row r="13">
          <cell r="C13">
            <v>0.3169750105441971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1.84</v>
          </cell>
        </row>
        <row r="4">
          <cell r="C4">
            <v>7.018528</v>
          </cell>
        </row>
        <row r="5">
          <cell r="C5">
            <v>12.91409152</v>
          </cell>
        </row>
        <row r="7">
          <cell r="C7">
            <v>7.88751</v>
          </cell>
        </row>
        <row r="8">
          <cell r="C8">
            <v>0</v>
          </cell>
        </row>
        <row r="9">
          <cell r="C9">
            <v>5.02658152</v>
          </cell>
        </row>
        <row r="11">
          <cell r="C11">
            <v>1.1238125715249694</v>
          </cell>
        </row>
        <row r="12">
          <cell r="C12">
            <v>-0.38923229808425575</v>
          </cell>
        </row>
        <row r="13">
          <cell r="C13">
            <v>1.1238125715249694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1.68</v>
          </cell>
        </row>
        <row r="4">
          <cell r="C4">
            <v>7.589625</v>
          </cell>
        </row>
        <row r="5">
          <cell r="C5">
            <v>12.75057</v>
          </cell>
        </row>
        <row r="7">
          <cell r="C7">
            <v>8.587</v>
          </cell>
        </row>
        <row r="8">
          <cell r="C8">
            <v>0</v>
          </cell>
        </row>
        <row r="9">
          <cell r="C9">
            <v>4.16357</v>
          </cell>
        </row>
        <row r="11">
          <cell r="C11">
            <v>-1.334623917941279</v>
          </cell>
        </row>
        <row r="12">
          <cell r="C12">
            <v>-1.794418998774571</v>
          </cell>
        </row>
        <row r="13">
          <cell r="C13">
            <v>1.1314129485975921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0.4175</v>
          </cell>
        </row>
        <row r="4">
          <cell r="C4">
            <v>27.45257</v>
          </cell>
        </row>
        <row r="5">
          <cell r="C5">
            <v>11.461447975</v>
          </cell>
        </row>
        <row r="7">
          <cell r="C7">
            <v>17.007523</v>
          </cell>
        </row>
        <row r="8">
          <cell r="C8" t="str">
            <v>empty</v>
          </cell>
        </row>
        <row r="9">
          <cell r="C9">
            <v>-5.546075024999999</v>
          </cell>
        </row>
        <row r="11">
          <cell r="C11">
            <v>0.6195238915700788</v>
          </cell>
        </row>
        <row r="12">
          <cell r="C12">
            <v>0.48388956064689537</v>
          </cell>
        </row>
        <row r="13">
          <cell r="C13">
            <v>0.6195238915700788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2.62</v>
          </cell>
        </row>
        <row r="4">
          <cell r="C4">
            <v>4.595068</v>
          </cell>
        </row>
        <row r="5">
          <cell r="C5">
            <v>12.03907816</v>
          </cell>
        </row>
        <row r="7">
          <cell r="C7">
            <v>4.198</v>
          </cell>
        </row>
        <row r="8">
          <cell r="C8">
            <v>0</v>
          </cell>
        </row>
        <row r="9">
          <cell r="C9">
            <v>7.84107816</v>
          </cell>
        </row>
        <row r="11">
          <cell r="C11">
            <v>0.913588221110112</v>
          </cell>
        </row>
        <row r="12">
          <cell r="C12">
            <v>-0.6513022056831634</v>
          </cell>
        </row>
        <row r="13">
          <cell r="C13">
            <v>0.913588221110112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0.804</v>
          </cell>
        </row>
        <row r="4">
          <cell r="C4">
            <v>14.852359</v>
          </cell>
        </row>
        <row r="5">
          <cell r="C5">
            <v>11.941296636</v>
          </cell>
        </row>
        <row r="7">
          <cell r="C7">
            <v>4.659</v>
          </cell>
        </row>
        <row r="8">
          <cell r="C8">
            <v>4.62</v>
          </cell>
        </row>
        <row r="9">
          <cell r="C9">
            <v>11.902296636</v>
          </cell>
        </row>
        <row r="11">
          <cell r="C11">
            <v>56.17120894228689</v>
          </cell>
        </row>
        <row r="12">
          <cell r="C12">
            <v>68.86468773916279</v>
          </cell>
        </row>
        <row r="13">
          <cell r="C13">
            <v>0.0026258454970015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7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0.2315</v>
          </cell>
        </row>
        <row r="4">
          <cell r="C4">
            <v>49.88279</v>
          </cell>
        </row>
        <row r="5">
          <cell r="C5">
            <v>11.547865885</v>
          </cell>
        </row>
        <row r="7">
          <cell r="C7">
            <v>3.431</v>
          </cell>
        </row>
        <row r="8">
          <cell r="C8">
            <v>1.755</v>
          </cell>
        </row>
        <row r="9">
          <cell r="C9">
            <v>9.871865884999998</v>
          </cell>
        </row>
        <row r="11">
          <cell r="C11">
            <v>0.03359876221839236</v>
          </cell>
        </row>
        <row r="12">
          <cell r="C12">
            <v>-0.8548649580199035</v>
          </cell>
        </row>
        <row r="13">
          <cell r="C13">
            <v>0.03359876221839236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8.72</v>
          </cell>
        </row>
        <row r="4">
          <cell r="C4">
            <v>1.402557</v>
          </cell>
        </row>
        <row r="5">
          <cell r="C5">
            <v>12.230297040000002</v>
          </cell>
        </row>
        <row r="7">
          <cell r="C7">
            <v>12.167136</v>
          </cell>
        </row>
        <row r="8">
          <cell r="C8">
            <v>0</v>
          </cell>
        </row>
        <row r="9">
          <cell r="C9">
            <v>0.06316104000000244</v>
          </cell>
        </row>
        <row r="11">
          <cell r="C11">
            <v>8.674967220583548</v>
          </cell>
        </row>
        <row r="12">
          <cell r="C12">
            <v>-0.005164309566106917</v>
          </cell>
        </row>
        <row r="13">
          <cell r="C13">
            <v>8.674967220583548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7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7.88</v>
          </cell>
        </row>
        <row r="4">
          <cell r="C4">
            <v>1.618837468</v>
          </cell>
        </row>
        <row r="5">
          <cell r="C5">
            <v>12.75643924784</v>
          </cell>
        </row>
        <row r="7">
          <cell r="C7">
            <v>48.336812804453714</v>
          </cell>
        </row>
        <row r="8">
          <cell r="C8">
            <v>0.06889352818371608</v>
          </cell>
        </row>
        <row r="9">
          <cell r="C9">
            <v>-35.51148002843</v>
          </cell>
        </row>
        <row r="11">
          <cell r="C11">
            <v>29.816408521791146</v>
          </cell>
        </row>
        <row r="12">
          <cell r="C12">
            <v>2.7838081880445618</v>
          </cell>
        </row>
        <row r="13">
          <cell r="C13">
            <v>29.816408521791146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8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0.4986</v>
          </cell>
        </row>
        <row r="4">
          <cell r="C4">
            <v>19.456794</v>
          </cell>
        </row>
        <row r="5">
          <cell r="C5">
            <v>9.7011574884</v>
          </cell>
        </row>
        <row r="7">
          <cell r="C7">
            <v>0.676704</v>
          </cell>
        </row>
        <row r="8">
          <cell r="C8">
            <v>0.196842</v>
          </cell>
        </row>
        <row r="9">
          <cell r="C9">
            <v>9.2212954884</v>
          </cell>
        </row>
        <row r="11">
          <cell r="C11">
            <v>31.20425855370573</v>
          </cell>
        </row>
        <row r="12">
          <cell r="C12">
            <v>61.58375161192485</v>
          </cell>
        </row>
        <row r="13">
          <cell r="C13">
            <v>0.024662953208015672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5.52</v>
          </cell>
        </row>
        <row r="4">
          <cell r="C4">
            <v>1.780939</v>
          </cell>
        </row>
        <row r="5">
          <cell r="C5">
            <v>9.83078328</v>
          </cell>
        </row>
        <row r="7">
          <cell r="C7">
            <v>7.492014</v>
          </cell>
        </row>
        <row r="8">
          <cell r="C8">
            <v>0</v>
          </cell>
        </row>
        <row r="9">
          <cell r="C9">
            <v>2.33876928</v>
          </cell>
        </row>
        <row r="11">
          <cell r="C11">
            <v>681.9161319226492</v>
          </cell>
        </row>
        <row r="12">
          <cell r="C12">
            <v>122.53553114540748</v>
          </cell>
        </row>
        <row r="13">
          <cell r="C13">
            <v>4.206777435948115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3.6</v>
          </cell>
        </row>
        <row r="4">
          <cell r="C4">
            <v>3.21781</v>
          </cell>
        </row>
        <row r="5">
          <cell r="C5">
            <v>11.584116</v>
          </cell>
        </row>
        <row r="7">
          <cell r="C7">
            <v>24.155</v>
          </cell>
        </row>
        <row r="8">
          <cell r="C8">
            <v>0</v>
          </cell>
        </row>
        <row r="9">
          <cell r="C9">
            <v>-12.570884000000001</v>
          </cell>
        </row>
        <row r="11">
          <cell r="C11">
            <v>72.37854854521825</v>
          </cell>
        </row>
        <row r="12">
          <cell r="C12">
            <v>19.105152373671736</v>
          </cell>
        </row>
        <row r="13">
          <cell r="C13">
            <v>7.506658255148689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0.689</v>
          </cell>
        </row>
        <row r="4">
          <cell r="C4">
            <v>15.289502</v>
          </cell>
        </row>
        <row r="5">
          <cell r="C5">
            <v>10.534466878</v>
          </cell>
        </row>
        <row r="7">
          <cell r="C7">
            <v>12.617594</v>
          </cell>
        </row>
        <row r="8">
          <cell r="C8">
            <v>0</v>
          </cell>
        </row>
        <row r="9">
          <cell r="C9">
            <v>-2.0831271220000005</v>
          </cell>
        </row>
        <row r="11">
          <cell r="C11">
            <v>8.061395620100425</v>
          </cell>
        </row>
        <row r="12">
          <cell r="C12">
            <v>10.700138780987556</v>
          </cell>
        </row>
        <row r="13">
          <cell r="C13">
            <v>0.8252455835382997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</v>
          </cell>
        </row>
        <row r="4">
          <cell r="C4">
            <v>12.344736</v>
          </cell>
        </row>
        <row r="5">
          <cell r="C5">
            <v>11.1102624</v>
          </cell>
        </row>
        <row r="7">
          <cell r="C7">
            <v>8.851</v>
          </cell>
        </row>
        <row r="8">
          <cell r="C8">
            <v>27.431</v>
          </cell>
        </row>
        <row r="9">
          <cell r="C9">
            <v>29.6902624</v>
          </cell>
        </row>
        <row r="11">
          <cell r="C11">
            <v>-1.5050949651738197</v>
          </cell>
        </row>
        <row r="12">
          <cell r="C12">
            <v>-2.672327739082022</v>
          </cell>
        </row>
        <row r="13">
          <cell r="C13">
            <v>-1.5050949651738197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8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1.14</v>
          </cell>
        </row>
        <row r="4">
          <cell r="C4">
            <v>9.858383</v>
          </cell>
        </row>
        <row r="5">
          <cell r="C5">
            <v>11.238556619999999</v>
          </cell>
        </row>
        <row r="7">
          <cell r="C7">
            <v>17.956</v>
          </cell>
        </row>
        <row r="8">
          <cell r="C8">
            <v>0</v>
          </cell>
        </row>
        <row r="9">
          <cell r="C9">
            <v>-6.717443380000001</v>
          </cell>
        </row>
        <row r="11">
          <cell r="C11">
            <v>2.146059174471386</v>
          </cell>
        </row>
        <row r="12">
          <cell r="C12">
            <v>0.8825080477819176</v>
          </cell>
        </row>
        <row r="13">
          <cell r="C13">
            <v>1.8213940359184666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3.28</v>
          </cell>
        </row>
        <row r="4">
          <cell r="C4">
            <v>3.264879</v>
          </cell>
        </row>
        <row r="5">
          <cell r="C5">
            <v>10.708803119999999</v>
          </cell>
        </row>
        <row r="7">
          <cell r="C7">
            <v>9.529</v>
          </cell>
        </row>
        <row r="8">
          <cell r="C8">
            <v>0</v>
          </cell>
        </row>
        <row r="9">
          <cell r="C9">
            <v>1.179803119999999</v>
          </cell>
        </row>
        <row r="11">
          <cell r="C11">
            <v>87.6862025007867</v>
          </cell>
        </row>
        <row r="12">
          <cell r="C12">
            <v>25.733598323410583</v>
          </cell>
        </row>
        <row r="13">
          <cell r="C13">
            <v>2.9186380260953007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1.23</v>
          </cell>
        </row>
        <row r="4">
          <cell r="C4">
            <v>9.452108</v>
          </cell>
        </row>
        <row r="5">
          <cell r="C5">
            <v>11.62609284</v>
          </cell>
        </row>
        <row r="7">
          <cell r="C7">
            <v>33.993982</v>
          </cell>
        </row>
        <row r="8">
          <cell r="C8">
            <v>0</v>
          </cell>
        </row>
        <row r="9">
          <cell r="C9">
            <v>-22.367889160000004</v>
          </cell>
        </row>
        <row r="11">
          <cell r="C11">
            <v>31.113266212797328</v>
          </cell>
        </row>
        <row r="12">
          <cell r="C12">
            <v>24.29533838438807</v>
          </cell>
        </row>
        <row r="13">
          <cell r="C13">
            <v>3.596444517984771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2.33</v>
          </cell>
        </row>
        <row r="4">
          <cell r="C4">
            <v>4.424387</v>
          </cell>
        </row>
        <row r="5">
          <cell r="C5">
            <v>10.30882171</v>
          </cell>
        </row>
        <row r="7">
          <cell r="C7">
            <v>16.838527</v>
          </cell>
        </row>
        <row r="8">
          <cell r="C8">
            <v>0</v>
          </cell>
        </row>
        <row r="9">
          <cell r="C9">
            <v>-6.529705289999999</v>
          </cell>
        </row>
        <row r="11">
          <cell r="C11">
            <v>107.10841136067567</v>
          </cell>
        </row>
        <row r="12">
          <cell r="C12">
            <v>44.969275262092566</v>
          </cell>
        </row>
        <row r="13">
          <cell r="C13">
            <v>3.805844063821722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8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0.1944</v>
          </cell>
        </row>
        <row r="4">
          <cell r="C4">
            <v>51.36452</v>
          </cell>
        </row>
        <row r="5">
          <cell r="C5">
            <v>9.985262687999999</v>
          </cell>
        </row>
        <row r="7">
          <cell r="C7">
            <v>29.135</v>
          </cell>
        </row>
        <row r="8">
          <cell r="C8">
            <v>76.197</v>
          </cell>
        </row>
        <row r="9">
          <cell r="C9">
            <v>57.047262688</v>
          </cell>
        </row>
        <row r="11">
          <cell r="C11">
            <v>2.290883455699328</v>
          </cell>
        </row>
        <row r="12">
          <cell r="C12">
            <v>10.784379916148808</v>
          </cell>
        </row>
        <row r="13">
          <cell r="C13">
            <v>-0.9162355649385996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9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2.43</v>
          </cell>
        </row>
        <row r="4">
          <cell r="C4">
            <v>3.887729</v>
          </cell>
        </row>
        <row r="5">
          <cell r="C5">
            <v>9.44718147</v>
          </cell>
        </row>
        <row r="7">
          <cell r="C7">
            <v>2.364437</v>
          </cell>
        </row>
        <row r="8">
          <cell r="C8">
            <v>1.300549</v>
          </cell>
        </row>
        <row r="9">
          <cell r="C9">
            <v>8.38329347</v>
          </cell>
        </row>
        <row r="11">
          <cell r="C11">
            <v>0.27365281890790233</v>
          </cell>
        </row>
        <row r="12">
          <cell r="C12">
            <v>-0.887385671231316</v>
          </cell>
        </row>
        <row r="13">
          <cell r="C13">
            <v>0.27365281890790233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9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0.8715</v>
          </cell>
        </row>
        <row r="4">
          <cell r="C4">
            <v>11.828435</v>
          </cell>
        </row>
        <row r="5">
          <cell r="C5">
            <v>10.308481102500002</v>
          </cell>
        </row>
        <row r="7">
          <cell r="C7">
            <v>1.6377423389618515</v>
          </cell>
        </row>
        <row r="8">
          <cell r="C8">
            <v>0.32051282051282054</v>
          </cell>
        </row>
        <row r="9">
          <cell r="C9">
            <v>8.991251584050971</v>
          </cell>
        </row>
        <row r="11">
          <cell r="C11">
            <v>4.202585619054135</v>
          </cell>
        </row>
        <row r="12">
          <cell r="C12">
            <v>3.8222439690810495</v>
          </cell>
        </row>
        <row r="13">
          <cell r="C13">
            <v>0.11136126786417908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0.8921</v>
          </cell>
        </row>
        <row r="4">
          <cell r="C4">
            <v>11.61725</v>
          </cell>
        </row>
        <row r="5">
          <cell r="C5">
            <v>10.363748725</v>
          </cell>
        </row>
        <row r="7">
          <cell r="C7">
            <v>12.996</v>
          </cell>
        </row>
        <row r="8">
          <cell r="C8">
            <v>0</v>
          </cell>
        </row>
        <row r="9">
          <cell r="C9">
            <v>-2.632251275</v>
          </cell>
        </row>
        <row r="11">
          <cell r="C11">
            <v>3.5207988014901277</v>
          </cell>
        </row>
        <row r="12">
          <cell r="C12">
            <v>2.9466414095842706</v>
          </cell>
        </row>
        <row r="13">
          <cell r="C13">
            <v>1.1186812713852246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0.5762</v>
          </cell>
        </row>
        <row r="4">
          <cell r="C4">
            <v>15.979411</v>
          </cell>
        </row>
        <row r="5">
          <cell r="C5">
            <v>9.207336618200001</v>
          </cell>
        </row>
        <row r="7">
          <cell r="C7">
            <v>0.779</v>
          </cell>
        </row>
        <row r="8">
          <cell r="C8">
            <v>0</v>
          </cell>
        </row>
        <row r="9">
          <cell r="C9">
            <v>8.428336618200001</v>
          </cell>
        </row>
        <row r="11">
          <cell r="C11">
            <v>34.7597515975522</v>
          </cell>
        </row>
        <row r="12">
          <cell r="C12">
            <v>59.325844494189866</v>
          </cell>
        </row>
        <row r="13">
          <cell r="C13">
            <v>0.048750232408441084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4.24</v>
          </cell>
        </row>
        <row r="4">
          <cell r="C4">
            <v>2.293277</v>
          </cell>
        </row>
        <row r="5">
          <cell r="C5">
            <v>9.72349448</v>
          </cell>
        </row>
        <row r="7">
          <cell r="C7">
            <v>7.149985</v>
          </cell>
        </row>
        <row r="8">
          <cell r="C8">
            <v>0</v>
          </cell>
        </row>
        <row r="9">
          <cell r="C9">
            <v>2.5735094799999993</v>
          </cell>
        </row>
        <row r="11">
          <cell r="C11">
            <v>64.32539971682264</v>
          </cell>
        </row>
        <row r="12">
          <cell r="C12">
            <v>14.171084838873265</v>
          </cell>
        </row>
        <row r="13">
          <cell r="C13">
            <v>3.1178026029999866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0.2047</v>
          </cell>
        </row>
        <row r="4">
          <cell r="C4">
            <v>45.892668</v>
          </cell>
        </row>
        <row r="5">
          <cell r="C5">
            <v>9.3942291396</v>
          </cell>
        </row>
        <row r="7">
          <cell r="C7">
            <v>11.337</v>
          </cell>
        </row>
        <row r="8">
          <cell r="C8">
            <v>1.6540000000000001</v>
          </cell>
        </row>
        <row r="9">
          <cell r="C9">
            <v>-0.28877086039999944</v>
          </cell>
        </row>
        <row r="11">
          <cell r="C11">
            <v>7.540440126632645</v>
          </cell>
        </row>
        <row r="12">
          <cell r="C12">
            <v>35.83654189854737</v>
          </cell>
        </row>
        <row r="13">
          <cell r="C13">
            <v>0.21099230927258358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1.04</v>
          </cell>
        </row>
        <row r="4">
          <cell r="C4">
            <v>9.010937</v>
          </cell>
        </row>
        <row r="5">
          <cell r="C5">
            <v>9.37137448</v>
          </cell>
        </row>
        <row r="7">
          <cell r="C7">
            <v>10.443</v>
          </cell>
        </row>
        <row r="8">
          <cell r="C8">
            <v>0</v>
          </cell>
        </row>
        <row r="9">
          <cell r="C9">
            <v>-1.0716255199999996</v>
          </cell>
        </row>
        <row r="11">
          <cell r="C11">
            <v>11.935745695692495</v>
          </cell>
        </row>
        <row r="12">
          <cell r="C12">
            <v>10.476678553550475</v>
          </cell>
        </row>
        <row r="13">
          <cell r="C13">
            <v>1.1589249819413896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1.18</v>
          </cell>
        </row>
        <row r="4">
          <cell r="C4">
            <v>7.1922665</v>
          </cell>
        </row>
        <row r="5">
          <cell r="C5">
            <v>8.486874469999998</v>
          </cell>
        </row>
        <row r="7">
          <cell r="C7">
            <v>10.4</v>
          </cell>
        </row>
        <row r="8">
          <cell r="C8">
            <v>0</v>
          </cell>
        </row>
        <row r="9">
          <cell r="C9">
            <v>-1.913125530000002</v>
          </cell>
        </row>
        <row r="11">
          <cell r="C11">
            <v>-24.656386982415267</v>
          </cell>
        </row>
        <row r="12">
          <cell r="C12">
            <v>-21.895243205436667</v>
          </cell>
        </row>
        <row r="13">
          <cell r="C13">
            <v>1.445997586435375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59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3.82</v>
          </cell>
        </row>
        <row r="4">
          <cell r="C4">
            <v>2.62589</v>
          </cell>
        </row>
        <row r="5">
          <cell r="C5">
            <v>10.0308998</v>
          </cell>
        </row>
        <row r="7">
          <cell r="C7">
            <v>28.712</v>
          </cell>
        </row>
        <row r="8">
          <cell r="C8">
            <v>0</v>
          </cell>
        </row>
        <row r="9">
          <cell r="C9">
            <v>-18.6811002</v>
          </cell>
        </row>
        <row r="11">
          <cell r="C11">
            <v>10.934197548259828</v>
          </cell>
        </row>
        <row r="12">
          <cell r="C12">
            <v>1.8623553791256096</v>
          </cell>
        </row>
        <row r="13">
          <cell r="C13">
            <v>10.934197548259828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59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1.29</v>
          </cell>
        </row>
        <row r="4">
          <cell r="C4">
            <v>6.588101</v>
          </cell>
        </row>
        <row r="5">
          <cell r="C5">
            <v>8.49865029</v>
          </cell>
        </row>
        <row r="7">
          <cell r="C7">
            <v>12.634</v>
          </cell>
        </row>
        <row r="8">
          <cell r="C8">
            <v>0</v>
          </cell>
        </row>
        <row r="9">
          <cell r="C9">
            <v>-4.13534971</v>
          </cell>
        </row>
        <row r="11">
          <cell r="C11">
            <v>1.9176998045415516</v>
          </cell>
        </row>
        <row r="12">
          <cell r="C12">
            <v>0.48658899576864467</v>
          </cell>
        </row>
        <row r="13">
          <cell r="C13">
            <v>1.9176998045415516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0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0.1978</v>
          </cell>
        </row>
        <row r="4">
          <cell r="C4">
            <v>44.376911</v>
          </cell>
        </row>
        <row r="5">
          <cell r="C5">
            <v>8.7777529958</v>
          </cell>
        </row>
        <row r="7">
          <cell r="C7">
            <v>31.73</v>
          </cell>
        </row>
        <row r="8">
          <cell r="C8">
            <v>0</v>
          </cell>
        </row>
        <row r="9">
          <cell r="C9">
            <v>-22.9522470042</v>
          </cell>
        </row>
        <row r="11">
          <cell r="C11">
            <v>8.124547602728429</v>
          </cell>
        </row>
        <row r="12">
          <cell r="C12">
            <v>40.07455815332876</v>
          </cell>
        </row>
        <row r="13">
          <cell r="C13">
            <v>0.7150114617035873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0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  <sheetName val="Assumptions"/>
      <sheetName val="NPV"/>
    </sheetNames>
    <sheetDataSet>
      <sheetData sheetId="0">
        <row r="3">
          <cell r="C3">
            <v>0.3586</v>
          </cell>
        </row>
        <row r="4">
          <cell r="C4">
            <v>22.68146</v>
          </cell>
        </row>
        <row r="5">
          <cell r="C5">
            <v>8.133571556</v>
          </cell>
        </row>
        <row r="7">
          <cell r="C7">
            <v>65.10499999999999</v>
          </cell>
        </row>
        <row r="8">
          <cell r="C8">
            <v>125.354</v>
          </cell>
        </row>
        <row r="9">
          <cell r="C9">
            <v>68.38257155600002</v>
          </cell>
        </row>
        <row r="11">
          <cell r="C11">
            <v>-6.045785596657753</v>
          </cell>
        </row>
        <row r="12">
          <cell r="C12">
            <v>-17.85941326452246</v>
          </cell>
        </row>
        <row r="13">
          <cell r="C13">
            <v>-2.656310484422079</v>
          </cell>
        </row>
        <row r="14">
          <cell r="C14" t="str">
            <v>Base</v>
          </cell>
        </row>
        <row r="15">
          <cell r="C15" t="str">
            <v>DCF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0.6564</v>
          </cell>
        </row>
        <row r="4">
          <cell r="C4">
            <v>12.784146</v>
          </cell>
        </row>
        <row r="5">
          <cell r="C5">
            <v>8.3915134344</v>
          </cell>
        </row>
        <row r="7">
          <cell r="C7">
            <v>7.361255</v>
          </cell>
        </row>
        <row r="8">
          <cell r="C8">
            <v>0</v>
          </cell>
        </row>
        <row r="9">
          <cell r="C9">
            <v>1.0302584344000003</v>
          </cell>
        </row>
        <row r="11">
          <cell r="C11">
            <v>13.536730005514626</v>
          </cell>
        </row>
        <row r="12">
          <cell r="C12">
            <v>19.622684347219113</v>
          </cell>
        </row>
        <row r="13">
          <cell r="C13">
            <v>0.5758112430818609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0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1.37</v>
          </cell>
        </row>
        <row r="4">
          <cell r="C4">
            <v>7.542638</v>
          </cell>
        </row>
        <row r="5">
          <cell r="C5">
            <v>10.33341406</v>
          </cell>
        </row>
        <row r="7">
          <cell r="C7">
            <v>8.97737</v>
          </cell>
        </row>
        <row r="8">
          <cell r="C8">
            <v>0</v>
          </cell>
        </row>
        <row r="9">
          <cell r="C9">
            <v>1.3560440600000003</v>
          </cell>
        </row>
        <row r="11">
          <cell r="C11">
            <v>45.00597667693245</v>
          </cell>
        </row>
        <row r="12">
          <cell r="C12">
            <v>31.851077866374048</v>
          </cell>
        </row>
        <row r="13">
          <cell r="C13">
            <v>1.1902162081754422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0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</v>
          </cell>
        </row>
        <row r="4">
          <cell r="C4">
            <v>5.894812</v>
          </cell>
        </row>
        <row r="5">
          <cell r="C5">
            <v>8.2527368</v>
          </cell>
        </row>
        <row r="7">
          <cell r="C7">
            <v>1.9257114610550103</v>
          </cell>
        </row>
        <row r="8">
          <cell r="C8">
            <v>10.782430619306547</v>
          </cell>
        </row>
        <row r="9">
          <cell r="C9">
            <v>17.109455958251537</v>
          </cell>
        </row>
        <row r="11">
          <cell r="C11">
            <v>-1.5024599865528427</v>
          </cell>
        </row>
        <row r="12">
          <cell r="C12">
            <v>-2.073185704680602</v>
          </cell>
        </row>
        <row r="13">
          <cell r="C13">
            <v>-1.5024599865528427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0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4.31</v>
          </cell>
        </row>
        <row r="4">
          <cell r="C4">
            <v>1.926345</v>
          </cell>
        </row>
        <row r="5">
          <cell r="C5">
            <v>8.30254695</v>
          </cell>
        </row>
        <row r="7">
          <cell r="C7">
            <v>18.1</v>
          </cell>
        </row>
        <row r="8">
          <cell r="C8">
            <v>0</v>
          </cell>
        </row>
        <row r="9">
          <cell r="C9">
            <v>-9.797453050000001</v>
          </cell>
        </row>
        <row r="11">
          <cell r="C11">
            <v>8.597505617172311</v>
          </cell>
        </row>
        <row r="12">
          <cell r="C12">
            <v>0.9947808856548288</v>
          </cell>
        </row>
        <row r="13">
          <cell r="C13">
            <v>9.396032382569063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0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1.47</v>
          </cell>
        </row>
        <row r="4">
          <cell r="C4">
            <v>5.179378</v>
          </cell>
        </row>
        <row r="5">
          <cell r="C5">
            <v>7.61368566</v>
          </cell>
        </row>
        <row r="7">
          <cell r="C7">
            <v>7.378</v>
          </cell>
        </row>
        <row r="8">
          <cell r="C8">
            <v>1.197</v>
          </cell>
        </row>
        <row r="9">
          <cell r="C9">
            <v>1.4326856599999997</v>
          </cell>
        </row>
        <row r="11">
          <cell r="C11">
            <v>1.193386541781658</v>
          </cell>
        </row>
        <row r="12">
          <cell r="C12">
            <v>-0.18817242055669525</v>
          </cell>
        </row>
        <row r="13">
          <cell r="C13">
            <v>1.193386541781658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0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0.9564</v>
          </cell>
        </row>
        <row r="4">
          <cell r="C4">
            <v>8.071202025</v>
          </cell>
        </row>
        <row r="5">
          <cell r="C5">
            <v>7.7192976167100005</v>
          </cell>
        </row>
        <row r="7">
          <cell r="C7">
            <v>4.396659707724425</v>
          </cell>
        </row>
        <row r="8">
          <cell r="C8" t="str">
            <v>empty</v>
          </cell>
        </row>
        <row r="9">
          <cell r="C9">
            <v>3.322637908985575</v>
          </cell>
        </row>
        <row r="11">
          <cell r="C11">
            <v>0.5447341912773427</v>
          </cell>
        </row>
        <row r="12">
          <cell r="C12">
            <v>-0.43043267327755885</v>
          </cell>
        </row>
        <row r="13">
          <cell r="C13">
            <v>0.5447341912773427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0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0.3546</v>
          </cell>
        </row>
        <row r="4">
          <cell r="C4">
            <v>21.765479</v>
          </cell>
        </row>
        <row r="5">
          <cell r="C5">
            <v>7.7180388534</v>
          </cell>
        </row>
        <row r="7">
          <cell r="C7">
            <v>9.811141</v>
          </cell>
        </row>
        <row r="8">
          <cell r="C8">
            <v>0</v>
          </cell>
        </row>
        <row r="9">
          <cell r="C9">
            <v>-2.093102146599999</v>
          </cell>
        </row>
        <row r="11">
          <cell r="C11">
            <v>19.574516777359445</v>
          </cell>
        </row>
        <row r="12">
          <cell r="C12">
            <v>54.20168295927649</v>
          </cell>
        </row>
        <row r="13">
          <cell r="C13">
            <v>0.45076614210971416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0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0.5612</v>
          </cell>
        </row>
        <row r="4">
          <cell r="C4">
            <v>12.591136</v>
          </cell>
        </row>
        <row r="5">
          <cell r="C5">
            <v>7.0661455232</v>
          </cell>
        </row>
        <row r="7">
          <cell r="C7">
            <v>41.233428</v>
          </cell>
        </row>
        <row r="8">
          <cell r="C8">
            <v>0</v>
          </cell>
        </row>
        <row r="9">
          <cell r="C9">
            <v>-34.167282476800004</v>
          </cell>
        </row>
        <row r="11">
          <cell r="C11">
            <v>8.843892285354968</v>
          </cell>
        </row>
        <row r="12">
          <cell r="C12">
            <v>14.758895732991746</v>
          </cell>
        </row>
        <row r="13">
          <cell r="C13">
            <v>3.274798080173227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1.34</v>
          </cell>
        </row>
        <row r="4">
          <cell r="C4">
            <v>5.493735</v>
          </cell>
        </row>
        <row r="5">
          <cell r="C5">
            <v>7.361604900000001</v>
          </cell>
        </row>
        <row r="7">
          <cell r="C7">
            <v>2.234083</v>
          </cell>
        </row>
        <row r="8">
          <cell r="C8">
            <v>0</v>
          </cell>
        </row>
        <row r="9">
          <cell r="C9">
            <v>5.1275219000000005</v>
          </cell>
        </row>
        <row r="11">
          <cell r="C11">
            <v>0.40666013195030337</v>
          </cell>
        </row>
        <row r="12">
          <cell r="C12">
            <v>-0.6965222895893259</v>
          </cell>
        </row>
        <row r="13">
          <cell r="C13">
            <v>0.40666013195030337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0.9987</v>
          </cell>
        </row>
        <row r="4">
          <cell r="C4">
            <v>6.545995</v>
          </cell>
        </row>
        <row r="5">
          <cell r="C5">
            <v>6.5374852064999995</v>
          </cell>
        </row>
        <row r="7">
          <cell r="C7">
            <v>1.717</v>
          </cell>
        </row>
        <row r="8">
          <cell r="C8">
            <v>0</v>
          </cell>
        </row>
        <row r="9">
          <cell r="C9">
            <v>4.820485206499999</v>
          </cell>
        </row>
        <row r="11">
          <cell r="C11">
            <v>0.2622977866619208</v>
          </cell>
        </row>
        <row r="12">
          <cell r="C12">
            <v>-0.7373607823551409</v>
          </cell>
        </row>
        <row r="13">
          <cell r="C13">
            <v>0.2622977866619208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1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4.99</v>
          </cell>
        </row>
        <row r="4">
          <cell r="C4">
            <v>1.461449</v>
          </cell>
        </row>
        <row r="5">
          <cell r="C5">
            <v>7.29263051</v>
          </cell>
        </row>
        <row r="7">
          <cell r="C7">
            <v>19.985</v>
          </cell>
        </row>
        <row r="8">
          <cell r="C8">
            <v>0</v>
          </cell>
        </row>
        <row r="9">
          <cell r="C9">
            <v>-12.692369489999999</v>
          </cell>
        </row>
        <row r="11">
          <cell r="C11">
            <v>38.22260494216998</v>
          </cell>
        </row>
        <row r="12">
          <cell r="C12">
            <v>6.659840669773542</v>
          </cell>
        </row>
        <row r="13">
          <cell r="C13">
            <v>13.674784409171993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1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0.2277</v>
          </cell>
        </row>
        <row r="4">
          <cell r="C4">
            <v>31.144754</v>
          </cell>
        </row>
        <row r="5">
          <cell r="C5">
            <v>7.0916604858</v>
          </cell>
        </row>
        <row r="7">
          <cell r="C7">
            <v>6.463</v>
          </cell>
        </row>
        <row r="8">
          <cell r="C8">
            <v>3.993</v>
          </cell>
        </row>
        <row r="9">
          <cell r="C9">
            <v>4.6216604858</v>
          </cell>
        </row>
        <row r="11">
          <cell r="C11">
            <v>-4.245221741398757</v>
          </cell>
        </row>
        <row r="12">
          <cell r="C12">
            <v>-19.643925082998493</v>
          </cell>
        </row>
        <row r="13">
          <cell r="C13">
            <v>0.07930709614851991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1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2.97</v>
          </cell>
        </row>
        <row r="4">
          <cell r="C4">
            <v>2.54048</v>
          </cell>
        </row>
        <row r="5">
          <cell r="C5">
            <v>7.545225600000001</v>
          </cell>
        </row>
        <row r="7">
          <cell r="C7">
            <v>0.124</v>
          </cell>
        </row>
        <row r="8">
          <cell r="C8">
            <v>0</v>
          </cell>
        </row>
        <row r="9">
          <cell r="C9">
            <v>7.421225600000001</v>
          </cell>
        </row>
        <row r="11">
          <cell r="C11">
            <v>0.04880967376243859</v>
          </cell>
        </row>
        <row r="12">
          <cell r="C12">
            <v>-0.9835657664099533</v>
          </cell>
        </row>
        <row r="13">
          <cell r="C13">
            <v>0.04880967376243859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1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0.9199</v>
          </cell>
        </row>
        <row r="4">
          <cell r="C4">
            <v>6.658193</v>
          </cell>
        </row>
        <row r="5">
          <cell r="C5">
            <v>6.1248717407</v>
          </cell>
        </row>
        <row r="7">
          <cell r="C7">
            <v>3.515</v>
          </cell>
        </row>
        <row r="8">
          <cell r="C8">
            <v>0.124</v>
          </cell>
        </row>
        <row r="9">
          <cell r="C9">
            <v>2.7338717406999997</v>
          </cell>
        </row>
        <row r="11">
          <cell r="C11">
            <v>0.509297342387041</v>
          </cell>
        </row>
        <row r="12">
          <cell r="C12">
            <v>-0.44635575346554945</v>
          </cell>
        </row>
        <row r="13">
          <cell r="C13">
            <v>0.509297342387041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1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</v>
          </cell>
        </row>
        <row r="4">
          <cell r="C4">
            <v>4.825723</v>
          </cell>
        </row>
        <row r="5">
          <cell r="C5">
            <v>6.2734399000000005</v>
          </cell>
        </row>
        <row r="7">
          <cell r="C7">
            <v>7.591444</v>
          </cell>
        </row>
        <row r="8">
          <cell r="C8">
            <v>0</v>
          </cell>
        </row>
        <row r="9">
          <cell r="C9">
            <v>-1.3180040999999996</v>
          </cell>
        </row>
        <row r="11">
          <cell r="C11">
            <v>83.69161920419397</v>
          </cell>
        </row>
        <row r="12">
          <cell r="C12">
            <v>63.378168618610744</v>
          </cell>
        </row>
        <row r="13">
          <cell r="C13">
            <v>1.5731205458746804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0.3767</v>
          </cell>
        </row>
        <row r="4">
          <cell r="C4">
            <v>15.368277</v>
          </cell>
        </row>
        <row r="5">
          <cell r="C5">
            <v>5.7892299459</v>
          </cell>
        </row>
        <row r="7">
          <cell r="C7">
            <v>5.016</v>
          </cell>
        </row>
        <row r="8">
          <cell r="C8">
            <v>0</v>
          </cell>
        </row>
        <row r="9">
          <cell r="C9">
            <v>0.7732299458999998</v>
          </cell>
        </row>
        <row r="11">
          <cell r="C11">
            <v>15.862929138858753</v>
          </cell>
        </row>
        <row r="12">
          <cell r="C12">
            <v>41.11024459479361</v>
          </cell>
        </row>
        <row r="13">
          <cell r="C13">
            <v>0.3263866209595259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1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1.44</v>
          </cell>
        </row>
        <row r="4">
          <cell r="C4">
            <v>4.475884</v>
          </cell>
        </row>
        <row r="5">
          <cell r="C5">
            <v>6.44527296</v>
          </cell>
        </row>
        <row r="7">
          <cell r="C7">
            <v>8.296296</v>
          </cell>
        </row>
        <row r="8">
          <cell r="C8">
            <v>0</v>
          </cell>
        </row>
        <row r="9">
          <cell r="C9">
            <v>-1.8510230400000003</v>
          </cell>
        </row>
        <row r="11">
          <cell r="C11">
            <v>1.8535547391308622</v>
          </cell>
        </row>
        <row r="12">
          <cell r="C12">
            <v>0.28719079106309886</v>
          </cell>
        </row>
        <row r="13">
          <cell r="C13">
            <v>1.8535547391308622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1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0.94</v>
          </cell>
        </row>
        <row r="4">
          <cell r="C4">
            <v>6.622794</v>
          </cell>
        </row>
        <row r="5">
          <cell r="C5">
            <v>6.225426359999999</v>
          </cell>
        </row>
        <row r="7">
          <cell r="C7">
            <v>3.79</v>
          </cell>
        </row>
        <row r="8">
          <cell r="C8">
            <v>0</v>
          </cell>
        </row>
        <row r="9">
          <cell r="C9">
            <v>2.4354263599999992</v>
          </cell>
        </row>
        <row r="11">
          <cell r="C11">
            <v>0.5722660254871282</v>
          </cell>
        </row>
        <row r="12">
          <cell r="C12">
            <v>-0.39120635586475716</v>
          </cell>
        </row>
        <row r="13">
          <cell r="C13">
            <v>0.5722660254871282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2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3.41</v>
          </cell>
        </row>
        <row r="4">
          <cell r="C4">
            <v>1.509118</v>
          </cell>
        </row>
        <row r="5">
          <cell r="C5">
            <v>5.14609238</v>
          </cell>
        </row>
        <row r="7">
          <cell r="C7">
            <v>0.278371</v>
          </cell>
        </row>
        <row r="8">
          <cell r="C8">
            <v>13.907026</v>
          </cell>
        </row>
        <row r="9">
          <cell r="C9">
            <v>18.77474738</v>
          </cell>
        </row>
        <row r="11">
          <cell r="C11">
            <v>-9.030874325268137</v>
          </cell>
        </row>
        <row r="12">
          <cell r="C12">
            <v>-3.648350242014116</v>
          </cell>
        </row>
        <row r="13">
          <cell r="C13">
            <v>-9.030874325268137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2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0.2323</v>
          </cell>
        </row>
        <row r="4">
          <cell r="C4">
            <v>26.72387</v>
          </cell>
        </row>
        <row r="5">
          <cell r="C5">
            <v>6.207955001</v>
          </cell>
        </row>
        <row r="7">
          <cell r="C7">
            <v>0.572</v>
          </cell>
        </row>
        <row r="8">
          <cell r="C8">
            <v>1.7109999999999999</v>
          </cell>
        </row>
        <row r="9">
          <cell r="C9">
            <v>7.3469550009999995</v>
          </cell>
        </row>
        <row r="11">
          <cell r="C11">
            <v>-0.04262107247191368</v>
          </cell>
        </row>
        <row r="12">
          <cell r="C12">
            <v>-1.183474268066783</v>
          </cell>
        </row>
        <row r="13">
          <cell r="C13">
            <v>-0.04262107247191368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2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1.14</v>
          </cell>
        </row>
        <row r="4">
          <cell r="C4">
            <v>5.269921</v>
          </cell>
        </row>
        <row r="5">
          <cell r="C5">
            <v>6.00770994</v>
          </cell>
        </row>
        <row r="7">
          <cell r="C7">
            <v>10.656386</v>
          </cell>
        </row>
        <row r="8">
          <cell r="C8">
            <v>0</v>
          </cell>
        </row>
        <row r="9">
          <cell r="C9">
            <v>-4.64867606</v>
          </cell>
        </row>
        <row r="11">
          <cell r="C11">
            <v>18.469070945537702</v>
          </cell>
        </row>
        <row r="12">
          <cell r="C12">
            <v>15.200939425910267</v>
          </cell>
        </row>
        <row r="13">
          <cell r="C13">
            <v>2.022114942520011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2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1.005</v>
          </cell>
        </row>
        <row r="4">
          <cell r="C4">
            <v>5.611403</v>
          </cell>
        </row>
        <row r="5">
          <cell r="C5">
            <v>5.639460014999999</v>
          </cell>
        </row>
        <row r="7">
          <cell r="C7">
            <v>6.9</v>
          </cell>
        </row>
        <row r="8">
          <cell r="C8">
            <v>1.5</v>
          </cell>
        </row>
        <row r="9">
          <cell r="C9">
            <v>0.2394600149999988</v>
          </cell>
        </row>
        <row r="11">
          <cell r="C11">
            <v>119.14252659473262</v>
          </cell>
        </row>
        <row r="12">
          <cell r="C12">
            <v>117.54977770620162</v>
          </cell>
        </row>
        <row r="13">
          <cell r="C13">
            <v>0.9623261776065629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2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1.15</v>
          </cell>
        </row>
        <row r="4">
          <cell r="C4">
            <v>5.147204</v>
          </cell>
        </row>
        <row r="5">
          <cell r="C5">
            <v>5.9192846</v>
          </cell>
        </row>
        <row r="7">
          <cell r="C7">
            <v>1.889291</v>
          </cell>
        </row>
        <row r="8">
          <cell r="C8">
            <v>0</v>
          </cell>
        </row>
        <row r="9">
          <cell r="C9">
            <v>4.0299936</v>
          </cell>
        </row>
        <row r="11">
          <cell r="C11">
            <v>0.36705189846759523</v>
          </cell>
        </row>
        <row r="12">
          <cell r="C12">
            <v>-0.6808244361151345</v>
          </cell>
        </row>
        <row r="13">
          <cell r="C13">
            <v>0.36705189846759523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2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6.19</v>
          </cell>
        </row>
        <row r="4">
          <cell r="C4">
            <v>0.973869</v>
          </cell>
        </row>
        <row r="5">
          <cell r="C5">
            <v>6.02824911</v>
          </cell>
        </row>
        <row r="7">
          <cell r="C7">
            <v>7.262</v>
          </cell>
        </row>
        <row r="8">
          <cell r="C8">
            <v>0</v>
          </cell>
        </row>
        <row r="9">
          <cell r="C9">
            <v>-1.2337508899999996</v>
          </cell>
        </row>
        <row r="11">
          <cell r="C11">
            <v>275.36830997726986</v>
          </cell>
        </row>
        <row r="12">
          <cell r="C12">
            <v>43.48599514980127</v>
          </cell>
        </row>
        <row r="13">
          <cell r="C13">
            <v>7.456855080098042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2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1.15</v>
          </cell>
        </row>
        <row r="4">
          <cell r="C4">
            <v>4.788425</v>
          </cell>
        </row>
        <row r="5">
          <cell r="C5">
            <v>5.5066887499999995</v>
          </cell>
        </row>
        <row r="7">
          <cell r="C7">
            <v>5.338</v>
          </cell>
        </row>
        <row r="8">
          <cell r="C8">
            <v>0.14</v>
          </cell>
        </row>
        <row r="9">
          <cell r="C9">
            <v>0.3086887499999994</v>
          </cell>
        </row>
        <row r="11">
          <cell r="C11">
            <v>55.542066207033834</v>
          </cell>
        </row>
        <row r="12">
          <cell r="C12">
            <v>47.297448875681596</v>
          </cell>
        </row>
        <row r="13">
          <cell r="C13">
            <v>1.085534387611793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2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1.43</v>
          </cell>
        </row>
        <row r="4">
          <cell r="C4">
            <v>3.652285</v>
          </cell>
        </row>
        <row r="5">
          <cell r="C5">
            <v>5.2227675499999995</v>
          </cell>
        </row>
        <row r="7">
          <cell r="C7">
            <v>2.168</v>
          </cell>
        </row>
        <row r="8">
          <cell r="C8">
            <v>0</v>
          </cell>
        </row>
        <row r="9">
          <cell r="C9">
            <v>3.0547675499999993</v>
          </cell>
        </row>
        <row r="11">
          <cell r="C11">
            <v>0.5936009922555332</v>
          </cell>
        </row>
        <row r="12">
          <cell r="C12">
            <v>-0.5848944110101166</v>
          </cell>
        </row>
        <row r="13">
          <cell r="C13">
            <v>0.5936009922555332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2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0.1679</v>
          </cell>
        </row>
        <row r="4">
          <cell r="C4">
            <v>30.442139</v>
          </cell>
        </row>
        <row r="5">
          <cell r="C5">
            <v>5.1112351381</v>
          </cell>
        </row>
        <row r="7">
          <cell r="C7">
            <v>9.964</v>
          </cell>
        </row>
        <row r="8">
          <cell r="C8">
            <v>3.621</v>
          </cell>
        </row>
        <row r="9">
          <cell r="C9">
            <v>-1.2317648619000008</v>
          </cell>
        </row>
        <row r="11">
          <cell r="C11">
            <v>0.20836249384446998</v>
          </cell>
        </row>
        <row r="12">
          <cell r="C12">
            <v>0.24099162504151272</v>
          </cell>
        </row>
        <row r="13">
          <cell r="C13">
            <v>0.20836249384446998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2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0.7547</v>
          </cell>
        </row>
        <row r="4">
          <cell r="C4">
            <v>6.592557</v>
          </cell>
        </row>
        <row r="5">
          <cell r="C5">
            <v>4.9754027679</v>
          </cell>
        </row>
        <row r="7">
          <cell r="C7">
            <v>8.714115</v>
          </cell>
        </row>
        <row r="8">
          <cell r="C8">
            <v>0</v>
          </cell>
        </row>
        <row r="9">
          <cell r="C9">
            <v>-3.7387122320999993</v>
          </cell>
        </row>
        <row r="11">
          <cell r="C11">
            <v>38.191328504106615</v>
          </cell>
        </row>
        <row r="12">
          <cell r="C12">
            <v>49.60464887254089</v>
          </cell>
        </row>
        <row r="13">
          <cell r="C13">
            <v>1.3218110969688999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3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0.448</v>
          </cell>
        </row>
        <row r="4">
          <cell r="C4">
            <v>10.711059</v>
          </cell>
        </row>
        <row r="5">
          <cell r="C5">
            <v>4.798554432</v>
          </cell>
        </row>
        <row r="7">
          <cell r="C7">
            <v>0.24008350730688932</v>
          </cell>
        </row>
        <row r="8">
          <cell r="C8">
            <v>2.9352818371607516</v>
          </cell>
        </row>
        <row r="9">
          <cell r="C9">
            <v>7.493752761853862</v>
          </cell>
        </row>
        <row r="11">
          <cell r="C11">
            <v>-0.2516276242950265</v>
          </cell>
        </row>
        <row r="12">
          <cell r="C12">
            <v>-1.5616688042299698</v>
          </cell>
        </row>
        <row r="13">
          <cell r="C13">
            <v>-0.2516276242950265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1.79</v>
          </cell>
        </row>
        <row r="4">
          <cell r="C4">
            <v>2.793386</v>
          </cell>
        </row>
        <row r="5">
          <cell r="C5">
            <v>5.00016094</v>
          </cell>
        </row>
        <row r="7">
          <cell r="C7">
            <v>0.196325</v>
          </cell>
        </row>
        <row r="8">
          <cell r="C8">
            <v>0</v>
          </cell>
        </row>
        <row r="9">
          <cell r="C9">
            <v>4.80383594</v>
          </cell>
        </row>
        <row r="11">
          <cell r="C11">
            <v>0.07028208776015918</v>
          </cell>
        </row>
        <row r="12">
          <cell r="C12">
            <v>-0.9607362638211401</v>
          </cell>
        </row>
        <row r="13">
          <cell r="C13">
            <v>0.07028208776015918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</v>
          </cell>
        </row>
        <row r="4">
          <cell r="C4">
            <v>2.343181</v>
          </cell>
        </row>
        <row r="5">
          <cell r="C5">
            <v>4.686362</v>
          </cell>
        </row>
        <row r="7">
          <cell r="C7">
            <v>6.471766</v>
          </cell>
        </row>
        <row r="8">
          <cell r="C8">
            <v>0</v>
          </cell>
        </row>
        <row r="9">
          <cell r="C9">
            <v>-1.7854039999999998</v>
          </cell>
        </row>
        <row r="11">
          <cell r="C11">
            <v>2.7619573562605706</v>
          </cell>
        </row>
        <row r="12">
          <cell r="C12">
            <v>0.3809786781302853</v>
          </cell>
        </row>
        <row r="13">
          <cell r="C13">
            <v>2.7619573562605706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</v>
          </cell>
        </row>
        <row r="4">
          <cell r="C4">
            <v>8.189838</v>
          </cell>
        </row>
        <row r="5">
          <cell r="C5">
            <v>4.094919</v>
          </cell>
        </row>
        <row r="7">
          <cell r="C7">
            <v>10.987394</v>
          </cell>
        </row>
        <row r="8">
          <cell r="C8">
            <v>0</v>
          </cell>
        </row>
        <row r="9">
          <cell r="C9">
            <v>-6.892475</v>
          </cell>
        </row>
        <row r="11">
          <cell r="C11">
            <v>1.3415886858812103</v>
          </cell>
        </row>
        <row r="12">
          <cell r="C12">
            <v>1.6831773717624205</v>
          </cell>
        </row>
        <row r="13">
          <cell r="C13">
            <v>1.3415886858812103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0.0715</v>
          </cell>
        </row>
        <row r="4">
          <cell r="C4">
            <v>60.603742</v>
          </cell>
        </row>
        <row r="5">
          <cell r="C5">
            <v>4.333167552999999</v>
          </cell>
        </row>
        <row r="7">
          <cell r="C7">
            <v>6.72781</v>
          </cell>
        </row>
        <row r="8">
          <cell r="C8">
            <v>0</v>
          </cell>
        </row>
        <row r="9">
          <cell r="C9">
            <v>-2.3946424470000007</v>
          </cell>
        </row>
        <row r="11">
          <cell r="C11">
            <v>0.11101311202862688</v>
          </cell>
        </row>
        <row r="12">
          <cell r="C12">
            <v>0.5526309374633132</v>
          </cell>
        </row>
        <row r="13">
          <cell r="C13">
            <v>0.11101311202862688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1.0056</v>
          </cell>
        </row>
        <row r="4">
          <cell r="C4">
            <v>4.1619709894</v>
          </cell>
        </row>
        <row r="5">
          <cell r="C5">
            <v>4.18527802694064</v>
          </cell>
        </row>
        <row r="7">
          <cell r="C7">
            <v>32.339409780101086</v>
          </cell>
        </row>
        <row r="8">
          <cell r="C8" t="str">
            <v>empty</v>
          </cell>
        </row>
        <row r="9">
          <cell r="C9">
            <v>-28.154131753160446</v>
          </cell>
        </row>
        <row r="11">
          <cell r="C11">
            <v>11.935244826240773</v>
          </cell>
        </row>
        <row r="12">
          <cell r="C12">
            <v>10.868779660143966</v>
          </cell>
        </row>
        <row r="13">
          <cell r="C13">
            <v>7.770215088587922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3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0.3873</v>
          </cell>
        </row>
        <row r="4">
          <cell r="C4">
            <v>11.205045</v>
          </cell>
        </row>
        <row r="5">
          <cell r="C5">
            <v>4.3397139285</v>
          </cell>
        </row>
        <row r="7">
          <cell r="C7">
            <v>2.118339</v>
          </cell>
        </row>
        <row r="8">
          <cell r="C8">
            <v>0.007321</v>
          </cell>
        </row>
        <row r="9">
          <cell r="C9">
            <v>2.2286959285</v>
          </cell>
        </row>
        <row r="11">
          <cell r="C11">
            <v>0.18839888639447677</v>
          </cell>
        </row>
        <row r="12">
          <cell r="C12">
            <v>-0.5135582587284359</v>
          </cell>
        </row>
        <row r="13">
          <cell r="C13">
            <v>0.18839888639447677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1.04</v>
          </cell>
        </row>
        <row r="4">
          <cell r="C4">
            <v>3.567592</v>
          </cell>
        </row>
        <row r="5">
          <cell r="C5">
            <v>3.71029568</v>
          </cell>
        </row>
        <row r="7">
          <cell r="C7">
            <v>2.388135</v>
          </cell>
        </row>
        <row r="8">
          <cell r="C8">
            <v>0</v>
          </cell>
        </row>
        <row r="9">
          <cell r="C9">
            <v>1.32216068</v>
          </cell>
        </row>
        <row r="11">
          <cell r="C11">
            <v>0.6693968929182486</v>
          </cell>
        </row>
        <row r="12">
          <cell r="C12">
            <v>-0.35634914142476104</v>
          </cell>
        </row>
        <row r="13">
          <cell r="C13">
            <v>0.6693968929182486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0.3422</v>
          </cell>
        </row>
        <row r="4">
          <cell r="C4">
            <v>10.735649</v>
          </cell>
        </row>
        <row r="5">
          <cell r="C5">
            <v>3.6737390878</v>
          </cell>
        </row>
        <row r="7">
          <cell r="C7">
            <v>17.838452999999998</v>
          </cell>
        </row>
        <row r="8">
          <cell r="C8">
            <v>0</v>
          </cell>
        </row>
        <row r="9">
          <cell r="C9">
            <v>-14.164713912199998</v>
          </cell>
        </row>
        <row r="11">
          <cell r="C11">
            <v>1.6616091863659102</v>
          </cell>
        </row>
        <row r="12">
          <cell r="C12">
            <v>3.8556668216420515</v>
          </cell>
        </row>
        <row r="13">
          <cell r="C13">
            <v>1.6616091863659102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3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0.1897</v>
          </cell>
        </row>
        <row r="4">
          <cell r="C4">
            <v>19.339786</v>
          </cell>
        </row>
        <row r="5">
          <cell r="C5">
            <v>3.6687574042</v>
          </cell>
        </row>
        <row r="7">
          <cell r="C7">
            <v>7.229</v>
          </cell>
        </row>
        <row r="8">
          <cell r="C8">
            <v>0</v>
          </cell>
        </row>
        <row r="9">
          <cell r="C9">
            <v>-3.5602425958</v>
          </cell>
        </row>
        <row r="11">
          <cell r="C11">
            <v>0.37378903778976663</v>
          </cell>
        </row>
        <row r="12">
          <cell r="C12">
            <v>0.9704219177109468</v>
          </cell>
        </row>
        <row r="13">
          <cell r="C13">
            <v>0.37378903778976663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2.24</v>
          </cell>
        </row>
        <row r="4">
          <cell r="C4">
            <v>1.632411</v>
          </cell>
        </row>
        <row r="5">
          <cell r="C5">
            <v>3.6566006400000006</v>
          </cell>
        </row>
        <row r="7">
          <cell r="C7">
            <v>5.028</v>
          </cell>
        </row>
        <row r="8">
          <cell r="C8">
            <v>0</v>
          </cell>
        </row>
        <row r="9">
          <cell r="C9">
            <v>-1.371399359999999</v>
          </cell>
        </row>
        <row r="11">
          <cell r="C11">
            <v>3.0801066643143176</v>
          </cell>
        </row>
        <row r="12">
          <cell r="C12">
            <v>0.3750476179974631</v>
          </cell>
        </row>
        <row r="13">
          <cell r="C13">
            <v>3.0801066643143176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0.6893</v>
          </cell>
        </row>
        <row r="4">
          <cell r="C4">
            <v>5.423542</v>
          </cell>
        </row>
        <row r="5">
          <cell r="C5">
            <v>3.7384475006000004</v>
          </cell>
        </row>
        <row r="7">
          <cell r="C7">
            <v>5.1</v>
          </cell>
        </row>
        <row r="8">
          <cell r="C8">
            <v>0.176</v>
          </cell>
        </row>
        <row r="9">
          <cell r="C9">
            <v>-1.1855524993999993</v>
          </cell>
        </row>
        <row r="11">
          <cell r="C11">
            <v>0.907893771266084</v>
          </cell>
        </row>
        <row r="12">
          <cell r="C12">
            <v>0.3171242873438038</v>
          </cell>
        </row>
        <row r="13">
          <cell r="C13">
            <v>0.907893771266084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0.8699</v>
          </cell>
        </row>
        <row r="4">
          <cell r="C4">
            <v>4.022143</v>
          </cell>
        </row>
        <row r="5">
          <cell r="C5">
            <v>3.4988621956999997</v>
          </cell>
        </row>
        <row r="7">
          <cell r="C7">
            <v>4.412764</v>
          </cell>
        </row>
        <row r="8">
          <cell r="C8">
            <v>0</v>
          </cell>
        </row>
        <row r="9">
          <cell r="C9">
            <v>-0.9139018043000005</v>
          </cell>
        </row>
        <row r="11">
          <cell r="C11">
            <v>71.98716541734568</v>
          </cell>
        </row>
        <row r="12">
          <cell r="C12">
            <v>81.75338017857878</v>
          </cell>
        </row>
        <row r="13">
          <cell r="C13">
            <v>1.0971176310737834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4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0.3716</v>
          </cell>
        </row>
        <row r="4">
          <cell r="C4">
            <v>8.718193</v>
          </cell>
        </row>
        <row r="5">
          <cell r="C5">
            <v>3.2396805187999997</v>
          </cell>
        </row>
        <row r="7">
          <cell r="C7">
            <v>12.956</v>
          </cell>
        </row>
        <row r="8">
          <cell r="C8">
            <v>0</v>
          </cell>
        </row>
        <row r="9">
          <cell r="C9">
            <v>-9.7163194812</v>
          </cell>
        </row>
        <row r="11">
          <cell r="C11">
            <v>1.4860877707112012</v>
          </cell>
        </row>
        <row r="12">
          <cell r="C12">
            <v>2.9991597704822426</v>
          </cell>
        </row>
        <row r="13">
          <cell r="C13">
            <v>1.4860877707112012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1.615</v>
          </cell>
        </row>
        <row r="4">
          <cell r="C4">
            <v>1.80197</v>
          </cell>
        </row>
        <row r="5">
          <cell r="C5">
            <v>2.91018155</v>
          </cell>
        </row>
        <row r="7">
          <cell r="C7">
            <v>9.797</v>
          </cell>
        </row>
        <row r="8">
          <cell r="C8">
            <v>0</v>
          </cell>
        </row>
        <row r="9">
          <cell r="C9">
            <v>-6.886818450000001</v>
          </cell>
        </row>
        <row r="11">
          <cell r="C11">
            <v>-0.4480849007201601</v>
          </cell>
        </row>
        <row r="12">
          <cell r="C12">
            <v>-1.277451950910316</v>
          </cell>
        </row>
        <row r="13">
          <cell r="C13">
            <v>5.436827472155475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4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0.9222</v>
          </cell>
        </row>
        <row r="4">
          <cell r="C4">
            <v>3.516988</v>
          </cell>
        </row>
        <row r="5">
          <cell r="C5">
            <v>3.2433663336</v>
          </cell>
        </row>
        <row r="7">
          <cell r="C7">
            <v>1.022606</v>
          </cell>
        </row>
        <row r="8">
          <cell r="C8">
            <v>0.15003</v>
          </cell>
        </row>
        <row r="9">
          <cell r="C9">
            <v>2.3707903336000005</v>
          </cell>
        </row>
        <row r="11">
          <cell r="C11">
            <v>0.24810320649373838</v>
          </cell>
        </row>
        <row r="12">
          <cell r="C12">
            <v>-0.7309659439451981</v>
          </cell>
        </row>
        <row r="13">
          <cell r="C13">
            <v>0.24810320649373838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1.46</v>
          </cell>
        </row>
        <row r="4">
          <cell r="C4">
            <v>2.186115</v>
          </cell>
        </row>
        <row r="5">
          <cell r="C5">
            <v>3.1917279</v>
          </cell>
        </row>
        <row r="7">
          <cell r="C7">
            <v>10.947</v>
          </cell>
        </row>
        <row r="8">
          <cell r="C8">
            <v>0</v>
          </cell>
        </row>
        <row r="9">
          <cell r="C9">
            <v>-7.755272099999999</v>
          </cell>
        </row>
        <row r="11">
          <cell r="C11">
            <v>106.45311372492995</v>
          </cell>
        </row>
        <row r="12">
          <cell r="C12">
            <v>71.91309159241777</v>
          </cell>
        </row>
        <row r="13">
          <cell r="C13">
            <v>5.007513328438805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4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3.07</v>
          </cell>
        </row>
        <row r="4">
          <cell r="C4">
            <v>1.001394</v>
          </cell>
        </row>
        <row r="5">
          <cell r="C5">
            <v>3.0742795799999993</v>
          </cell>
        </row>
        <row r="7">
          <cell r="C7">
            <v>8.766</v>
          </cell>
        </row>
        <row r="8">
          <cell r="C8">
            <v>0</v>
          </cell>
        </row>
        <row r="9">
          <cell r="C9">
            <v>-5.691720420000001</v>
          </cell>
        </row>
        <row r="11">
          <cell r="C11">
            <v>8.75379720669387</v>
          </cell>
        </row>
        <row r="12">
          <cell r="C12">
            <v>1.8513997415940944</v>
          </cell>
        </row>
        <row r="13">
          <cell r="C13">
            <v>8.75379720669387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0.3795</v>
          </cell>
        </row>
        <row r="4">
          <cell r="C4">
            <v>7.577506</v>
          </cell>
        </row>
        <row r="5">
          <cell r="C5">
            <v>2.875663527</v>
          </cell>
        </row>
        <row r="7">
          <cell r="C7">
            <v>15.15</v>
          </cell>
        </row>
        <row r="8">
          <cell r="C8">
            <v>0</v>
          </cell>
        </row>
        <row r="9">
          <cell r="C9">
            <v>-12.274336473</v>
          </cell>
        </row>
        <row r="11">
          <cell r="C11">
            <v>1.9993385686530636</v>
          </cell>
        </row>
        <row r="12">
          <cell r="C12">
            <v>4.268349324514001</v>
          </cell>
        </row>
        <row r="13">
          <cell r="C13">
            <v>1.9993385686530636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4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0.6813</v>
          </cell>
        </row>
        <row r="4">
          <cell r="C4">
            <v>3.468224896</v>
          </cell>
        </row>
        <row r="5">
          <cell r="C5">
            <v>2.3629016216448</v>
          </cell>
        </row>
        <row r="7">
          <cell r="C7">
            <v>1.661</v>
          </cell>
        </row>
        <row r="8">
          <cell r="C8">
            <v>0</v>
          </cell>
        </row>
        <row r="9">
          <cell r="C9">
            <v>0.7019016216448</v>
          </cell>
        </row>
        <row r="11">
          <cell r="C11">
            <v>0.47891934629604827</v>
          </cell>
        </row>
        <row r="12">
          <cell r="C12">
            <v>-0.29705071731095223</v>
          </cell>
        </row>
        <row r="13">
          <cell r="C13">
            <v>0.47891934629604827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0.5073</v>
          </cell>
        </row>
        <row r="4">
          <cell r="C4">
            <v>5.0923261</v>
          </cell>
        </row>
        <row r="5">
          <cell r="C5">
            <v>2.58333703053</v>
          </cell>
        </row>
        <row r="7">
          <cell r="C7">
            <v>2.866</v>
          </cell>
        </row>
        <row r="8">
          <cell r="C8">
            <v>0</v>
          </cell>
        </row>
        <row r="9">
          <cell r="C9">
            <v>-0.28266296947</v>
          </cell>
        </row>
        <row r="11">
          <cell r="C11">
            <v>0.562807633234643</v>
          </cell>
        </row>
        <row r="12">
          <cell r="C12">
            <v>0.10941776707006312</v>
          </cell>
        </row>
        <row r="13">
          <cell r="C13">
            <v>0.562807633234643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1.89</v>
          </cell>
        </row>
        <row r="4">
          <cell r="C4">
            <v>1.3092125</v>
          </cell>
        </row>
        <row r="5">
          <cell r="C5">
            <v>2.4744116249999997</v>
          </cell>
        </row>
        <row r="7">
          <cell r="C7">
            <v>5.529</v>
          </cell>
        </row>
        <row r="8">
          <cell r="C8">
            <v>0</v>
          </cell>
        </row>
        <row r="9">
          <cell r="C9">
            <v>-3.0545883750000002</v>
          </cell>
        </row>
        <row r="11">
          <cell r="C11">
            <v>4.22314941233757</v>
          </cell>
        </row>
        <row r="12">
          <cell r="C12">
            <v>1.2344705885383966</v>
          </cell>
        </row>
        <row r="13">
          <cell r="C13">
            <v>4.22314941233757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1.08</v>
          </cell>
        </row>
        <row r="4">
          <cell r="C4">
            <v>1.983546</v>
          </cell>
        </row>
        <row r="5">
          <cell r="C5">
            <v>2.1422296800000002</v>
          </cell>
        </row>
        <row r="7">
          <cell r="C7">
            <v>2.529535</v>
          </cell>
        </row>
        <row r="8">
          <cell r="C8">
            <v>0.184285</v>
          </cell>
        </row>
        <row r="9">
          <cell r="C9">
            <v>-0.20302031999999984</v>
          </cell>
        </row>
        <row r="11">
          <cell r="C11">
            <v>1.1823522116452052</v>
          </cell>
        </row>
        <row r="12">
          <cell r="C12">
            <v>0.09477056633815284</v>
          </cell>
        </row>
        <row r="13">
          <cell r="C13">
            <v>1.1823522116452052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0.1713</v>
          </cell>
        </row>
        <row r="4">
          <cell r="C4">
            <v>14.850612</v>
          </cell>
        </row>
        <row r="5">
          <cell r="C5">
            <v>2.5439098356</v>
          </cell>
        </row>
        <row r="7">
          <cell r="C7">
            <v>1.67</v>
          </cell>
        </row>
        <row r="8">
          <cell r="C8">
            <v>0</v>
          </cell>
        </row>
        <row r="9">
          <cell r="C9">
            <v>0.8739098356000001</v>
          </cell>
        </row>
        <row r="11">
          <cell r="C11">
            <v>0.11245327801978801</v>
          </cell>
        </row>
        <row r="12">
          <cell r="C12">
            <v>-0.34353019252896666</v>
          </cell>
        </row>
        <row r="13">
          <cell r="C13">
            <v>0.11245327801978801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1.23</v>
          </cell>
        </row>
        <row r="4">
          <cell r="C4">
            <v>1.836324</v>
          </cell>
        </row>
        <row r="5">
          <cell r="C5">
            <v>2.25867852</v>
          </cell>
        </row>
        <row r="7">
          <cell r="C7">
            <v>0.741324</v>
          </cell>
        </row>
        <row r="8">
          <cell r="C8">
            <v>6.561361</v>
          </cell>
        </row>
        <row r="9">
          <cell r="C9">
            <v>8.07871552</v>
          </cell>
        </row>
        <row r="11">
          <cell r="C11">
            <v>49.273909756782</v>
          </cell>
        </row>
        <row r="12">
          <cell r="C12">
            <v>39.0600892331561</v>
          </cell>
        </row>
        <row r="13">
          <cell r="C13">
            <v>-3.169395487942215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5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0.77</v>
          </cell>
        </row>
        <row r="4">
          <cell r="C4">
            <v>2.584184</v>
          </cell>
        </row>
        <row r="5">
          <cell r="C5">
            <v>1.9898216800000001</v>
          </cell>
        </row>
        <row r="7">
          <cell r="C7">
            <v>4.071</v>
          </cell>
        </row>
        <row r="8">
          <cell r="C8">
            <v>0.6</v>
          </cell>
        </row>
        <row r="9">
          <cell r="C9">
            <v>-1.4811783199999993</v>
          </cell>
        </row>
        <row r="11">
          <cell r="C11">
            <v>1.3431706101423118</v>
          </cell>
        </row>
        <row r="12">
          <cell r="C12">
            <v>0.744377415769236</v>
          </cell>
        </row>
        <row r="13">
          <cell r="C13">
            <v>1.3431706101423118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2.8</v>
          </cell>
        </row>
        <row r="4">
          <cell r="C4">
            <v>0.770081</v>
          </cell>
        </row>
        <row r="5">
          <cell r="C5">
            <v>2.1562267999999998</v>
          </cell>
        </row>
        <row r="7">
          <cell r="C7">
            <v>1.521874</v>
          </cell>
        </row>
        <row r="8">
          <cell r="C8" t="str">
            <v>empty</v>
          </cell>
        </row>
        <row r="9">
          <cell r="C9">
            <v>0.6343527999999998</v>
          </cell>
        </row>
        <row r="11">
          <cell r="C11">
            <v>1.9762518488314864</v>
          </cell>
        </row>
        <row r="12">
          <cell r="C12">
            <v>-0.29419576827446914</v>
          </cell>
        </row>
        <row r="13">
          <cell r="C13">
            <v>1.9762518488314864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0.321</v>
          </cell>
        </row>
        <row r="4">
          <cell r="C4">
            <v>6.331116</v>
          </cell>
        </row>
        <row r="5">
          <cell r="C5">
            <v>2.032288236</v>
          </cell>
        </row>
        <row r="7">
          <cell r="C7">
            <v>0.832006</v>
          </cell>
        </row>
        <row r="8">
          <cell r="C8">
            <v>0.20065</v>
          </cell>
        </row>
        <row r="9">
          <cell r="C9">
            <v>1.4009322359999998</v>
          </cell>
        </row>
        <row r="11">
          <cell r="C11">
            <v>0.09972270291683173</v>
          </cell>
        </row>
        <row r="12">
          <cell r="C12">
            <v>-0.6893373740908668</v>
          </cell>
        </row>
        <row r="13">
          <cell r="C13">
            <v>0.09972270291683173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0.434</v>
          </cell>
        </row>
        <row r="4">
          <cell r="C4">
            <v>4.511957</v>
          </cell>
        </row>
        <row r="5">
          <cell r="C5">
            <v>1.958189338</v>
          </cell>
        </row>
        <row r="7">
          <cell r="C7">
            <v>3.864184</v>
          </cell>
        </row>
        <row r="8">
          <cell r="C8">
            <v>0</v>
          </cell>
        </row>
        <row r="9">
          <cell r="C9">
            <v>-1.905994662</v>
          </cell>
        </row>
        <row r="11">
          <cell r="C11">
            <v>0.856431920782933</v>
          </cell>
        </row>
        <row r="12">
          <cell r="C12">
            <v>0.9733454395920114</v>
          </cell>
        </row>
        <row r="13">
          <cell r="C13">
            <v>0.856431920782933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5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3.75</v>
          </cell>
        </row>
        <row r="4">
          <cell r="C4">
            <v>0.5690594285714285</v>
          </cell>
        </row>
        <row r="5">
          <cell r="C5">
            <v>2.133972857142857</v>
          </cell>
        </row>
        <row r="7">
          <cell r="C7">
            <v>11.482792</v>
          </cell>
        </row>
        <row r="8">
          <cell r="C8">
            <v>0</v>
          </cell>
        </row>
        <row r="9">
          <cell r="C9">
            <v>-9.348819142857142</v>
          </cell>
        </row>
        <row r="11">
          <cell r="C11">
            <v>246.19375825235232</v>
          </cell>
        </row>
        <row r="12">
          <cell r="C12">
            <v>64.65166886729395</v>
          </cell>
        </row>
        <row r="13">
          <cell r="C13">
            <v>20.17854625276396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6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0.4064</v>
          </cell>
        </row>
        <row r="4">
          <cell r="C4">
            <v>3.949107</v>
          </cell>
        </row>
        <row r="5">
          <cell r="C5">
            <v>1.6049170848</v>
          </cell>
        </row>
        <row r="7">
          <cell r="C7">
            <v>5.942249</v>
          </cell>
        </row>
        <row r="8">
          <cell r="C8">
            <v>0.150394</v>
          </cell>
        </row>
        <row r="9">
          <cell r="C9">
            <v>-4.1869379152</v>
          </cell>
        </row>
        <row r="11">
          <cell r="C11">
            <v>1.466623973470458</v>
          </cell>
        </row>
        <row r="12">
          <cell r="C12">
            <v>2.6088188323584105</v>
          </cell>
        </row>
        <row r="13">
          <cell r="C13">
            <v>1.466623973470458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6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1.2</v>
          </cell>
        </row>
        <row r="4">
          <cell r="C4">
            <v>1.58825</v>
          </cell>
        </row>
        <row r="5">
          <cell r="C5">
            <v>1.9059</v>
          </cell>
        </row>
        <row r="7">
          <cell r="C7">
            <v>5.227242</v>
          </cell>
        </row>
        <row r="8">
          <cell r="C8">
            <v>0</v>
          </cell>
        </row>
        <row r="9">
          <cell r="C9">
            <v>-3.3213420000000005</v>
          </cell>
        </row>
        <row r="11">
          <cell r="C11">
            <v>3.291195970407682</v>
          </cell>
        </row>
        <row r="12">
          <cell r="C12">
            <v>1.7426633086730683</v>
          </cell>
        </row>
        <row r="13">
          <cell r="C13">
            <v>3.291195970407682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6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0.2271</v>
          </cell>
        </row>
        <row r="4">
          <cell r="C4">
            <v>7.369243</v>
          </cell>
        </row>
        <row r="5">
          <cell r="C5">
            <v>1.6735550853</v>
          </cell>
        </row>
        <row r="7">
          <cell r="C7">
            <v>3.143422</v>
          </cell>
        </row>
        <row r="8">
          <cell r="C8">
            <v>0</v>
          </cell>
        </row>
        <row r="9">
          <cell r="C9">
            <v>-1.4698669147</v>
          </cell>
        </row>
        <row r="11">
          <cell r="C11">
            <v>0.4265596886952975</v>
          </cell>
        </row>
        <row r="12">
          <cell r="C12">
            <v>0.8782901307586855</v>
          </cell>
        </row>
        <row r="13">
          <cell r="C13">
            <v>0.4265596886952975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6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2.13</v>
          </cell>
        </row>
        <row r="4">
          <cell r="C4">
            <v>0.819709</v>
          </cell>
        </row>
        <row r="5">
          <cell r="C5">
            <v>1.74598017</v>
          </cell>
        </row>
        <row r="7">
          <cell r="C7">
            <v>15.154203</v>
          </cell>
        </row>
        <row r="8">
          <cell r="C8">
            <v>0</v>
          </cell>
        </row>
        <row r="9">
          <cell r="C9">
            <v>-13.408222830000001</v>
          </cell>
        </row>
        <row r="11">
          <cell r="C11">
            <v>200.65320176304328</v>
          </cell>
        </row>
        <row r="12">
          <cell r="C12">
            <v>93.20338110941</v>
          </cell>
        </row>
        <row r="13">
          <cell r="C13">
            <v>18.487296101421357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6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0.5775</v>
          </cell>
        </row>
        <row r="4">
          <cell r="C4">
            <v>2.369688</v>
          </cell>
        </row>
        <row r="5">
          <cell r="C5">
            <v>1.36849482</v>
          </cell>
        </row>
        <row r="7">
          <cell r="C7">
            <v>4.5847739999999995</v>
          </cell>
        </row>
        <row r="8">
          <cell r="C8">
            <v>0</v>
          </cell>
        </row>
        <row r="9">
          <cell r="C9">
            <v>-3.2162791799999995</v>
          </cell>
        </row>
        <row r="11">
          <cell r="C11">
            <v>37.06202489542098</v>
          </cell>
        </row>
        <row r="12">
          <cell r="C12">
            <v>63.17666648557746</v>
          </cell>
        </row>
        <row r="13">
          <cell r="C13">
            <v>1.934758499853145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6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0.43</v>
          </cell>
        </row>
        <row r="4">
          <cell r="C4">
            <v>2.756057</v>
          </cell>
        </row>
        <row r="5">
          <cell r="C5">
            <v>1.1851045100000002</v>
          </cell>
        </row>
        <row r="7">
          <cell r="C7">
            <v>4.03178</v>
          </cell>
        </row>
        <row r="8">
          <cell r="C8">
            <v>0</v>
          </cell>
        </row>
        <row r="9">
          <cell r="C9">
            <v>-2.84667549</v>
          </cell>
        </row>
        <row r="11">
          <cell r="C11">
            <v>1.4628797590180465</v>
          </cell>
        </row>
        <row r="12">
          <cell r="C12">
            <v>2.402045951204759</v>
          </cell>
        </row>
        <row r="13">
          <cell r="C13">
            <v>1.4628797590180465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66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1.085</v>
          </cell>
        </row>
        <row r="4">
          <cell r="C4">
            <v>0.9294559004999999</v>
          </cell>
        </row>
        <row r="5">
          <cell r="C5">
            <v>1.0084596520425</v>
          </cell>
        </row>
        <row r="7">
          <cell r="C7">
            <v>8.717</v>
          </cell>
        </row>
        <row r="8">
          <cell r="C8">
            <v>0</v>
          </cell>
        </row>
        <row r="9">
          <cell r="C9">
            <v>-7.7085403479575</v>
          </cell>
        </row>
        <row r="11">
          <cell r="C11">
            <v>9.37860526283248</v>
          </cell>
        </row>
        <row r="12">
          <cell r="C12">
            <v>7.643875818278783</v>
          </cell>
        </row>
        <row r="13">
          <cell r="C13">
            <v>9.37860526283248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6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0.3855</v>
          </cell>
        </row>
        <row r="4">
          <cell r="C4">
            <v>2.25817808922</v>
          </cell>
        </row>
        <row r="5">
          <cell r="C5">
            <v>0.8705276533943099</v>
          </cell>
        </row>
        <row r="7">
          <cell r="C7">
            <v>11.380335782581447</v>
          </cell>
        </row>
        <row r="8">
          <cell r="C8">
            <v>0.08134526397204923</v>
          </cell>
        </row>
        <row r="9">
          <cell r="C9">
            <v>-10.428462865215089</v>
          </cell>
        </row>
        <row r="11">
          <cell r="C11">
            <v>5.003586994554622</v>
          </cell>
        </row>
        <row r="12">
          <cell r="C12">
            <v>11.979473397028851</v>
          </cell>
        </row>
        <row r="13">
          <cell r="C13">
            <v>5.003586994554622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68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6.12</v>
          </cell>
        </row>
        <row r="4">
          <cell r="C4">
            <v>0.158076</v>
          </cell>
        </row>
        <row r="5">
          <cell r="C5">
            <v>0.96742512</v>
          </cell>
        </row>
        <row r="7">
          <cell r="C7">
            <v>10.347204</v>
          </cell>
        </row>
        <row r="8">
          <cell r="C8">
            <v>0</v>
          </cell>
        </row>
        <row r="9">
          <cell r="C9">
            <v>-9.37977888</v>
          </cell>
        </row>
        <row r="11">
          <cell r="C11">
            <v>420.85688743512225</v>
          </cell>
        </row>
        <row r="12">
          <cell r="C12">
            <v>67.76746526717683</v>
          </cell>
        </row>
        <row r="13">
          <cell r="C13">
            <v>65.45714719502011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69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0.2418</v>
          </cell>
        </row>
        <row r="4">
          <cell r="C4">
            <v>3.877337</v>
          </cell>
        </row>
        <row r="5">
          <cell r="C5">
            <v>0.9375400865999999</v>
          </cell>
        </row>
        <row r="7">
          <cell r="C7">
            <v>13.748301</v>
          </cell>
        </row>
        <row r="8">
          <cell r="C8">
            <v>0</v>
          </cell>
        </row>
        <row r="9">
          <cell r="C9">
            <v>-12.8107609134</v>
          </cell>
        </row>
        <row r="11">
          <cell r="C11">
            <v>3.545810178480746</v>
          </cell>
        </row>
        <row r="12">
          <cell r="C12">
            <v>13.664227371715246</v>
          </cell>
        </row>
        <row r="13">
          <cell r="C13">
            <v>3.545810178480746</v>
          </cell>
        </row>
        <row r="14">
          <cell r="C14" t="str">
            <v>small 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7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0.3996</v>
          </cell>
        </row>
        <row r="4">
          <cell r="C4">
            <v>2.090077</v>
          </cell>
        </row>
        <row r="5">
          <cell r="C5">
            <v>0.8351947692</v>
          </cell>
        </row>
        <row r="7">
          <cell r="C7">
            <v>5.1</v>
          </cell>
        </row>
        <row r="8">
          <cell r="C8">
            <v>0</v>
          </cell>
        </row>
        <row r="9">
          <cell r="C9">
            <v>-4.2648052307999995</v>
          </cell>
        </row>
        <row r="11">
          <cell r="C11">
            <v>120.904012524773</v>
          </cell>
        </row>
        <row r="12">
          <cell r="C12">
            <v>301.5625939058383</v>
          </cell>
        </row>
        <row r="13">
          <cell r="C13">
            <v>2.440101489083895</v>
          </cell>
        </row>
        <row r="14">
          <cell r="C14" t="str">
            <v>Base</v>
          </cell>
        </row>
        <row r="15">
          <cell r="C15" t="str">
            <v>Pipeline rNPV</v>
          </cell>
        </row>
      </sheetData>
      <sheetData sheetId="1"/>
      <sheetData sheetId="2"/>
    </sheetDataSet>
  </externalBook>
</externalLink>
</file>

<file path=xl/externalLinks/externalLink67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0.153</v>
          </cell>
        </row>
        <row r="4">
          <cell r="C4">
            <v>5.560256</v>
          </cell>
        </row>
        <row r="5">
          <cell r="C5">
            <v>0.8507191679999999</v>
          </cell>
        </row>
        <row r="7">
          <cell r="C7">
            <v>2.229</v>
          </cell>
        </row>
        <row r="8">
          <cell r="C8">
            <v>0</v>
          </cell>
        </row>
        <row r="9">
          <cell r="C9">
            <v>-1.3782808320000002</v>
          </cell>
        </row>
        <row r="11">
          <cell r="C11">
            <v>0.40088082275348474</v>
          </cell>
        </row>
        <row r="12">
          <cell r="C12">
            <v>1.6201360964280047</v>
          </cell>
        </row>
        <row r="13">
          <cell r="C13">
            <v>0.40088082275348474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7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1.135</v>
          </cell>
        </row>
        <row r="4">
          <cell r="C4">
            <v>0.655185</v>
          </cell>
        </row>
        <row r="5">
          <cell r="C5">
            <v>0.743634975</v>
          </cell>
        </row>
        <row r="7">
          <cell r="C7">
            <v>8.289108</v>
          </cell>
        </row>
        <row r="8">
          <cell r="C8">
            <v>0</v>
          </cell>
        </row>
        <row r="9">
          <cell r="C9">
            <v>-7.545473025000001</v>
          </cell>
        </row>
        <row r="11">
          <cell r="C11">
            <v>12.651553378053528</v>
          </cell>
        </row>
        <row r="12">
          <cell r="C12">
            <v>10.146743064364342</v>
          </cell>
        </row>
        <row r="13">
          <cell r="C13">
            <v>12.651553378053528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7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0.7246</v>
          </cell>
        </row>
        <row r="4">
          <cell r="C4">
            <v>0.830613</v>
          </cell>
        </row>
        <row r="5">
          <cell r="C5">
            <v>0.6018621798</v>
          </cell>
        </row>
        <row r="7">
          <cell r="C7">
            <v>3.125</v>
          </cell>
        </row>
        <row r="8">
          <cell r="C8">
            <v>0</v>
          </cell>
        </row>
        <row r="9">
          <cell r="C9">
            <v>-2.5231378202</v>
          </cell>
        </row>
        <row r="11">
          <cell r="C11">
            <v>3.7622815920290194</v>
          </cell>
        </row>
        <row r="12">
          <cell r="C12">
            <v>4.192218592366849</v>
          </cell>
        </row>
        <row r="13">
          <cell r="C13">
            <v>3.7622815920290194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74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1.33</v>
          </cell>
        </row>
        <row r="4">
          <cell r="C4">
            <v>0.365444</v>
          </cell>
        </row>
        <row r="5">
          <cell r="C5">
            <v>0.48604052000000003</v>
          </cell>
        </row>
        <row r="7">
          <cell r="C7">
            <v>1.545</v>
          </cell>
        </row>
        <row r="8">
          <cell r="C8">
            <v>0</v>
          </cell>
        </row>
        <row r="9">
          <cell r="C9">
            <v>-1.05895948</v>
          </cell>
        </row>
        <row r="11">
          <cell r="C11">
            <v>4.227733934611049</v>
          </cell>
        </row>
        <row r="12">
          <cell r="C12">
            <v>2.1787473192564275</v>
          </cell>
        </row>
        <row r="13">
          <cell r="C13">
            <v>4.227733934611049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externalLinks/externalLink67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Yearly Model"/>
      <sheetName val="Quarterly Model"/>
    </sheetNames>
    <sheetDataSet>
      <sheetData sheetId="0">
        <row r="3">
          <cell r="C3">
            <v>0.0653</v>
          </cell>
        </row>
        <row r="4">
          <cell r="C4">
            <v>0.958077</v>
          </cell>
        </row>
        <row r="5">
          <cell r="C5">
            <v>0.0625624281</v>
          </cell>
        </row>
        <row r="7">
          <cell r="C7">
            <v>28.175865</v>
          </cell>
        </row>
        <row r="8">
          <cell r="C8">
            <v>0.999565</v>
          </cell>
        </row>
        <row r="9">
          <cell r="C9">
            <v>-27.1137375719</v>
          </cell>
        </row>
        <row r="11">
          <cell r="C11">
            <v>28.36546540622518</v>
          </cell>
        </row>
        <row r="12">
          <cell r="C12">
            <v>433.38691280589865</v>
          </cell>
        </row>
        <row r="13">
          <cell r="C13">
            <v>28.36546540622518</v>
          </cell>
        </row>
        <row r="14">
          <cell r="C14" t="str">
            <v>pre-revenue</v>
          </cell>
        </row>
        <row r="15">
          <cell r="C15" t="str">
            <v>Net cash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Pharma/LLY.xlsx" TargetMode="External" Id="rId1" /><Relationship Type="http://schemas.openxmlformats.org/officeDocument/2006/relationships/hyperlink" Target="Pharma/JNJ.xlsx" TargetMode="External" Id="rId2" /><Relationship Type="http://schemas.openxmlformats.org/officeDocument/2006/relationships/hyperlink" Target="Pharma/ABBV.xlsx" TargetMode="External" Id="rId3" /><Relationship Type="http://schemas.openxmlformats.org/officeDocument/2006/relationships/hyperlink" Target="Pharma/MRK.xlsx" TargetMode="External" Id="rId4" /><Relationship Type="http://schemas.openxmlformats.org/officeDocument/2006/relationships/hyperlink" Target="Pharma/NVS.xlsx" TargetMode="External" Id="rId5" /><Relationship Type="http://schemas.openxmlformats.org/officeDocument/2006/relationships/hyperlink" Target="Pharma/AZN.xlsx" TargetMode="External" Id="rId6" /><Relationship Type="http://schemas.openxmlformats.org/officeDocument/2006/relationships/hyperlink" Target="Pharma/AMGN.xlsx" TargetMode="External" Id="rId7" /><Relationship Type="http://schemas.openxmlformats.org/officeDocument/2006/relationships/hyperlink" Target="Pharma/GILD.xlsx" TargetMode="External" Id="rId8" /><Relationship Type="http://schemas.openxmlformats.org/officeDocument/2006/relationships/hyperlink" Target="Pharma/NVO.xlsx" TargetMode="External" Id="rId9" /><Relationship Type="http://schemas.openxmlformats.org/officeDocument/2006/relationships/hyperlink" Target="Pharma/PFE.xlsx" TargetMode="External" Id="rId10" /><Relationship Type="http://schemas.openxmlformats.org/officeDocument/2006/relationships/hyperlink" Target="Pharma/VRTX.xlsx" TargetMode="External" Id="rId11" /><Relationship Type="http://schemas.openxmlformats.org/officeDocument/2006/relationships/hyperlink" Target="Pharma/BMY.xlsx" TargetMode="External" Id="rId12" /><Relationship Type="http://schemas.openxmlformats.org/officeDocument/2006/relationships/hyperlink" Target="Pharma/GSK.xlsx" TargetMode="External" Id="rId13" /><Relationship Type="http://schemas.openxmlformats.org/officeDocument/2006/relationships/hyperlink" Target="Pharma/SNY.xlsx" TargetMode="External" Id="rId14" /><Relationship Type="http://schemas.openxmlformats.org/officeDocument/2006/relationships/hyperlink" Target="Pharma/MRNA.xlsx" TargetMode="External" Id="rId15" /><Relationship Type="http://schemas.openxmlformats.org/officeDocument/2006/relationships/hyperlink" Target="Pharma/REGN.xlsx" TargetMode="External" Id="rId16" /><Relationship Type="http://schemas.openxmlformats.org/officeDocument/2006/relationships/hyperlink" Target="Pharma/TAK.xlsx" TargetMode="External" Id="rId17" /><Relationship Type="http://schemas.openxmlformats.org/officeDocument/2006/relationships/hyperlink" Target="Pharma/NTRA.xlsx" TargetMode="External" Id="rId18" /><Relationship Type="http://schemas.openxmlformats.org/officeDocument/2006/relationships/hyperlink" Target="Pharma/ARGX.xlsx" TargetMode="External" Id="rId19" /><Relationship Type="http://schemas.openxmlformats.org/officeDocument/2006/relationships/hyperlink" Target="Pharma/TEVA.xlsx" TargetMode="External" Id="rId20" /><Relationship Type="http://schemas.openxmlformats.org/officeDocument/2006/relationships/hyperlink" Target="Pharma/HLN.xlsx" TargetMode="External" Id="rId21" /><Relationship Type="http://schemas.openxmlformats.org/officeDocument/2006/relationships/hyperlink" Target="Pharma/ONC.xlsx" TargetMode="External" Id="rId22" /><Relationship Type="http://schemas.openxmlformats.org/officeDocument/2006/relationships/hyperlink" Target="Pharma/RVMD.xlsx" TargetMode="External" Id="rId23" /><Relationship Type="http://schemas.openxmlformats.org/officeDocument/2006/relationships/hyperlink" Target="Pharma/RPRX.xlsx" TargetMode="External" Id="rId24" /><Relationship Type="http://schemas.openxmlformats.org/officeDocument/2006/relationships/hyperlink" Target="Pharma/BIIB.xlsx" TargetMode="External" Id="rId25" /><Relationship Type="http://schemas.openxmlformats.org/officeDocument/2006/relationships/hyperlink" Target="Pharma/ZTS.xlsx" TargetMode="External" Id="rId26" /><Relationship Type="http://schemas.openxmlformats.org/officeDocument/2006/relationships/hyperlink" Target="Pharma/ALNY.xlsx" TargetMode="External" Id="rId27" /><Relationship Type="http://schemas.openxmlformats.org/officeDocument/2006/relationships/hyperlink" Target="Pharma/ROIV.xlsx" TargetMode="External" Id="rId28" /><Relationship Type="http://schemas.openxmlformats.org/officeDocument/2006/relationships/hyperlink" Target="Pharma/GMAB.xlsx" TargetMode="External" Id="rId29" /><Relationship Type="http://schemas.openxmlformats.org/officeDocument/2006/relationships/hyperlink" Target="Pharma/UTHR.xlsx" TargetMode="External" Id="rId30" /><Relationship Type="http://schemas.openxmlformats.org/officeDocument/2006/relationships/hyperlink" Target="Pharma/INCY.xlsx" TargetMode="External" Id="rId31" /><Relationship Type="http://schemas.openxmlformats.org/officeDocument/2006/relationships/hyperlink" Target="Pharma/BNTX.xlsx" TargetMode="External" Id="rId32" /><Relationship Type="http://schemas.openxmlformats.org/officeDocument/2006/relationships/hyperlink" Target="Pharma/VTRS.xlsx" TargetMode="External" Id="rId33" /><Relationship Type="http://schemas.openxmlformats.org/officeDocument/2006/relationships/hyperlink" Target="Pharma/INSM.xlsx" TargetMode="External" Id="rId34" /><Relationship Type="http://schemas.openxmlformats.org/officeDocument/2006/relationships/hyperlink" Target="Pharma/EXEL.xlsx" TargetMode="External" Id="rId35" /><Relationship Type="http://schemas.openxmlformats.org/officeDocument/2006/relationships/hyperlink" Target="Pharma/ASND.xlsx" TargetMode="External" Id="rId36" /><Relationship Type="http://schemas.openxmlformats.org/officeDocument/2006/relationships/hyperlink" Target="Pharma/HALO.xlsx" TargetMode="External" Id="rId37" /><Relationship Type="http://schemas.openxmlformats.org/officeDocument/2006/relationships/hyperlink" Target="Pharma/NBIX.xlsx" TargetMode="External" Id="rId38" /><Relationship Type="http://schemas.openxmlformats.org/officeDocument/2006/relationships/hyperlink" Target="Pharma/JAZZ.xlsx" TargetMode="External" Id="rId39" /><Relationship Type="http://schemas.openxmlformats.org/officeDocument/2006/relationships/hyperlink" Target="Pharma/SMMT.xlsx" TargetMode="External" Id="rId40" /><Relationship Type="http://schemas.openxmlformats.org/officeDocument/2006/relationships/hyperlink" Target="Pharma/BBIO.xlsx" TargetMode="External" Id="rId41" /><Relationship Type="http://schemas.openxmlformats.org/officeDocument/2006/relationships/hyperlink" Target="Pharma/KNSA.xlsx" TargetMode="External" Id="rId42" /><Relationship Type="http://schemas.openxmlformats.org/officeDocument/2006/relationships/hyperlink" Target="Pharma/CORT.xlsx" TargetMode="External" Id="rId43" /><Relationship Type="http://schemas.openxmlformats.org/officeDocument/2006/relationships/hyperlink" Target="Pharma/ELAN.xlsx" TargetMode="External" Id="rId44" /><Relationship Type="http://schemas.openxmlformats.org/officeDocument/2006/relationships/hyperlink" Target="Pharma/RDY.xlsx" TargetMode="External" Id="rId45" /><Relationship Type="http://schemas.openxmlformats.org/officeDocument/2006/relationships/hyperlink" Target="Pharma/BMRN.xlsx" TargetMode="External" Id="rId46" /><Relationship Type="http://schemas.openxmlformats.org/officeDocument/2006/relationships/hyperlink" Target="Pharma/MDGL.xlsx" TargetMode="External" Id="rId47" /><Relationship Type="http://schemas.openxmlformats.org/officeDocument/2006/relationships/hyperlink" Target="Pharma/IBRX.xlsx" TargetMode="External" Id="rId48" /><Relationship Type="http://schemas.openxmlformats.org/officeDocument/2006/relationships/hyperlink" Target="Pharma/PCVX.xlsx" TargetMode="External" Id="rId49" /><Relationship Type="http://schemas.openxmlformats.org/officeDocument/2006/relationships/hyperlink" Target="Pharma/KRYS.xlsx" TargetMode="External" Id="rId50" /><Relationship Type="http://schemas.openxmlformats.org/officeDocument/2006/relationships/hyperlink" Target="Pharma/KYMR.xlsx" TargetMode="External" Id="rId51" /><Relationship Type="http://schemas.openxmlformats.org/officeDocument/2006/relationships/hyperlink" Target="Pharma/CAI.xlsx" TargetMode="External" Id="rId52" /><Relationship Type="http://schemas.openxmlformats.org/officeDocument/2006/relationships/hyperlink" Target="Pharma/CYTK.xlsx" TargetMode="External" Id="rId53" /><Relationship Type="http://schemas.openxmlformats.org/officeDocument/2006/relationships/hyperlink" Target="Pharma/AXSM.xlsx" TargetMode="External" Id="rId54" /><Relationship Type="http://schemas.openxmlformats.org/officeDocument/2006/relationships/hyperlink" Target="Pharma/PTGX.xlsx" TargetMode="External" Id="rId55" /><Relationship Type="http://schemas.openxmlformats.org/officeDocument/2006/relationships/hyperlink" Target="Pharma/TWST.xlsx" TargetMode="External" Id="rId56" /><Relationship Type="http://schemas.openxmlformats.org/officeDocument/2006/relationships/hyperlink" Target="Pharma/TGTX.xlsx" TargetMode="External" Id="rId57" /><Relationship Type="http://schemas.openxmlformats.org/officeDocument/2006/relationships/hyperlink" Target="Pharma/ARWR.xlsx" TargetMode="External" Id="rId58" /><Relationship Type="http://schemas.openxmlformats.org/officeDocument/2006/relationships/hyperlink" Target="Pharma/IONS.xlsx" TargetMode="External" Id="rId59" /><Relationship Type="http://schemas.openxmlformats.org/officeDocument/2006/relationships/hyperlink" Target="Pharma/PRAX.xlsx" TargetMode="External" Id="rId60" /><Relationship Type="http://schemas.openxmlformats.org/officeDocument/2006/relationships/hyperlink" Target="Pharma/SYRE.xlsx" TargetMode="External" Id="rId61" /><Relationship Type="http://schemas.openxmlformats.org/officeDocument/2006/relationships/hyperlink" Target="Pharma/ABVX.xlsx" TargetMode="External" Id="rId62" /><Relationship Type="http://schemas.openxmlformats.org/officeDocument/2006/relationships/hyperlink" Target="Pharma/ALKS.xlsx" TargetMode="External" Id="rId63" /><Relationship Type="http://schemas.openxmlformats.org/officeDocument/2006/relationships/hyperlink" Target="Pharma/IOVA.xlsx" TargetMode="External" Id="rId64" /><Relationship Type="http://schemas.openxmlformats.org/officeDocument/2006/relationships/hyperlink" Target="Pharma/AMRX.xlsx" TargetMode="External" Id="rId65" /><Relationship Type="http://schemas.openxmlformats.org/officeDocument/2006/relationships/hyperlink" Target="Pharma/RYTM.xlsx" TargetMode="External" Id="rId66" /><Relationship Type="http://schemas.openxmlformats.org/officeDocument/2006/relationships/hyperlink" Target="Pharma/LGND.xlsx" TargetMode="External" Id="rId67" /><Relationship Type="http://schemas.openxmlformats.org/officeDocument/2006/relationships/hyperlink" Target="Pharma/BLTE.xlsx" TargetMode="External" Id="rId68" /><Relationship Type="http://schemas.openxmlformats.org/officeDocument/2006/relationships/hyperlink" Target="Pharma/COGT.xlsx" TargetMode="External" Id="rId69" /><Relationship Type="http://schemas.openxmlformats.org/officeDocument/2006/relationships/hyperlink" Target="Pharma/IMVT.xlsx" TargetMode="External" Id="rId70" /><Relationship Type="http://schemas.openxmlformats.org/officeDocument/2006/relationships/hyperlink" Target="Pharma/KOD.xlsx" TargetMode="External" Id="rId71" /><Relationship Type="http://schemas.openxmlformats.org/officeDocument/2006/relationships/hyperlink" Target="Pharma/CGON.xlsx" TargetMode="External" Id="rId72" /><Relationship Type="http://schemas.openxmlformats.org/officeDocument/2006/relationships/hyperlink" Target="Pharma/GRAL.xlsx" TargetMode="External" Id="rId73" /><Relationship Type="http://schemas.openxmlformats.org/officeDocument/2006/relationships/hyperlink" Target="Pharma/BLRX.xlsx" TargetMode="External" Id="rId74" /><Relationship Type="http://schemas.openxmlformats.org/officeDocument/2006/relationships/hyperlink" Target="Pharma/MIRM.xlsx" TargetMode="External" Id="rId75" /><Relationship Type="http://schemas.openxmlformats.org/officeDocument/2006/relationships/hyperlink" Target="Pharma/PTCT.xlsx" TargetMode="External" Id="rId76" /><Relationship Type="http://schemas.openxmlformats.org/officeDocument/2006/relationships/hyperlink" Target="Pharma/SRRK.xlsx" TargetMode="External" Id="rId77" /><Relationship Type="http://schemas.openxmlformats.org/officeDocument/2006/relationships/hyperlink" Target="Pharma/ORKA.xlsx" TargetMode="External" Id="rId78" /><Relationship Type="http://schemas.openxmlformats.org/officeDocument/2006/relationships/hyperlink" Target="Pharma/CRSP.xlsx" TargetMode="External" Id="rId79" /><Relationship Type="http://schemas.openxmlformats.org/officeDocument/2006/relationships/hyperlink" Target="Pharma/RGC.xlsx" TargetMode="External" Id="rId80" /><Relationship Type="http://schemas.openxmlformats.org/officeDocument/2006/relationships/hyperlink" Target="Pharma/ERAS.xlsx" TargetMode="External" Id="rId81" /><Relationship Type="http://schemas.openxmlformats.org/officeDocument/2006/relationships/hyperlink" Target="Pharma/TVTX.xlsx" TargetMode="External" Id="rId82" /><Relationship Type="http://schemas.openxmlformats.org/officeDocument/2006/relationships/hyperlink" Target="Pharma/MANE.xlsx" TargetMode="External" Id="rId83" /><Relationship Type="http://schemas.openxmlformats.org/officeDocument/2006/relationships/hyperlink" Target="Pharma/DFTX.xlsx" TargetMode="External" Id="rId84" /><Relationship Type="http://schemas.openxmlformats.org/officeDocument/2006/relationships/hyperlink" Target="Pharma/GOSS.xlsx" TargetMode="External" Id="rId85" /><Relationship Type="http://schemas.openxmlformats.org/officeDocument/2006/relationships/hyperlink" Target="Pharma/EWTX.xlsx" TargetMode="External" Id="rId86" /><Relationship Type="http://schemas.openxmlformats.org/officeDocument/2006/relationships/hyperlink" Target="Pharma/DNTH.xlsx" TargetMode="External" Id="rId87" /><Relationship Type="http://schemas.openxmlformats.org/officeDocument/2006/relationships/hyperlink" Target="Pharma/INDV.xlsx" TargetMode="External" Id="rId88" /><Relationship Type="http://schemas.openxmlformats.org/officeDocument/2006/relationships/hyperlink" Target="Pharma/TNGX.xlsx" TargetMode="External" Id="rId89" /><Relationship Type="http://schemas.openxmlformats.org/officeDocument/2006/relationships/hyperlink" Target="Pharma/ARQT.xlsx" TargetMode="External" Id="rId90" /><Relationship Type="http://schemas.openxmlformats.org/officeDocument/2006/relationships/hyperlink" Target="Pharma/TLX.xlsx" TargetMode="External" Id="rId91" /><Relationship Type="http://schemas.openxmlformats.org/officeDocument/2006/relationships/hyperlink" Target="Pharma/OGN.xlsx" TargetMode="External" Id="rId92" /><Relationship Type="http://schemas.openxmlformats.org/officeDocument/2006/relationships/hyperlink" Target="Pharma/RLAY.xlsx" TargetMode="External" Id="rId93" /><Relationship Type="http://schemas.openxmlformats.org/officeDocument/2006/relationships/hyperlink" Target="Pharma/VCYT.xlsx" TargetMode="External" Id="rId94" /><Relationship Type="http://schemas.openxmlformats.org/officeDocument/2006/relationships/hyperlink" Target="Pharma/LEGN.xlsx" TargetMode="External" Id="rId95" /><Relationship Type="http://schemas.openxmlformats.org/officeDocument/2006/relationships/hyperlink" Target="Pharma/CDNA.xlsx" TargetMode="External" Id="rId96" /><Relationship Type="http://schemas.openxmlformats.org/officeDocument/2006/relationships/hyperlink" Target="Pharma/ACAD.xlsx" TargetMode="External" Id="rId97" /><Relationship Type="http://schemas.openxmlformats.org/officeDocument/2006/relationships/hyperlink" Target="Pharma/XENE.xlsx" TargetMode="External" Id="rId98" /><Relationship Type="http://schemas.openxmlformats.org/officeDocument/2006/relationships/hyperlink" Target="Pharma/IDYA.xlsx" TargetMode="External" Id="rId99" /><Relationship Type="http://schemas.openxmlformats.org/officeDocument/2006/relationships/hyperlink" Target="Pharma/LQDA.xlsx" TargetMode="External" Id="rId100" /><Relationship Type="http://schemas.openxmlformats.org/officeDocument/2006/relationships/hyperlink" Target="Pharma/TARS.xlsx" TargetMode="External" Id="rId101" /><Relationship Type="http://schemas.openxmlformats.org/officeDocument/2006/relationships/hyperlink" Target="Pharma/VKTX.xlsx" TargetMode="External" Id="rId102" /><Relationship Type="http://schemas.openxmlformats.org/officeDocument/2006/relationships/hyperlink" Target="Pharma/AMLX.xlsx" TargetMode="External" Id="rId103" /><Relationship Type="http://schemas.openxmlformats.org/officeDocument/2006/relationships/hyperlink" Target="Pharma/RCUS.xlsx" TargetMode="External" Id="rId104" /><Relationship Type="http://schemas.openxmlformats.org/officeDocument/2006/relationships/hyperlink" Target="Pharma/DNLI.xlsx" TargetMode="External" Id="rId105" /><Relationship Type="http://schemas.openxmlformats.org/officeDocument/2006/relationships/hyperlink" Target="Pharma/PBLS.xlsx" TargetMode="External" Id="rId106" /><Relationship Type="http://schemas.openxmlformats.org/officeDocument/2006/relationships/hyperlink" Target="Pharma/CELC.xlsx" TargetMode="External" Id="rId107" /><Relationship Type="http://schemas.openxmlformats.org/officeDocument/2006/relationships/hyperlink" Target="Pharma/ELVN.xlsx" TargetMode="External" Id="rId108" /><Relationship Type="http://schemas.openxmlformats.org/officeDocument/2006/relationships/hyperlink" Target="Pharma/DYN.xlsx" TargetMode="External" Id="rId109" /><Relationship Type="http://schemas.openxmlformats.org/officeDocument/2006/relationships/hyperlink" Target="Pharma/ZLAB.xlsx" TargetMode="External" Id="rId110" /><Relationship Type="http://schemas.openxmlformats.org/officeDocument/2006/relationships/hyperlink" Target="Pharma/NRIX.xlsx" TargetMode="External" Id="rId111" /><Relationship Type="http://schemas.openxmlformats.org/officeDocument/2006/relationships/hyperlink" Target="Pharma/HCM.xlsx" TargetMode="External" Id="rId112" /><Relationship Type="http://schemas.openxmlformats.org/officeDocument/2006/relationships/hyperlink" Target="Pharma/BEAM.xlsx" TargetMode="External" Id="rId113" /><Relationship Type="http://schemas.openxmlformats.org/officeDocument/2006/relationships/hyperlink" Target="Pharma/ADMA.xlsx" TargetMode="External" Id="rId114" /><Relationship Type="http://schemas.openxmlformats.org/officeDocument/2006/relationships/hyperlink" Target="Pharma/MBX.xlsx" TargetMode="External" Id="rId115" /><Relationship Type="http://schemas.openxmlformats.org/officeDocument/2006/relationships/hyperlink" Target="Pharma/NAMS.xlsx" TargetMode="External" Id="rId116" /><Relationship Type="http://schemas.openxmlformats.org/officeDocument/2006/relationships/hyperlink" Target="Pharma/PBH.xlsx" TargetMode="External" Id="rId117" /><Relationship Type="http://schemas.openxmlformats.org/officeDocument/2006/relationships/hyperlink" Target="Pharma/BHC.xlsx" TargetMode="External" Id="rId118" /><Relationship Type="http://schemas.openxmlformats.org/officeDocument/2006/relationships/hyperlink" Target="Pharma/PRGO.xlsx" TargetMode="External" Id="rId119" /><Relationship Type="http://schemas.openxmlformats.org/officeDocument/2006/relationships/hyperlink" Target="Pharma/PGEN.xlsx" TargetMode="External" Id="rId120" /><Relationship Type="http://schemas.openxmlformats.org/officeDocument/2006/relationships/hyperlink" Target="Pharma/HRMY.xlsx" TargetMode="External" Id="rId121" /><Relationship Type="http://schemas.openxmlformats.org/officeDocument/2006/relationships/hyperlink" Target="Pharma/SUPN.xlsx" TargetMode="External" Id="rId122" /><Relationship Type="http://schemas.openxmlformats.org/officeDocument/2006/relationships/hyperlink" Target="Pharma/AUPH.xlsx" TargetMode="External" Id="rId123" /><Relationship Type="http://schemas.openxmlformats.org/officeDocument/2006/relationships/hyperlink" Target="Pharma/IRON.xlsx" TargetMode="External" Id="rId124" /><Relationship Type="http://schemas.openxmlformats.org/officeDocument/2006/relationships/hyperlink" Target="Pharma/CLDX.xlsx" TargetMode="External" Id="rId125" /><Relationship Type="http://schemas.openxmlformats.org/officeDocument/2006/relationships/hyperlink" Target="Pharma/VRDN.xlsx" TargetMode="External" Id="rId126" /><Relationship Type="http://schemas.openxmlformats.org/officeDocument/2006/relationships/hyperlink" Target="Pharma/VCEL.xlsx" TargetMode="External" Id="rId127" /><Relationship Type="http://schemas.openxmlformats.org/officeDocument/2006/relationships/hyperlink" Target="Pharma/SLS.xlsx" TargetMode="External" Id="rId128" /><Relationship Type="http://schemas.openxmlformats.org/officeDocument/2006/relationships/hyperlink" Target="Pharma/VERA.xlsx" TargetMode="External" Id="rId129" /><Relationship Type="http://schemas.openxmlformats.org/officeDocument/2006/relationships/hyperlink" Target="Pharma/BCRX.xlsx" TargetMode="External" Id="rId130" /><Relationship Type="http://schemas.openxmlformats.org/officeDocument/2006/relationships/hyperlink" Target="Pharma/LKFT.xlsx" TargetMode="External" Id="rId131" /><Relationship Type="http://schemas.openxmlformats.org/officeDocument/2006/relationships/hyperlink" Target="Pharma/TRLV.xlsx" TargetMode="External" Id="rId132" /><Relationship Type="http://schemas.openxmlformats.org/officeDocument/2006/relationships/hyperlink" Target="Pharma/XERS.xlsx" TargetMode="External" Id="rId133" /><Relationship Type="http://schemas.openxmlformats.org/officeDocument/2006/relationships/hyperlink" Target="Pharma/IMNM.xlsx" TargetMode="External" Id="rId134" /><Relationship Type="http://schemas.openxmlformats.org/officeDocument/2006/relationships/hyperlink" Target="Pharma/AGIO.xlsx" TargetMode="External" Id="rId135" /><Relationship Type="http://schemas.openxmlformats.org/officeDocument/2006/relationships/hyperlink" Target="Pharma/BGM.xlsx" TargetMode="External" Id="rId136" /><Relationship Type="http://schemas.openxmlformats.org/officeDocument/2006/relationships/hyperlink" Target="Pharma/NVAX.xlsx" TargetMode="External" Id="rId137" /><Relationship Type="http://schemas.openxmlformats.org/officeDocument/2006/relationships/hyperlink" Target="Pharma/RXRX.xlsx" TargetMode="External" Id="rId138" /><Relationship Type="http://schemas.openxmlformats.org/officeDocument/2006/relationships/hyperlink" Target="Pharma/PHVS.xlsx" TargetMode="External" Id="rId139" /><Relationship Type="http://schemas.openxmlformats.org/officeDocument/2006/relationships/hyperlink" Target="Pharma/SRPT.xlsx" TargetMode="External" Id="rId140" /><Relationship Type="http://schemas.openxmlformats.org/officeDocument/2006/relationships/hyperlink" Target="Pharma/MLYS.xlsx" TargetMode="External" Id="rId141" /><Relationship Type="http://schemas.openxmlformats.org/officeDocument/2006/relationships/hyperlink" Target="Pharma/PURR.xlsx" TargetMode="External" Id="rId142" /><Relationship Type="http://schemas.openxmlformats.org/officeDocument/2006/relationships/hyperlink" Target="Pharma/ZYME.xlsx" TargetMode="External" Id="rId143" /><Relationship Type="http://schemas.openxmlformats.org/officeDocument/2006/relationships/hyperlink" Target="Pharma/SEPN.xlsx" TargetMode="External" Id="rId144" /><Relationship Type="http://schemas.openxmlformats.org/officeDocument/2006/relationships/hyperlink" Target="Pharma/PVLA.xlsx" TargetMode="External" Id="rId145" /><Relationship Type="http://schemas.openxmlformats.org/officeDocument/2006/relationships/hyperlink" Target="Pharma/MESO.xlsx" TargetMode="External" Id="rId146" /><Relationship Type="http://schemas.openxmlformats.org/officeDocument/2006/relationships/hyperlink" Target="Pharma/XNCR.xlsx" TargetMode="External" Id="rId147" /><Relationship Type="http://schemas.openxmlformats.org/officeDocument/2006/relationships/hyperlink" Target="Pharma/TRVI.xlsx" TargetMode="External" Id="rId148" /><Relationship Type="http://schemas.openxmlformats.org/officeDocument/2006/relationships/hyperlink" Target="Pharma/URGN.xlsx" TargetMode="External" Id="rId149" /><Relationship Type="http://schemas.openxmlformats.org/officeDocument/2006/relationships/hyperlink" Target="Pharma/VIR.xlsx" TargetMode="External" Id="rId150" /><Relationship Type="http://schemas.openxmlformats.org/officeDocument/2006/relationships/hyperlink" Target="Pharma/BRVE.xlsx" TargetMode="External" Id="rId151" /><Relationship Type="http://schemas.openxmlformats.org/officeDocument/2006/relationships/hyperlink" Target="Pharma/ANIP.xlsx" TargetMode="External" Id="rId152" /><Relationship Type="http://schemas.openxmlformats.org/officeDocument/2006/relationships/hyperlink" Target="Pharma/BHVN.xlsx" TargetMode="External" Id="rId153" /><Relationship Type="http://schemas.openxmlformats.org/officeDocument/2006/relationships/hyperlink" Target="Pharma/ZBIO.xlsx" TargetMode="External" Id="rId154" /><Relationship Type="http://schemas.openxmlformats.org/officeDocument/2006/relationships/hyperlink" Target="Pharma/NTLA.xlsx" TargetMode="External" Id="rId155" /><Relationship Type="http://schemas.openxmlformats.org/officeDocument/2006/relationships/hyperlink" Target="Pharma/PAHC.xlsx" TargetMode="External" Id="rId156" /><Relationship Type="http://schemas.openxmlformats.org/officeDocument/2006/relationships/hyperlink" Target="Pharma/ALVO.xlsx" TargetMode="External" Id="rId157" /><Relationship Type="http://schemas.openxmlformats.org/officeDocument/2006/relationships/hyperlink" Target="Pharma/STOK.xlsx" TargetMode="External" Id="rId158" /><Relationship Type="http://schemas.openxmlformats.org/officeDocument/2006/relationships/hyperlink" Target="Pharma/NUVB.xlsx" TargetMode="External" Id="rId159" /><Relationship Type="http://schemas.openxmlformats.org/officeDocument/2006/relationships/hyperlink" Target="Pharma/GENB.xlsx" TargetMode="External" Id="rId160" /><Relationship Type="http://schemas.openxmlformats.org/officeDocument/2006/relationships/hyperlink" Target="Pharma/MAZE.xlsx" TargetMode="External" Id="rId161" /><Relationship Type="http://schemas.openxmlformats.org/officeDocument/2006/relationships/hyperlink" Target="Pharma/IMCR.xlsx" TargetMode="External" Id="rId162" /><Relationship Type="http://schemas.openxmlformats.org/officeDocument/2006/relationships/hyperlink" Target="Pharma/OCUL.xlsx" TargetMode="External" Id="rId163" /><Relationship Type="http://schemas.openxmlformats.org/officeDocument/2006/relationships/hyperlink" Target="Pharma/GPCR.xlsx" TargetMode="External" Id="rId164" /><Relationship Type="http://schemas.openxmlformats.org/officeDocument/2006/relationships/hyperlink" Target="Pharma/INVA.xlsx" TargetMode="External" Id="rId165" /><Relationship Type="http://schemas.openxmlformats.org/officeDocument/2006/relationships/hyperlink" Target="Pharma/CMPS.xlsx" TargetMode="External" Id="rId166" /><Relationship Type="http://schemas.openxmlformats.org/officeDocument/2006/relationships/hyperlink" Target="Pharma/KLRA.xlsx" TargetMode="External" Id="rId167" /><Relationship Type="http://schemas.openxmlformats.org/officeDocument/2006/relationships/hyperlink" Target="Pharma/PCRX.xlsx" TargetMode="External" Id="rId168" /><Relationship Type="http://schemas.openxmlformats.org/officeDocument/2006/relationships/hyperlink" Target="Pharma/ETON.xlsx" TargetMode="External" Id="rId169" /><Relationship Type="http://schemas.openxmlformats.org/officeDocument/2006/relationships/hyperlink" Target="Pharma/AAPG.xlsx" TargetMode="External" Id="rId170" /><Relationship Type="http://schemas.openxmlformats.org/officeDocument/2006/relationships/hyperlink" Target="Pharma/RARE.xlsx" TargetMode="External" Id="rId171" /><Relationship Type="http://schemas.openxmlformats.org/officeDocument/2006/relationships/hyperlink" Target="Pharma/ABSI.xlsx" TargetMode="External" Id="rId172" /><Relationship Type="http://schemas.openxmlformats.org/officeDocument/2006/relationships/hyperlink" Target="Pharma/COAG.xlsx" TargetMode="External" Id="rId173" /><Relationship Type="http://schemas.openxmlformats.org/officeDocument/2006/relationships/hyperlink" Target="Pharma/ANAB.xlsx" TargetMode="External" Id="rId174" /><Relationship Type="http://schemas.openxmlformats.org/officeDocument/2006/relationships/hyperlink" Target="Pharma/QURE.xlsx" TargetMode="External" Id="rId175" /><Relationship Type="http://schemas.openxmlformats.org/officeDocument/2006/relationships/hyperlink" Target="Pharma/RAPP.xlsx" TargetMode="External" Id="rId176" /><Relationship Type="http://schemas.openxmlformats.org/officeDocument/2006/relationships/hyperlink" Target="Pharma/INBX.xlsx" TargetMode="External" Id="rId177" /><Relationship Type="http://schemas.openxmlformats.org/officeDocument/2006/relationships/hyperlink" Target="Pharma/ORIC.xlsx" TargetMode="External" Id="rId178" /><Relationship Type="http://schemas.openxmlformats.org/officeDocument/2006/relationships/hyperlink" Target="Pharma/TRAX.xlsx" TargetMode="External" Id="rId179" /><Relationship Type="http://schemas.openxmlformats.org/officeDocument/2006/relationships/hyperlink" Target="Pharma/NKTR.xlsx" TargetMode="External" Id="rId180" /><Relationship Type="http://schemas.openxmlformats.org/officeDocument/2006/relationships/hyperlink" Target="Pharma/KARD.xlsx" TargetMode="External" Id="rId181" /><Relationship Type="http://schemas.openxmlformats.org/officeDocument/2006/relationships/hyperlink" Target="Pharma/LBRX.xlsx" TargetMode="External" Id="rId182" /><Relationship Type="http://schemas.openxmlformats.org/officeDocument/2006/relationships/hyperlink" Target="Pharma/CRON.xlsx" TargetMode="External" Id="rId183" /><Relationship Type="http://schemas.openxmlformats.org/officeDocument/2006/relationships/hyperlink" Target="Pharma/TSHA.xlsx" TargetMode="External" Id="rId184" /><Relationship Type="http://schemas.openxmlformats.org/officeDocument/2006/relationships/hyperlink" Target="Pharma/OMER.xlsx" TargetMode="External" Id="rId185" /><Relationship Type="http://schemas.openxmlformats.org/officeDocument/2006/relationships/hyperlink" Target="Pharma/BCAX.xlsx" TargetMode="External" Id="rId186" /><Relationship Type="http://schemas.openxmlformats.org/officeDocument/2006/relationships/hyperlink" Target="Pharma/SNDX.xlsx" TargetMode="External" Id="rId187" /><Relationship Type="http://schemas.openxmlformats.org/officeDocument/2006/relationships/hyperlink" Target="Pharma/VOR.xlsx" TargetMode="External" Id="rId188" /><Relationship Type="http://schemas.openxmlformats.org/officeDocument/2006/relationships/hyperlink" Target="Pharma/DMRA.xlsx" TargetMode="External" Id="rId189" /><Relationship Type="http://schemas.openxmlformats.org/officeDocument/2006/relationships/hyperlink" Target="Pharma/SVRA.xlsx" TargetMode="External" Id="rId190" /><Relationship Type="http://schemas.openxmlformats.org/officeDocument/2006/relationships/hyperlink" Target="Pharma/GHRS.xlsx" TargetMode="External" Id="rId191" /><Relationship Type="http://schemas.openxmlformats.org/officeDocument/2006/relationships/hyperlink" Target="Pharma/TYRA.xlsx" TargetMode="External" Id="rId192" /><Relationship Type="http://schemas.openxmlformats.org/officeDocument/2006/relationships/hyperlink" Target="Pharma/AMPH.xlsx" TargetMode="External" Id="rId193" /><Relationship Type="http://schemas.openxmlformats.org/officeDocument/2006/relationships/hyperlink" Target="Pharma/AVLN.xlsx" TargetMode="External" Id="rId194" /><Relationship Type="http://schemas.openxmlformats.org/officeDocument/2006/relationships/hyperlink" Target="Pharma/NBTX.xlsx" TargetMode="External" Id="rId195" /><Relationship Type="http://schemas.openxmlformats.org/officeDocument/2006/relationships/hyperlink" Target="Pharma/REPL.xlsx" TargetMode="External" Id="rId196" /><Relationship Type="http://schemas.openxmlformats.org/officeDocument/2006/relationships/hyperlink" Target="Pharma/HROW.xlsx" TargetMode="External" Id="rId197" /><Relationship Type="http://schemas.openxmlformats.org/officeDocument/2006/relationships/hyperlink" Target="Pharma/JANX.xlsx" TargetMode="External" Id="rId198" /><Relationship Type="http://schemas.openxmlformats.org/officeDocument/2006/relationships/hyperlink" Target="Pharma/MNKD.xlsx" TargetMode="External" Id="rId199" /><Relationship Type="http://schemas.openxmlformats.org/officeDocument/2006/relationships/hyperlink" Target="Pharma/SPTX.xlsx" TargetMode="External" Id="rId200" /><Relationship Type="http://schemas.openxmlformats.org/officeDocument/2006/relationships/hyperlink" Target="Pharma/GRML.xlsx" TargetMode="External" Id="rId201" /><Relationship Type="http://schemas.openxmlformats.org/officeDocument/2006/relationships/hyperlink" Target="Pharma/LTGO.xlsx" TargetMode="External" Id="rId202" /><Relationship Type="http://schemas.openxmlformats.org/officeDocument/2006/relationships/hyperlink" Target="Pharma/IMTX.xlsx" TargetMode="External" Id="rId203" /><Relationship Type="http://schemas.openxmlformats.org/officeDocument/2006/relationships/hyperlink" Target="Pharma/MGTX.xlsx" TargetMode="External" Id="rId204" /><Relationship Type="http://schemas.openxmlformats.org/officeDocument/2006/relationships/hyperlink" Target="Pharma/RIGL.xlsx" TargetMode="External" Id="rId205" /><Relationship Type="http://schemas.openxmlformats.org/officeDocument/2006/relationships/hyperlink" Target="Pharma/ANRO.xlsx" TargetMode="External" Id="rId206" /><Relationship Type="http://schemas.openxmlformats.org/officeDocument/2006/relationships/hyperlink" Target="Pharma/JBIO.xlsx" TargetMode="External" Id="rId207" /><Relationship Type="http://schemas.openxmlformats.org/officeDocument/2006/relationships/hyperlink" Target="Pharma/ODTX.xlsx" TargetMode="External" Id="rId208" /><Relationship Type="http://schemas.openxmlformats.org/officeDocument/2006/relationships/hyperlink" Target="Pharma/ABUS.xlsx" TargetMode="External" Id="rId209" /><Relationship Type="http://schemas.openxmlformats.org/officeDocument/2006/relationships/hyperlink" Target="Pharma/CGEM.xlsx" TargetMode="External" Id="rId210" /><Relationship Type="http://schemas.openxmlformats.org/officeDocument/2006/relationships/hyperlink" Target="Pharma/GLUE.xlsx" TargetMode="External" Id="rId211" /><Relationship Type="http://schemas.openxmlformats.org/officeDocument/2006/relationships/hyperlink" Target="Pharma/SGP.xlsx" TargetMode="External" Id="rId212" /><Relationship Type="http://schemas.openxmlformats.org/officeDocument/2006/relationships/hyperlink" Target="Pharma/AVBP.xlsx" TargetMode="External" Id="rId213" /><Relationship Type="http://schemas.openxmlformats.org/officeDocument/2006/relationships/hyperlink" Target="Pharma/ARDX.xlsx" TargetMode="External" Id="rId214" /><Relationship Type="http://schemas.openxmlformats.org/officeDocument/2006/relationships/hyperlink" Target="Pharma/MLTX.xlsx" TargetMode="External" Id="rId215" /><Relationship Type="http://schemas.openxmlformats.org/officeDocument/2006/relationships/hyperlink" Target="Pharma/KURA.xlsx" TargetMode="External" Id="rId216" /><Relationship Type="http://schemas.openxmlformats.org/officeDocument/2006/relationships/hyperlink" Target="Pharma/AKTS.xlsx" TargetMode="External" Id="rId217" /><Relationship Type="http://schemas.openxmlformats.org/officeDocument/2006/relationships/hyperlink" Target="Pharma/CRVS.xlsx" TargetMode="External" Id="rId218" /><Relationship Type="http://schemas.openxmlformats.org/officeDocument/2006/relationships/hyperlink" Target="Pharma/ALMS.xlsx" TargetMode="External" Id="rId219" /><Relationship Type="http://schemas.openxmlformats.org/officeDocument/2006/relationships/hyperlink" Target="Pharma/VSTM.xlsx" TargetMode="External" Id="rId220" /><Relationship Type="http://schemas.openxmlformats.org/officeDocument/2006/relationships/hyperlink" Target="Pharma/APMD.xlsx" TargetMode="External" Id="rId221" /><Relationship Type="http://schemas.openxmlformats.org/officeDocument/2006/relationships/hyperlink" Target="Pharma/COLL.xlsx" TargetMode="External" Id="rId222" /><Relationship Type="http://schemas.openxmlformats.org/officeDocument/2006/relationships/hyperlink" Target="Pharma/OBX.xlsx" TargetMode="External" Id="rId223" /><Relationship Type="http://schemas.openxmlformats.org/officeDocument/2006/relationships/hyperlink" Target="Pharma/GERN.xlsx" TargetMode="External" Id="rId224" /><Relationship Type="http://schemas.openxmlformats.org/officeDocument/2006/relationships/hyperlink" Target="Pharma/SANA.xlsx" TargetMode="External" Id="rId225" /><Relationship Type="http://schemas.openxmlformats.org/officeDocument/2006/relationships/hyperlink" Target="Pharma/FDMT.xlsx" TargetMode="External" Id="rId226" /><Relationship Type="http://schemas.openxmlformats.org/officeDocument/2006/relationships/hyperlink" Target="Pharma/ANNX.xlsx" TargetMode="External" Id="rId227" /><Relationship Type="http://schemas.openxmlformats.org/officeDocument/2006/relationships/hyperlink" Target="Pharma/GYRE.xlsx" TargetMode="External" Id="rId228" /><Relationship Type="http://schemas.openxmlformats.org/officeDocument/2006/relationships/hyperlink" Target="Pharma/LXRX.xlsx" TargetMode="External" Id="rId229" /><Relationship Type="http://schemas.openxmlformats.org/officeDocument/2006/relationships/hyperlink" Target="Pharma/ATTO.xlsx" TargetMode="External" Id="rId230" /><Relationship Type="http://schemas.openxmlformats.org/officeDocument/2006/relationships/hyperlink" Target="Pharma/PHAR.xlsx" TargetMode="External" Id="rId231" /><Relationship Type="http://schemas.openxmlformats.org/officeDocument/2006/relationships/hyperlink" Target="Pharma/ACHV.xlsx" TargetMode="External" Id="rId232" /><Relationship Type="http://schemas.openxmlformats.org/officeDocument/2006/relationships/hyperlink" Target="Pharma/MDXG.xlsx" TargetMode="External" Id="rId233" /><Relationship Type="http://schemas.openxmlformats.org/officeDocument/2006/relationships/hyperlink" Target="Pharma/DSGN.xlsx" TargetMode="External" Id="rId234" /><Relationship Type="http://schemas.openxmlformats.org/officeDocument/2006/relationships/hyperlink" Target="Pharma/AVTX.xlsx" TargetMode="External" Id="rId235" /><Relationship Type="http://schemas.openxmlformats.org/officeDocument/2006/relationships/hyperlink" Target="Pharma/AURA.xlsx" TargetMode="External" Id="rId236" /><Relationship Type="http://schemas.openxmlformats.org/officeDocument/2006/relationships/hyperlink" Target="Pharma/PRME.xlsx" TargetMode="External" Id="rId237" /><Relationship Type="http://schemas.openxmlformats.org/officeDocument/2006/relationships/hyperlink" Target="Pharma/CADL.xlsx" TargetMode="External" Id="rId238" /><Relationship Type="http://schemas.openxmlformats.org/officeDocument/2006/relationships/hyperlink" Target="Pharma/CLYM.xlsx" TargetMode="External" Id="rId239" /><Relationship Type="http://schemas.openxmlformats.org/officeDocument/2006/relationships/hyperlink" Target="Pharma/IRWD.xlsx" TargetMode="External" Id="rId240" /><Relationship Type="http://schemas.openxmlformats.org/officeDocument/2006/relationships/hyperlink" Target="Pharma/IMMX.xlsx" TargetMode="External" Id="rId241" /><Relationship Type="http://schemas.openxmlformats.org/officeDocument/2006/relationships/hyperlink" Target="Pharma/NVCT.xlsx" TargetMode="External" Id="rId242" /><Relationship Type="http://schemas.openxmlformats.org/officeDocument/2006/relationships/hyperlink" Target="Pharma/WVE.xlsx" TargetMode="External" Id="rId243" /><Relationship Type="http://schemas.openxmlformats.org/officeDocument/2006/relationships/hyperlink" Target="Pharma/ZVRA.xlsx" TargetMode="External" Id="rId244" /><Relationship Type="http://schemas.openxmlformats.org/officeDocument/2006/relationships/hyperlink" Target="Pharma/SLDB.xlsx" TargetMode="External" Id="rId245" /><Relationship Type="http://schemas.openxmlformats.org/officeDocument/2006/relationships/hyperlink" Target="Pharma/OLMA.xlsx" TargetMode="External" Id="rId246" /><Relationship Type="http://schemas.openxmlformats.org/officeDocument/2006/relationships/hyperlink" Target="Pharma/IVA.xlsx" TargetMode="External" Id="rId247" /><Relationship Type="http://schemas.openxmlformats.org/officeDocument/2006/relationships/hyperlink" Target="Pharma/CRMD.xlsx" TargetMode="External" Id="rId248" /><Relationship Type="http://schemas.openxmlformats.org/officeDocument/2006/relationships/hyperlink" Target="Pharma/PHAT.xlsx" TargetMode="External" Id="rId249" /><Relationship Type="http://schemas.openxmlformats.org/officeDocument/2006/relationships/hyperlink" Target="Pharma/STTK.xlsx" TargetMode="External" Id="rId250" /><Relationship Type="http://schemas.openxmlformats.org/officeDocument/2006/relationships/hyperlink" Target="Pharma/DBVT.xlsx" TargetMode="External" Id="rId251" /><Relationship Type="http://schemas.openxmlformats.org/officeDocument/2006/relationships/hyperlink" Target="Pharma/VALN.xlsx" TargetMode="External" Id="rId252" /><Relationship Type="http://schemas.openxmlformats.org/officeDocument/2006/relationships/hyperlink" Target="Pharma/AQST.xlsx" TargetMode="External" Id="rId253" /><Relationship Type="http://schemas.openxmlformats.org/officeDocument/2006/relationships/hyperlink" Target="Pharma/SGMT.xlsx" TargetMode="External" Id="rId254" /><Relationship Type="http://schemas.openxmlformats.org/officeDocument/2006/relationships/hyperlink" Target="Pharma/PBYI.xlsx" TargetMode="External" Id="rId255" /><Relationship Type="http://schemas.openxmlformats.org/officeDocument/2006/relationships/hyperlink" Target="Pharma/CTMX.xlsx" TargetMode="External" Id="rId256" /><Relationship Type="http://schemas.openxmlformats.org/officeDocument/2006/relationships/hyperlink" Target="Pharma/FTH.xlsx" TargetMode="External" Id="rId257" /><Relationship Type="http://schemas.openxmlformats.org/officeDocument/2006/relationships/hyperlink" Target="Pharma/ACRS.xlsx" TargetMode="External" Id="rId258" /><Relationship Type="http://schemas.openxmlformats.org/officeDocument/2006/relationships/hyperlink" Target="Pharma/BLSM.xlsx" TargetMode="External" Id="rId259" /><Relationship Type="http://schemas.openxmlformats.org/officeDocument/2006/relationships/hyperlink" Target="Pharma/EOLS.xlsx" TargetMode="External" Id="rId260" /><Relationship Type="http://schemas.openxmlformats.org/officeDocument/2006/relationships/hyperlink" Target="Pharma/IMMP.xlsx" TargetMode="External" Id="rId261" /><Relationship Type="http://schemas.openxmlformats.org/officeDocument/2006/relationships/hyperlink" Target="Pharma/NGNE.xlsx" TargetMode="External" Id="rId262" /><Relationship Type="http://schemas.openxmlformats.org/officeDocument/2006/relationships/hyperlink" Target="Pharma/MNPR.xlsx" TargetMode="External" Id="rId263" /><Relationship Type="http://schemas.openxmlformats.org/officeDocument/2006/relationships/hyperlink" Target="Pharma/ENTX.xlsx" TargetMode="External" Id="rId264" /><Relationship Type="http://schemas.openxmlformats.org/officeDocument/2006/relationships/hyperlink" Target="Pharma/RGNX.xlsx" TargetMode="External" Id="rId265" /><Relationship Type="http://schemas.openxmlformats.org/officeDocument/2006/relationships/hyperlink" Target="Pharma/ARVN.xlsx" TargetMode="External" Id="rId266" /><Relationship Type="http://schemas.openxmlformats.org/officeDocument/2006/relationships/hyperlink" Target="Pharma/ALLO.xlsx" TargetMode="External" Id="rId267" /><Relationship Type="http://schemas.openxmlformats.org/officeDocument/2006/relationships/hyperlink" Target="Pharma/NNNN.xlsx" TargetMode="External" Id="rId268" /><Relationship Type="http://schemas.openxmlformats.org/officeDocument/2006/relationships/hyperlink" Target="Pharma/TLRY.xlsx" TargetMode="External" Id="rId269" /><Relationship Type="http://schemas.openxmlformats.org/officeDocument/2006/relationships/hyperlink" Target="Pharma/KMDA.xlsx" TargetMode="External" Id="rId270" /><Relationship Type="http://schemas.openxmlformats.org/officeDocument/2006/relationships/hyperlink" Target="Pharma/SLN.xlsx" TargetMode="External" Id="rId271" /><Relationship Type="http://schemas.openxmlformats.org/officeDocument/2006/relationships/hyperlink" Target="Pharma/CBIO.xlsx" TargetMode="External" Id="rId272" /><Relationship Type="http://schemas.openxmlformats.org/officeDocument/2006/relationships/hyperlink" Target="Pharma/OCS.xlsx" TargetMode="External" Id="rId273" /><Relationship Type="http://schemas.openxmlformats.org/officeDocument/2006/relationships/hyperlink" Target="Pharma/PRTA.xlsx" TargetMode="External" Id="rId274" /><Relationship Type="http://schemas.openxmlformats.org/officeDocument/2006/relationships/hyperlink" Target="Pharma/ALT.xlsx" TargetMode="External" Id="rId275" /><Relationship Type="http://schemas.openxmlformats.org/officeDocument/2006/relationships/hyperlink" Target="Pharma/AUTL.xlsx" TargetMode="External" Id="rId276" /><Relationship Type="http://schemas.openxmlformats.org/officeDocument/2006/relationships/hyperlink" Target="Pharma/OVID.xlsx" TargetMode="External" Id="rId277" /><Relationship Type="http://schemas.openxmlformats.org/officeDocument/2006/relationships/hyperlink" Target="Pharma/YDES.xlsx" TargetMode="External" Id="rId278" /><Relationship Type="http://schemas.openxmlformats.org/officeDocument/2006/relationships/hyperlink" Target="Pharma/ASMB.xlsx" TargetMode="External" Id="rId279" /><Relationship Type="http://schemas.openxmlformats.org/officeDocument/2006/relationships/hyperlink" Target="Pharma/EIKN.xlsx" TargetMode="External" Id="rId280" /><Relationship Type="http://schemas.openxmlformats.org/officeDocument/2006/relationships/hyperlink" Target="Pharma/DMAC.xlsx" TargetMode="External" Id="rId281" /><Relationship Type="http://schemas.openxmlformats.org/officeDocument/2006/relationships/hyperlink" Target="Pharma/SPRY.xlsx" TargetMode="External" Id="rId282" /><Relationship Type="http://schemas.openxmlformats.org/officeDocument/2006/relationships/hyperlink" Target="Pharma/TECX.xlsx" TargetMode="External" Id="rId283" /><Relationship Type="http://schemas.openxmlformats.org/officeDocument/2006/relationships/hyperlink" Target="Pharma/RCEL.xlsx" TargetMode="External" Id="rId284" /><Relationship Type="http://schemas.openxmlformats.org/officeDocument/2006/relationships/hyperlink" Target="Pharma/PROK.xlsx" TargetMode="External" Id="rId285" /><Relationship Type="http://schemas.openxmlformats.org/officeDocument/2006/relationships/hyperlink" Target="Pharma/SCTX.xlsx" TargetMode="External" Id="rId286" /><Relationship Type="http://schemas.openxmlformats.org/officeDocument/2006/relationships/hyperlink" Target="Pharma/CAPR.xlsx" TargetMode="External" Id="rId287" /><Relationship Type="http://schemas.openxmlformats.org/officeDocument/2006/relationships/hyperlink" Target="Pharma/MYGN.xlsx" TargetMode="External" Id="rId288" /><Relationship Type="http://schemas.openxmlformats.org/officeDocument/2006/relationships/hyperlink" Target="Pharma/EDIT.xlsx" TargetMode="External" Id="rId289" /><Relationship Type="http://schemas.openxmlformats.org/officeDocument/2006/relationships/hyperlink" Target="Pharma/ZURA.xlsx" TargetMode="External" Id="rId290" /><Relationship Type="http://schemas.openxmlformats.org/officeDocument/2006/relationships/hyperlink" Target="Pharma/KYTX.xlsx" TargetMode="External" Id="rId291" /><Relationship Type="http://schemas.openxmlformats.org/officeDocument/2006/relationships/hyperlink" Target="Pharma/GALT.xlsx" TargetMode="External" Id="rId292" /><Relationship Type="http://schemas.openxmlformats.org/officeDocument/2006/relationships/hyperlink" Target="Pharma/MPLT.xlsx" TargetMode="External" Id="rId293" /><Relationship Type="http://schemas.openxmlformats.org/officeDocument/2006/relationships/hyperlink" Target="Pharma/AVIR.xlsx" TargetMode="External" Id="rId294" /><Relationship Type="http://schemas.openxmlformats.org/officeDocument/2006/relationships/hyperlink" Target="Pharma/INDP.xlsx" TargetMode="External" Id="rId295" /><Relationship Type="http://schemas.openxmlformats.org/officeDocument/2006/relationships/hyperlink" Target="Pharma/FENC.xlsx" TargetMode="External" Id="rId296" /><Relationship Type="http://schemas.openxmlformats.org/officeDocument/2006/relationships/hyperlink" Target="Pharma/RZLT.xlsx" TargetMode="External" Id="rId297" /><Relationship Type="http://schemas.openxmlformats.org/officeDocument/2006/relationships/hyperlink" Target="Pharma/TTRX.xlsx" TargetMode="External" Id="rId298" /><Relationship Type="http://schemas.openxmlformats.org/officeDocument/2006/relationships/hyperlink" Target="Pharma/EPRX.xlsx" TargetMode="External" Id="rId299" /><Relationship Type="http://schemas.openxmlformats.org/officeDocument/2006/relationships/hyperlink" Target="Pharma/RLMD.xlsx" TargetMode="External" Id="rId300" /><Relationship Type="http://schemas.openxmlformats.org/officeDocument/2006/relationships/hyperlink" Target="Pharma/CCCC.xlsx" TargetMode="External" Id="rId301" /><Relationship Type="http://schemas.openxmlformats.org/officeDocument/2006/relationships/hyperlink" Target="Pharma/SNDL.xlsx" TargetMode="External" Id="rId302" /><Relationship Type="http://schemas.openxmlformats.org/officeDocument/2006/relationships/hyperlink" Target="Pharma/EBS.xlsx" TargetMode="External" Id="rId303" /><Relationship Type="http://schemas.openxmlformats.org/officeDocument/2006/relationships/hyperlink" Target="Pharma/ENTA.xlsx" TargetMode="External" Id="rId304" /><Relationship Type="http://schemas.openxmlformats.org/officeDocument/2006/relationships/hyperlink" Target="Pharma/IRD.xlsx" TargetMode="External" Id="rId305" /><Relationship Type="http://schemas.openxmlformats.org/officeDocument/2006/relationships/hyperlink" Target="Pharma/GTBP.xlsx" TargetMode="External" Id="rId306" /><Relationship Type="http://schemas.openxmlformats.org/officeDocument/2006/relationships/hyperlink" Target="Pharma/CGC.xlsx" TargetMode="External" Id="rId307" /><Relationship Type="http://schemas.openxmlformats.org/officeDocument/2006/relationships/hyperlink" Target="Pharma/ARTV.xlsx" TargetMode="External" Id="rId308" /><Relationship Type="http://schemas.openxmlformats.org/officeDocument/2006/relationships/hyperlink" Target="Pharma/BNTC.xlsx" TargetMode="External" Id="rId309" /><Relationship Type="http://schemas.openxmlformats.org/officeDocument/2006/relationships/hyperlink" Target="Pharma/ARCT.xlsx" TargetMode="External" Id="rId310" /><Relationship Type="http://schemas.openxmlformats.org/officeDocument/2006/relationships/hyperlink" Target="Pharma/IBO.xlsx" TargetMode="External" Id="rId311" /><Relationship Type="http://schemas.openxmlformats.org/officeDocument/2006/relationships/hyperlink" Target="Pharma/FULC.xlsx" TargetMode="External" Id="rId312" /><Relationship Type="http://schemas.openxmlformats.org/officeDocument/2006/relationships/hyperlink" Target="Pharma/CYPH.xlsx" TargetMode="External" Id="rId313" /><Relationship Type="http://schemas.openxmlformats.org/officeDocument/2006/relationships/hyperlink" Target="Pharma/SRZN.xlsx" TargetMode="External" Id="rId314" /><Relationship Type="http://schemas.openxmlformats.org/officeDocument/2006/relationships/hyperlink" Target="Pharma/AGEN.xlsx" TargetMode="External" Id="rId315" /><Relationship Type="http://schemas.openxmlformats.org/officeDocument/2006/relationships/hyperlink" Target="Pharma/PALI.xlsx" TargetMode="External" Id="rId316" /><Relationship Type="http://schemas.openxmlformats.org/officeDocument/2006/relationships/hyperlink" Target="Pharma/ANIK.xlsx" TargetMode="External" Id="rId317" /><Relationship Type="http://schemas.openxmlformats.org/officeDocument/2006/relationships/hyperlink" Target="Pharma/CATX.xlsx" TargetMode="External" Id="rId318" /><Relationship Type="http://schemas.openxmlformats.org/officeDocument/2006/relationships/hyperlink" Target="Pharma/OCGN.xlsx" TargetMode="External" Id="rId319" /><Relationship Type="http://schemas.openxmlformats.org/officeDocument/2006/relationships/hyperlink" Target="Pharma/XFOR.xlsx" TargetMode="External" Id="rId320" /><Relationship Type="http://schemas.openxmlformats.org/officeDocument/2006/relationships/hyperlink" Target="Pharma/PRLD.xlsx" TargetMode="External" Id="rId321" /><Relationship Type="http://schemas.openxmlformats.org/officeDocument/2006/relationships/hyperlink" Target="Pharma/RCKT.xlsx" TargetMode="External" Id="rId322" /><Relationship Type="http://schemas.openxmlformats.org/officeDocument/2006/relationships/hyperlink" Target="Pharma/EYPT.xlsx" TargetMode="External" Id="rId323" /><Relationship Type="http://schemas.openxmlformats.org/officeDocument/2006/relationships/hyperlink" Target="Pharma/INCR.xlsx" TargetMode="External" Id="rId324" /><Relationship Type="http://schemas.openxmlformats.org/officeDocument/2006/relationships/hyperlink" Target="Pharma/ABEO.xlsx" TargetMode="External" Id="rId325" /><Relationship Type="http://schemas.openxmlformats.org/officeDocument/2006/relationships/hyperlink" Target="Pharma/LCTX.xlsx" TargetMode="External" Id="rId326" /><Relationship Type="http://schemas.openxmlformats.org/officeDocument/2006/relationships/hyperlink" Target="Pharma/IPSC.xlsx" TargetMode="External" Id="rId327" /><Relationship Type="http://schemas.openxmlformats.org/officeDocument/2006/relationships/hyperlink" Target="Pharma/VNDA.xlsx" TargetMode="External" Id="rId328" /><Relationship Type="http://schemas.openxmlformats.org/officeDocument/2006/relationships/hyperlink" Target="Pharma/ACIU.xlsx" TargetMode="External" Id="rId329" /><Relationship Type="http://schemas.openxmlformats.org/officeDocument/2006/relationships/hyperlink" Target="Pharma/BCYC.xlsx" TargetMode="External" Id="rId330" /><Relationship Type="http://schemas.openxmlformats.org/officeDocument/2006/relationships/hyperlink" Target="Pharma/CABA.xlsx" TargetMode="External" Id="rId331" /><Relationship Type="http://schemas.openxmlformats.org/officeDocument/2006/relationships/hyperlink" Target="Pharma/VOGX.xlsx" TargetMode="External" Id="rId332" /><Relationship Type="http://schemas.openxmlformats.org/officeDocument/2006/relationships/hyperlink" Target="Pharma/AMRN.xlsx" TargetMode="External" Id="rId333" /><Relationship Type="http://schemas.openxmlformats.org/officeDocument/2006/relationships/hyperlink" Target="Pharma/IMRX.xlsx" TargetMode="External" Id="rId334" /><Relationship Type="http://schemas.openxmlformats.org/officeDocument/2006/relationships/hyperlink" Target="Pharma/IKT.xlsx" TargetMode="External" Id="rId335" /><Relationship Type="http://schemas.openxmlformats.org/officeDocument/2006/relationships/hyperlink" Target="Pharma/SABS.xlsx" TargetMode="External" Id="rId336" /><Relationship Type="http://schemas.openxmlformats.org/officeDocument/2006/relationships/hyperlink" Target="Pharma/HELP.xlsx" TargetMode="External" Id="rId337" /><Relationship Type="http://schemas.openxmlformats.org/officeDocument/2006/relationships/hyperlink" Target="Pharma/SIGA.xlsx" TargetMode="External" Id="rId338" /><Relationship Type="http://schemas.openxmlformats.org/officeDocument/2006/relationships/hyperlink" Target="Pharma/LXEO.xlsx" TargetMode="External" Id="rId339" /><Relationship Type="http://schemas.openxmlformats.org/officeDocument/2006/relationships/hyperlink" Target="Pharma/BBOT.xlsx" TargetMode="External" Id="rId340" /><Relationship Type="http://schemas.openxmlformats.org/officeDocument/2006/relationships/hyperlink" Target="Pharma/ACB.xlsx" TargetMode="External" Id="rId341" /><Relationship Type="http://schemas.openxmlformats.org/officeDocument/2006/relationships/hyperlink" Target="Pharma/HITI.xlsx" TargetMode="External" Id="rId342" /><Relationship Type="http://schemas.openxmlformats.org/officeDocument/2006/relationships/hyperlink" Target="Pharma/QTTB.xlsx" TargetMode="External" Id="rId343" /><Relationship Type="http://schemas.openxmlformats.org/officeDocument/2006/relationships/hyperlink" Target="Pharma/TLSI.xlsx" TargetMode="External" Id="rId344" /><Relationship Type="http://schemas.openxmlformats.org/officeDocument/2006/relationships/hyperlink" Target="Pharma/BIOA.xlsx" TargetMode="External" Id="rId345" /><Relationship Type="http://schemas.openxmlformats.org/officeDocument/2006/relationships/hyperlink" Target="Pharma/KROS.xlsx" TargetMode="External" Id="rId346" /><Relationship Type="http://schemas.openxmlformats.org/officeDocument/2006/relationships/hyperlink" Target="Pharma/FATE.xlsx" TargetMode="External" Id="rId347" /><Relationship Type="http://schemas.openxmlformats.org/officeDocument/2006/relationships/hyperlink" Target="Pharma/GLSI.xlsx" TargetMode="External" Id="rId348" /><Relationship Type="http://schemas.openxmlformats.org/officeDocument/2006/relationships/hyperlink" Target="Pharma/PLX.xlsx" TargetMode="External" Id="rId349" /><Relationship Type="http://schemas.openxmlformats.org/officeDocument/2006/relationships/hyperlink" Target="Pharma/MGNX.xlsx" TargetMode="External" Id="rId350" /><Relationship Type="http://schemas.openxmlformats.org/officeDocument/2006/relationships/hyperlink" Target="Pharma/LRMR.xlsx" TargetMode="External" Id="rId351" /><Relationship Type="http://schemas.openxmlformats.org/officeDocument/2006/relationships/hyperlink" Target="Pharma/ALEC.xlsx" TargetMode="External" Id="rId352" /><Relationship Type="http://schemas.openxmlformats.org/officeDocument/2006/relationships/hyperlink" Target="Pharma/MDCX.xlsx" TargetMode="External" Id="rId353" /><Relationship Type="http://schemas.openxmlformats.org/officeDocument/2006/relationships/hyperlink" Target="Pharma/LIMN.xlsx" TargetMode="External" Id="rId354" /><Relationship Type="http://schemas.openxmlformats.org/officeDocument/2006/relationships/hyperlink" Target="Pharma/LYEL.xlsx" TargetMode="External" Id="rId355" /><Relationship Type="http://schemas.openxmlformats.org/officeDocument/2006/relationships/hyperlink" Target="Pharma/RNAC.xlsx" TargetMode="External" Id="rId356" /><Relationship Type="http://schemas.openxmlformats.org/officeDocument/2006/relationships/hyperlink" Target="Pharma/CAMP.xlsx" TargetMode="External" Id="rId357" /><Relationship Type="http://schemas.openxmlformats.org/officeDocument/2006/relationships/hyperlink" Target="Pharma/CGEN.xlsx" TargetMode="External" Id="rId358" /><Relationship Type="http://schemas.openxmlformats.org/officeDocument/2006/relationships/hyperlink" Target="Pharma/EVMN.xlsx" TargetMode="External" Id="rId359" /><Relationship Type="http://schemas.openxmlformats.org/officeDocument/2006/relationships/hyperlink" Target="Pharma/XGN.xlsx" TargetMode="External" Id="rId360" /><Relationship Type="http://schemas.openxmlformats.org/officeDocument/2006/relationships/hyperlink" Target="Pharma/TRDA.xlsx" TargetMode="External" Id="rId361" /><Relationship Type="http://schemas.openxmlformats.org/officeDocument/2006/relationships/hyperlink" Target="Pharma/AKBA.xlsx" TargetMode="External" Id="rId362" /><Relationship Type="http://schemas.openxmlformats.org/officeDocument/2006/relationships/hyperlink" Target="Pharma/ELDN.xlsx" TargetMode="External" Id="rId363" /><Relationship Type="http://schemas.openxmlformats.org/officeDocument/2006/relationships/hyperlink" Target="Pharma/IVVD.xlsx" TargetMode="External" Id="rId364" /><Relationship Type="http://schemas.openxmlformats.org/officeDocument/2006/relationships/hyperlink" Target="Pharma/STRO.xlsx" TargetMode="External" Id="rId365" /><Relationship Type="http://schemas.openxmlformats.org/officeDocument/2006/relationships/hyperlink" Target="Pharma/PEPG.xlsx" TargetMode="External" Id="rId366" /><Relationship Type="http://schemas.openxmlformats.org/officeDocument/2006/relationships/hyperlink" Target="Pharma/ADCT.xlsx" TargetMode="External" Id="rId367" /><Relationship Type="http://schemas.openxmlformats.org/officeDocument/2006/relationships/hyperlink" Target="Pharma/SLGL.xlsx" TargetMode="External" Id="rId368" /><Relationship Type="http://schemas.openxmlformats.org/officeDocument/2006/relationships/hyperlink" Target="Pharma/ACOG.xlsx" TargetMode="External" Id="rId369" /><Relationship Type="http://schemas.openxmlformats.org/officeDocument/2006/relationships/hyperlink" Target="Pharma/SION.xlsx" TargetMode="External" Id="rId370" /><Relationship Type="http://schemas.openxmlformats.org/officeDocument/2006/relationships/hyperlink" Target="Pharma/ORMP.xlsx" TargetMode="External" Id="rId371" /><Relationship Type="http://schemas.openxmlformats.org/officeDocument/2006/relationships/hyperlink" Target="Pharma/WHWK.xlsx" TargetMode="External" Id="rId372" /><Relationship Type="http://schemas.openxmlformats.org/officeDocument/2006/relationships/hyperlink" Target="Pharma/CTNM.xlsx" TargetMode="External" Id="rId373" /><Relationship Type="http://schemas.openxmlformats.org/officeDocument/2006/relationships/hyperlink" Target="Pharma/DTIL.xlsx" TargetMode="External" Id="rId374" /><Relationship Type="http://schemas.openxmlformats.org/officeDocument/2006/relationships/hyperlink" Target="Pharma/CMPX.xlsx" TargetMode="External" Id="rId375" /><Relationship Type="http://schemas.openxmlformats.org/officeDocument/2006/relationships/hyperlink" Target="Pharma/CHRS.xlsx" TargetMode="External" Id="rId376" /><Relationship Type="http://schemas.openxmlformats.org/officeDocument/2006/relationships/hyperlink" Target="Pharma/PRQR.xlsx" TargetMode="External" Id="rId377" /><Relationship Type="http://schemas.openxmlformats.org/officeDocument/2006/relationships/hyperlink" Target="Pharma/ZNTL.xlsx" TargetMode="External" Id="rId378" /><Relationship Type="http://schemas.openxmlformats.org/officeDocument/2006/relationships/hyperlink" Target="Pharma/MDWD.xlsx" TargetMode="External" Id="rId379" /><Relationship Type="http://schemas.openxmlformats.org/officeDocument/2006/relationships/hyperlink" Target="Pharma/KRSA.xlsx" TargetMode="External" Id="rId380" /><Relationship Type="http://schemas.openxmlformats.org/officeDocument/2006/relationships/hyperlink" Target="Pharma/UPB.xlsx" TargetMode="External" Id="rId381" /><Relationship Type="http://schemas.openxmlformats.org/officeDocument/2006/relationships/hyperlink" Target="Pharma/MENS.xlsx" TargetMode="External" Id="rId382" /><Relationship Type="http://schemas.openxmlformats.org/officeDocument/2006/relationships/hyperlink" Target="Pharma/PYXS.xlsx" TargetMode="External" Id="rId383" /><Relationship Type="http://schemas.openxmlformats.org/officeDocument/2006/relationships/hyperlink" Target="Pharma/CNTN.xlsx" TargetMode="External" Id="rId384" /><Relationship Type="http://schemas.openxmlformats.org/officeDocument/2006/relationships/hyperlink" Target="Pharma/ALXO.xlsx" TargetMode="External" Id="rId385" /><Relationship Type="http://schemas.openxmlformats.org/officeDocument/2006/relationships/hyperlink" Target="Pharma/NBP.xlsx" TargetMode="External" Id="rId386" /><Relationship Type="http://schemas.openxmlformats.org/officeDocument/2006/relationships/hyperlink" Target="Pharma/CURX.xlsx" TargetMode="External" Id="rId387" /><Relationship Type="http://schemas.openxmlformats.org/officeDocument/2006/relationships/hyperlink" Target="Pharma/MOLN.xlsx" TargetMode="External" Id="rId388" /><Relationship Type="http://schemas.openxmlformats.org/officeDocument/2006/relationships/hyperlink" Target="Pharma/DERM.xlsx" TargetMode="External" Id="rId389" /><Relationship Type="http://schemas.openxmlformats.org/officeDocument/2006/relationships/hyperlink" Target="Pharma/IPHA.xlsx" TargetMode="External" Id="rId390" /><Relationship Type="http://schemas.openxmlformats.org/officeDocument/2006/relationships/hyperlink" Target="Pharma/TARA.xlsx" TargetMode="External" Id="rId391" /><Relationship Type="http://schemas.openxmlformats.org/officeDocument/2006/relationships/hyperlink" Target="Pharma/RNA.xlsx" TargetMode="External" Id="rId392" /><Relationship Type="http://schemas.openxmlformats.org/officeDocument/2006/relationships/hyperlink" Target="Pharma/NKTX.xlsx" TargetMode="External" Id="rId393" /><Relationship Type="http://schemas.openxmlformats.org/officeDocument/2006/relationships/hyperlink" Target="Pharma/ORGO.xlsx" TargetMode="External" Id="rId394" /><Relationship Type="http://schemas.openxmlformats.org/officeDocument/2006/relationships/hyperlink" Target="Pharma/ANTX.xlsx" TargetMode="External" Id="rId395" /><Relationship Type="http://schemas.openxmlformats.org/officeDocument/2006/relationships/hyperlink" Target="Pharma/NGEN.xlsx" TargetMode="External" Id="rId396" /><Relationship Type="http://schemas.openxmlformats.org/officeDocument/2006/relationships/hyperlink" Target="Pharma/TLSA.xlsx" TargetMode="External" Id="rId397" /><Relationship Type="http://schemas.openxmlformats.org/officeDocument/2006/relationships/hyperlink" Target="Pharma/ARMP.xlsx" TargetMode="External" Id="rId398" /><Relationship Type="http://schemas.openxmlformats.org/officeDocument/2006/relationships/hyperlink" Target="Pharma/KRRO.xlsx" TargetMode="External" Id="rId399" /><Relationship Type="http://schemas.openxmlformats.org/officeDocument/2006/relationships/hyperlink" Target="Pharma/ABOS.xlsx" TargetMode="External" Id="rId400" /><Relationship Type="http://schemas.openxmlformats.org/officeDocument/2006/relationships/hyperlink" Target="Pharma/AVXL.xlsx" TargetMode="External" Id="rId401" /><Relationship Type="http://schemas.openxmlformats.org/officeDocument/2006/relationships/hyperlink" Target="Pharma/CUE.xlsx" TargetMode="External" Id="rId402" /><Relationship Type="http://schemas.openxmlformats.org/officeDocument/2006/relationships/hyperlink" Target="Pharma/HUMA.xlsx" TargetMode="External" Id="rId403" /><Relationship Type="http://schemas.openxmlformats.org/officeDocument/2006/relationships/hyperlink" Target="Pharma/OTLK.xlsx" TargetMode="External" Id="rId404" /><Relationship Type="http://schemas.openxmlformats.org/officeDocument/2006/relationships/hyperlink" Target="Pharma/VYGR.xlsx" TargetMode="External" Id="rId405" /><Relationship Type="http://schemas.openxmlformats.org/officeDocument/2006/relationships/hyperlink" Target="Pharma/SPRB.xlsx" TargetMode="External" Id="rId406" /><Relationship Type="http://schemas.openxmlformats.org/officeDocument/2006/relationships/hyperlink" Target="Pharma/NRXP.xlsx" TargetMode="External" Id="rId407" /><Relationship Type="http://schemas.openxmlformats.org/officeDocument/2006/relationships/hyperlink" Target="Pharma/NERV.xlsx" TargetMode="External" Id="rId408" /><Relationship Type="http://schemas.openxmlformats.org/officeDocument/2006/relationships/hyperlink" Target="Pharma/HURA.xlsx" TargetMode="External" Id="rId409" /><Relationship Type="http://schemas.openxmlformats.org/officeDocument/2006/relationships/hyperlink" Target="Pharma/ENGN.xlsx" TargetMode="External" Id="rId410" /><Relationship Type="http://schemas.openxmlformats.org/officeDocument/2006/relationships/hyperlink" Target="Pharma/CRDL.xlsx" TargetMode="External" Id="rId411" /><Relationship Type="http://schemas.openxmlformats.org/officeDocument/2006/relationships/hyperlink" Target="Pharma/FHTX.xlsx" TargetMode="External" Id="rId412" /><Relationship Type="http://schemas.openxmlformats.org/officeDocument/2006/relationships/hyperlink" Target="Pharma/GNLX.xlsx" TargetMode="External" Id="rId413" /><Relationship Type="http://schemas.openxmlformats.org/officeDocument/2006/relationships/hyperlink" Target="Pharma/PYPD.xlsx" TargetMode="External" Id="rId414" /><Relationship Type="http://schemas.openxmlformats.org/officeDocument/2006/relationships/hyperlink" Target="Pharma/CPIX.xlsx" TargetMode="External" Id="rId415" /><Relationship Type="http://schemas.openxmlformats.org/officeDocument/2006/relationships/hyperlink" Target="Pharma/MSLE.xlsx" TargetMode="External" Id="rId416" /><Relationship Type="http://schemas.openxmlformats.org/officeDocument/2006/relationships/hyperlink" Target="Pharma/VTVT.xlsx" TargetMode="External" Id="rId417" /><Relationship Type="http://schemas.openxmlformats.org/officeDocument/2006/relationships/hyperlink" Target="Pharma/FRNM.xlsx" TargetMode="External" Id="rId418" /><Relationship Type="http://schemas.openxmlformats.org/officeDocument/2006/relationships/hyperlink" Target="Pharma/CLLS.xlsx" TargetMode="External" Id="rId419" /><Relationship Type="http://schemas.openxmlformats.org/officeDocument/2006/relationships/hyperlink" Target="Pharma/IFRX.xlsx" TargetMode="External" Id="rId420" /><Relationship Type="http://schemas.openxmlformats.org/officeDocument/2006/relationships/hyperlink" Target="Pharma/TNXP.xlsx" TargetMode="External" Id="rId421" /><Relationship Type="http://schemas.openxmlformats.org/officeDocument/2006/relationships/hyperlink" Target="Pharma/LENZ.xlsx" TargetMode="External" Id="rId422" /><Relationship Type="http://schemas.openxmlformats.org/officeDocument/2006/relationships/hyperlink" Target="Pharma/INO.xlsx" TargetMode="External" Id="rId423" /><Relationship Type="http://schemas.openxmlformats.org/officeDocument/2006/relationships/hyperlink" Target="Pharma/COYA.xlsx" TargetMode="External" Id="rId424" /><Relationship Type="http://schemas.openxmlformats.org/officeDocument/2006/relationships/hyperlink" Target="Pharma/CBUS.xlsx" TargetMode="External" Id="rId425" /><Relationship Type="http://schemas.openxmlformats.org/officeDocument/2006/relationships/hyperlink" Target="Pharma/IMDX.xlsx" TargetMode="External" Id="rId426" /><Relationship Type="http://schemas.openxmlformats.org/officeDocument/2006/relationships/hyperlink" Target="Pharma/NRSN.xlsx" TargetMode="External" Id="rId427" /><Relationship Type="http://schemas.openxmlformats.org/officeDocument/2006/relationships/hyperlink" Target="Pharma/BDTX.xlsx" TargetMode="External" Id="rId428" /><Relationship Type="http://schemas.openxmlformats.org/officeDocument/2006/relationships/hyperlink" Target="Pharma/ICCC.xlsx" TargetMode="External" Id="rId429" /><Relationship Type="http://schemas.openxmlformats.org/officeDocument/2006/relationships/hyperlink" Target="Pharma/ADAG.xlsx" TargetMode="External" Id="rId430" /><Relationship Type="http://schemas.openxmlformats.org/officeDocument/2006/relationships/hyperlink" Target="Pharma/ATRA.xlsx" TargetMode="External" Id="rId431" /><Relationship Type="http://schemas.openxmlformats.org/officeDocument/2006/relationships/hyperlink" Target="Pharma/IMUX.xlsx" TargetMode="External" Id="rId432" /><Relationship Type="http://schemas.openxmlformats.org/officeDocument/2006/relationships/hyperlink" Target="Pharma/PLYX.xlsx" TargetMode="External" Id="rId433" /><Relationship Type="http://schemas.openxmlformats.org/officeDocument/2006/relationships/hyperlink" Target="Pharma/UNCY.xlsx" TargetMode="External" Id="rId434" /><Relationship Type="http://schemas.openxmlformats.org/officeDocument/2006/relationships/hyperlink" Target="Pharma/ANIX.xlsx" TargetMode="External" Id="rId435" /><Relationship Type="http://schemas.openxmlformats.org/officeDocument/2006/relationships/hyperlink" Target="Pharma/QUCY.xlsx" TargetMode="External" Id="rId436" /><Relationship Type="http://schemas.openxmlformats.org/officeDocument/2006/relationships/hyperlink" Target="Pharma/TNYA.xlsx" TargetMode="External" Id="rId437" /><Relationship Type="http://schemas.openxmlformats.org/officeDocument/2006/relationships/hyperlink" Target="Pharma/RANI.xlsx" TargetMode="External" Id="rId438" /><Relationship Type="http://schemas.openxmlformats.org/officeDocument/2006/relationships/hyperlink" Target="Pharma/RLYB.xlsx" TargetMode="External" Id="rId439" /><Relationship Type="http://schemas.openxmlformats.org/officeDocument/2006/relationships/hyperlink" Target="Pharma/NMRA.xlsx" TargetMode="External" Id="rId440" /><Relationship Type="http://schemas.openxmlformats.org/officeDocument/2006/relationships/hyperlink" Target="Pharma/MIST.xlsx" TargetMode="External" Id="rId441" /><Relationship Type="http://schemas.openxmlformats.org/officeDocument/2006/relationships/hyperlink" Target="Pharma/CRBP.xlsx" TargetMode="External" Id="rId442" /><Relationship Type="http://schemas.openxmlformats.org/officeDocument/2006/relationships/hyperlink" Target="Pharma/CNXU.xlsx" TargetMode="External" Id="rId443" /><Relationship Type="http://schemas.openxmlformats.org/officeDocument/2006/relationships/hyperlink" Target="Pharma/OKUR.xlsx" TargetMode="External" Id="rId444" /><Relationship Type="http://schemas.openxmlformats.org/officeDocument/2006/relationships/hyperlink" Target="Pharma/AARD.xlsx" TargetMode="External" Id="rId445" /><Relationship Type="http://schemas.openxmlformats.org/officeDocument/2006/relationships/hyperlink" Target="Pharma/ALP.xlsx" TargetMode="External" Id="rId446" /><Relationship Type="http://schemas.openxmlformats.org/officeDocument/2006/relationships/hyperlink" Target="Pharma/PTHS.xlsx" TargetMode="External" Id="rId447" /><Relationship Type="http://schemas.openxmlformats.org/officeDocument/2006/relationships/hyperlink" Target="Pharma/NTRB.xlsx" TargetMode="External" Id="rId448" /><Relationship Type="http://schemas.openxmlformats.org/officeDocument/2006/relationships/hyperlink" Target="Pharma/EQ.xlsx" TargetMode="External" Id="rId449" /><Relationship Type="http://schemas.openxmlformats.org/officeDocument/2006/relationships/hyperlink" Target="Pharma/OKYO.xlsx" TargetMode="External" Id="rId450" /><Relationship Type="http://schemas.openxmlformats.org/officeDocument/2006/relationships/hyperlink" Target="Pharma/PMN.xlsx" TargetMode="External" Id="rId451" /><Relationship Type="http://schemas.openxmlformats.org/officeDocument/2006/relationships/hyperlink" Target="Pharma/TELO.xlsx" TargetMode="External" Id="rId452" /><Relationship Type="http://schemas.openxmlformats.org/officeDocument/2006/relationships/hyperlink" Target="Pharma/RFL.xlsx" TargetMode="External" Id="rId453" /><Relationship Type="http://schemas.openxmlformats.org/officeDocument/2006/relationships/hyperlink" Target="Pharma/CTOR.xlsx" TargetMode="External" Id="rId454" /><Relationship Type="http://schemas.openxmlformats.org/officeDocument/2006/relationships/hyperlink" Target="Pharma/LEXX.xlsx" TargetMode="External" Id="rId455" /><Relationship Type="http://schemas.openxmlformats.org/officeDocument/2006/relationships/hyperlink" Target="Pharma/ACRV.xlsx" TargetMode="External" Id="rId456" /><Relationship Type="http://schemas.openxmlformats.org/officeDocument/2006/relationships/hyperlink" Target="Pharma/CRDF.xlsx" TargetMode="External" Id="rId457" /><Relationship Type="http://schemas.openxmlformats.org/officeDocument/2006/relationships/hyperlink" Target="Pharma/NTHI.xlsx" TargetMode="External" Id="rId458" /><Relationship Type="http://schemas.openxmlformats.org/officeDocument/2006/relationships/hyperlink" Target="Pharma/MNOV.xlsx" TargetMode="External" Id="rId459" /><Relationship Type="http://schemas.openxmlformats.org/officeDocument/2006/relationships/hyperlink" Target="Pharma/CGTX.xlsx" TargetMode="External" Id="rId460" /><Relationship Type="http://schemas.openxmlformats.org/officeDocument/2006/relationships/hyperlink" Target="Pharma/HRTX.xlsx" TargetMode="External" Id="rId461" /><Relationship Type="http://schemas.openxmlformats.org/officeDocument/2006/relationships/hyperlink" Target="Pharma/MAIA.xlsx" TargetMode="External" Id="rId462" /><Relationship Type="http://schemas.openxmlformats.org/officeDocument/2006/relationships/hyperlink" Target="Pharma/ZYBT.xlsx" TargetMode="External" Id="rId463" /><Relationship Type="http://schemas.openxmlformats.org/officeDocument/2006/relationships/hyperlink" Target="Pharma/SPRO.xlsx" TargetMode="External" Id="rId464" /><Relationship Type="http://schemas.openxmlformats.org/officeDocument/2006/relationships/hyperlink" Target="Pharma/OSTX.xlsx" TargetMode="External" Id="rId465" /><Relationship Type="http://schemas.openxmlformats.org/officeDocument/2006/relationships/hyperlink" Target="Pharma/PMVP.xlsx" TargetMode="External" Id="rId466" /><Relationship Type="http://schemas.openxmlformats.org/officeDocument/2006/relationships/hyperlink" Target="Pharma/XBIT.xlsx" TargetMode="External" Id="rId467" /><Relationship Type="http://schemas.openxmlformats.org/officeDocument/2006/relationships/hyperlink" Target="Pharma/ONCY.xlsx" TargetMode="External" Id="rId468" /><Relationship Type="http://schemas.openxmlformats.org/officeDocument/2006/relationships/hyperlink" Target="Pharma/CING.xlsx" TargetMode="External" Id="rId469" /><Relationship Type="http://schemas.openxmlformats.org/officeDocument/2006/relationships/hyperlink" Target="Pharma/PDSB.xlsx" TargetMode="External" Id="rId470" /><Relationship Type="http://schemas.openxmlformats.org/officeDocument/2006/relationships/hyperlink" Target="Pharma/NMAD.xlsx" TargetMode="External" Id="rId471" /><Relationship Type="http://schemas.openxmlformats.org/officeDocument/2006/relationships/hyperlink" Target="Pharma/FBIO.xlsx" TargetMode="External" Id="rId472" /><Relationship Type="http://schemas.openxmlformats.org/officeDocument/2006/relationships/hyperlink" Target="Pharma/VRCA.xlsx" TargetMode="External" Id="rId473" /><Relationship Type="http://schemas.openxmlformats.org/officeDocument/2006/relationships/hyperlink" Target="Pharma/BMEA.xlsx" TargetMode="External" Id="rId474" /><Relationship Type="http://schemas.openxmlformats.org/officeDocument/2006/relationships/hyperlink" Target="Pharma/GANX.xlsx" TargetMode="External" Id="rId475" /><Relationship Type="http://schemas.openxmlformats.org/officeDocument/2006/relationships/hyperlink" Target="Pharma/CNTB.xlsx" TargetMode="External" Id="rId476" /><Relationship Type="http://schemas.openxmlformats.org/officeDocument/2006/relationships/hyperlink" Target="Pharma/ALPS.xlsx" TargetMode="External" Id="rId477" /><Relationship Type="http://schemas.openxmlformats.org/officeDocument/2006/relationships/hyperlink" Target="Pharma/XLO.xlsx" TargetMode="External" Id="rId478" /><Relationship Type="http://schemas.openxmlformats.org/officeDocument/2006/relationships/hyperlink" Target="Pharma/PLRX.xlsx" TargetMode="External" Id="rId479" /><Relationship Type="http://schemas.openxmlformats.org/officeDocument/2006/relationships/hyperlink" Target="Pharma/TLPH.xlsx" TargetMode="External" Id="rId480" /><Relationship Type="http://schemas.openxmlformats.org/officeDocument/2006/relationships/hyperlink" Target="Pharma/SKYE.xlsx" TargetMode="External" Id="rId481" /><Relationship Type="http://schemas.openxmlformats.org/officeDocument/2006/relationships/hyperlink" Target="Pharma/RNTX.xlsx" TargetMode="External" Id="rId482" /><Relationship Type="http://schemas.openxmlformats.org/officeDocument/2006/relationships/hyperlink" Target="Pharma/RNXT.xlsx" TargetMode="External" Id="rId483" /><Relationship Type="http://schemas.openxmlformats.org/officeDocument/2006/relationships/hyperlink" Target="Pharma/YARW.xlsx" TargetMode="External" Id="rId484" /><Relationship Type="http://schemas.openxmlformats.org/officeDocument/2006/relationships/hyperlink" Target="Pharma/BOLD.xlsx" TargetMode="External" Id="rId485" /><Relationship Type="http://schemas.openxmlformats.org/officeDocument/2006/relationships/hyperlink" Target="Pharma/KLRS.xlsx" TargetMode="External" Id="rId486" /><Relationship Type="http://schemas.openxmlformats.org/officeDocument/2006/relationships/hyperlink" Target="Pharma/TENX.xlsx" TargetMode="External" Id="rId487" /><Relationship Type="http://schemas.openxmlformats.org/officeDocument/2006/relationships/hyperlink" Target="Pharma/INKT.xlsx" TargetMode="External" Id="rId488" /><Relationship Type="http://schemas.openxmlformats.org/officeDocument/2006/relationships/hyperlink" Target="Pharma/CRBU.xlsx" TargetMode="External" Id="rId489" /><Relationship Type="http://schemas.openxmlformats.org/officeDocument/2006/relationships/hyperlink" Target="Pharma/LONA.xlsx" TargetMode="External" Id="rId490" /><Relationship Type="http://schemas.openxmlformats.org/officeDocument/2006/relationships/hyperlink" Target="Pharma/ATHE.xlsx" TargetMode="External" Id="rId491" /><Relationship Type="http://schemas.openxmlformats.org/officeDocument/2006/relationships/hyperlink" Target="Pharma/IBIO.xlsx" TargetMode="External" Id="rId492" /><Relationship Type="http://schemas.openxmlformats.org/officeDocument/2006/relationships/hyperlink" Target="Pharma/HYPD.xlsx" TargetMode="External" Id="rId493" /><Relationship Type="http://schemas.openxmlformats.org/officeDocument/2006/relationships/hyperlink" Target="Pharma/ENLV.xlsx" TargetMode="External" Id="rId494" /><Relationship Type="http://schemas.openxmlformats.org/officeDocument/2006/relationships/hyperlink" Target="Pharma/MREO.xlsx" TargetMode="External" Id="rId495" /><Relationship Type="http://schemas.openxmlformats.org/officeDocument/2006/relationships/hyperlink" Target="Pharma/HOWL.xlsx" TargetMode="External" Id="rId496" /><Relationship Type="http://schemas.openxmlformats.org/officeDocument/2006/relationships/hyperlink" Target="Pharma/CLGN.xlsx" TargetMode="External" Id="rId497" /><Relationship Type="http://schemas.openxmlformats.org/officeDocument/2006/relationships/hyperlink" Target="Pharma/ELTX.xlsx" TargetMode="External" Id="rId498" /><Relationship Type="http://schemas.openxmlformats.org/officeDocument/2006/relationships/hyperlink" Target="Pharma/APLM.xlsx" TargetMode="External" Id="rId499" /><Relationship Type="http://schemas.openxmlformats.org/officeDocument/2006/relationships/hyperlink" Target="Pharma/TVGN.xlsx" TargetMode="External" Id="rId500" /><Relationship Type="http://schemas.openxmlformats.org/officeDocument/2006/relationships/hyperlink" Target="Pharma/INMB.xlsx" TargetMode="External" Id="rId501" /><Relationship Type="http://schemas.openxmlformats.org/officeDocument/2006/relationships/hyperlink" Target="Pharma/IMA.xlsx" TargetMode="External" Id="rId502" /><Relationship Type="http://schemas.openxmlformats.org/officeDocument/2006/relationships/hyperlink" Target="Pharma/SER.xlsx" TargetMode="External" Id="rId503" /><Relationship Type="http://schemas.openxmlformats.org/officeDocument/2006/relationships/hyperlink" Target="Pharma/SDEV.xlsx" TargetMode="External" Id="rId504" /><Relationship Type="http://schemas.openxmlformats.org/officeDocument/2006/relationships/hyperlink" Target="Pharma/LGVN.xlsx" TargetMode="External" Id="rId505" /><Relationship Type="http://schemas.openxmlformats.org/officeDocument/2006/relationships/hyperlink" Target="Pharma/ACET.xlsx" TargetMode="External" Id="rId506" /><Relationship Type="http://schemas.openxmlformats.org/officeDocument/2006/relationships/hyperlink" Target="Pharma/ANVS.xlsx" TargetMode="External" Id="rId507" /><Relationship Type="http://schemas.openxmlformats.org/officeDocument/2006/relationships/hyperlink" Target="Pharma/ALDX.xlsx" TargetMode="External" Id="rId508" /><Relationship Type="http://schemas.openxmlformats.org/officeDocument/2006/relationships/hyperlink" Target="Pharma/DWTX.xlsx" TargetMode="External" Id="rId509" /><Relationship Type="http://schemas.openxmlformats.org/officeDocument/2006/relationships/hyperlink" Target="Pharma/CELU.xlsx" TargetMode="External" Id="rId510" /><Relationship Type="http://schemas.openxmlformats.org/officeDocument/2006/relationships/hyperlink" Target="Pharma/TIL.xlsx" TargetMode="External" Id="rId511" /><Relationship Type="http://schemas.openxmlformats.org/officeDocument/2006/relationships/hyperlink" Target="Pharma/CLNN.xlsx" TargetMode="External" Id="rId512" /><Relationship Type="http://schemas.openxmlformats.org/officeDocument/2006/relationships/hyperlink" Target="Pharma/GRCE.xlsx" TargetMode="External" Id="rId513" /><Relationship Type="http://schemas.openxmlformats.org/officeDocument/2006/relationships/hyperlink" Target="Pharma/VERU.xlsx" TargetMode="External" Id="rId514" /><Relationship Type="http://schemas.openxmlformats.org/officeDocument/2006/relationships/hyperlink" Target="Pharma/BTMD.xlsx" TargetMode="External" Id="rId515" /><Relationship Type="http://schemas.openxmlformats.org/officeDocument/2006/relationships/hyperlink" Target="Pharma/BRTX.xlsx" TargetMode="External" Id="rId516" /><Relationship Type="http://schemas.openxmlformats.org/officeDocument/2006/relationships/hyperlink" Target="Pharma/EXOZ.xlsx" TargetMode="External" Id="rId517" /><Relationship Type="http://schemas.openxmlformats.org/officeDocument/2006/relationships/hyperlink" Target="Pharma/BSEM.xlsx" TargetMode="External" Id="rId518" /><Relationship Type="http://schemas.openxmlformats.org/officeDocument/2006/relationships/hyperlink" Target="Pharma/SCYX.xlsx" TargetMode="External" Id="rId519" /><Relationship Type="http://schemas.openxmlformats.org/officeDocument/2006/relationships/hyperlink" Target="Pharma/MTNB.xlsx" TargetMode="External" Id="rId520" /><Relationship Type="http://schemas.openxmlformats.org/officeDocument/2006/relationships/hyperlink" Target="Pharma/CALC.xlsx" TargetMode="External" Id="rId521" /><Relationship Type="http://schemas.openxmlformats.org/officeDocument/2006/relationships/hyperlink" Target="Pharma/IXHL.xlsx" TargetMode="External" Id="rId522" /><Relationship Type="http://schemas.openxmlformats.org/officeDocument/2006/relationships/hyperlink" Target="Pharma/NNVC.xlsx" TargetMode="External" Id="rId523" /><Relationship Type="http://schemas.openxmlformats.org/officeDocument/2006/relationships/hyperlink" Target="Pharma/ELUT.xlsx" TargetMode="External" Id="rId524" /><Relationship Type="http://schemas.openxmlformats.org/officeDocument/2006/relationships/hyperlink" Target="Pharma/LITS.xlsx" TargetMode="External" Id="rId525" /><Relationship Type="http://schemas.openxmlformats.org/officeDocument/2006/relationships/hyperlink" Target="Pharma/FLNA.xlsx" TargetMode="External" Id="rId526" /><Relationship Type="http://schemas.openxmlformats.org/officeDocument/2006/relationships/hyperlink" Target="Pharma/CRVO.xlsx" TargetMode="External" Id="rId527" /><Relationship Type="http://schemas.openxmlformats.org/officeDocument/2006/relationships/hyperlink" Target="Pharma/ATNM.xlsx" TargetMode="External" Id="rId528" /><Relationship Type="http://schemas.openxmlformats.org/officeDocument/2006/relationships/hyperlink" Target="Pharma/QNCX.xlsx" TargetMode="External" Id="rId529" /><Relationship Type="http://schemas.openxmlformats.org/officeDocument/2006/relationships/hyperlink" Target="Pharma/BIAF.xlsx" TargetMode="External" Id="rId530" /><Relationship Type="http://schemas.openxmlformats.org/officeDocument/2006/relationships/hyperlink" Target="Pharma/CVM.xlsx" TargetMode="External" Id="rId531" /><Relationship Type="http://schemas.openxmlformats.org/officeDocument/2006/relationships/hyperlink" Target="Pharma/ALGS.xlsx" TargetMode="External" Id="rId532" /><Relationship Type="http://schemas.openxmlformats.org/officeDocument/2006/relationships/hyperlink" Target="Pharma/GRDX.xlsx" TargetMode="External" Id="rId533" /><Relationship Type="http://schemas.openxmlformats.org/officeDocument/2006/relationships/hyperlink" Target="Pharma/MGX.xlsx" TargetMode="External" Id="rId534" /><Relationship Type="http://schemas.openxmlformats.org/officeDocument/2006/relationships/hyperlink" Target="Pharma/BCTX.xlsx" TargetMode="External" Id="rId535" /><Relationship Type="http://schemas.openxmlformats.org/officeDocument/2006/relationships/hyperlink" Target="Pharma/CPHI.xlsx" TargetMode="External" Id="rId536" /><Relationship Type="http://schemas.openxmlformats.org/officeDocument/2006/relationships/hyperlink" Target="Pharma/ATOS.xlsx" TargetMode="External" Id="rId537" /><Relationship Type="http://schemas.openxmlformats.org/officeDocument/2006/relationships/hyperlink" Target="Pharma/RNAZ.xlsx" TargetMode="External" Id="rId538" /><Relationship Type="http://schemas.openxmlformats.org/officeDocument/2006/relationships/hyperlink" Target="Pharma/NXTC.xlsx" TargetMode="External" Id="rId539" /><Relationship Type="http://schemas.openxmlformats.org/officeDocument/2006/relationships/hyperlink" Target="Pharma/NSRX.xlsx" TargetMode="External" Id="rId540" /><Relationship Type="http://schemas.openxmlformats.org/officeDocument/2006/relationships/hyperlink" Target="Pharma/MIRA.xlsx" TargetMode="External" Id="rId541" /><Relationship Type="http://schemas.openxmlformats.org/officeDocument/2006/relationships/hyperlink" Target="Pharma/SHPH.xlsx" TargetMode="External" Id="rId542" /><Relationship Type="http://schemas.openxmlformats.org/officeDocument/2006/relationships/hyperlink" Target="Pharma/IGC.xlsx" TargetMode="External" Id="rId543" /><Relationship Type="http://schemas.openxmlformats.org/officeDocument/2006/relationships/hyperlink" Target="Pharma/VBIO.xlsx" TargetMode="External" Id="rId544" /><Relationship Type="http://schemas.openxmlformats.org/officeDocument/2006/relationships/hyperlink" Target="Pharma/MCRB.xlsx" TargetMode="External" Id="rId545" /><Relationship Type="http://schemas.openxmlformats.org/officeDocument/2006/relationships/hyperlink" Target="Pharma/EDSA.xlsx" TargetMode="External" Id="rId546" /><Relationship Type="http://schemas.openxmlformats.org/officeDocument/2006/relationships/hyperlink" Target="Pharma/LNAI.xlsx" TargetMode="External" Id="rId547" /><Relationship Type="http://schemas.openxmlformats.org/officeDocument/2006/relationships/hyperlink" Target="Pharma/ABVC.xlsx" TargetMode="External" Id="rId548" /><Relationship Type="http://schemas.openxmlformats.org/officeDocument/2006/relationships/hyperlink" Target="Pharma/SCLX.xlsx" TargetMode="External" Id="rId549" /><Relationship Type="http://schemas.openxmlformats.org/officeDocument/2006/relationships/hyperlink" Target="Pharma/FFR.xlsx" TargetMode="External" Id="rId550" /><Relationship Type="http://schemas.openxmlformats.org/officeDocument/2006/relationships/hyperlink" Target="Pharma/EVAX.xlsx" TargetMode="External" Id="rId551" /><Relationship Type="http://schemas.openxmlformats.org/officeDocument/2006/relationships/hyperlink" Target="Pharma/BYSI.xlsx" TargetMode="External" Id="rId552" /><Relationship Type="http://schemas.openxmlformats.org/officeDocument/2006/relationships/hyperlink" Target="Pharma/CNTX.xlsx" TargetMode="External" Id="rId553" /><Relationship Type="http://schemas.openxmlformats.org/officeDocument/2006/relationships/hyperlink" Target="Pharma/TXMD.xlsx" TargetMode="External" Id="rId554" /><Relationship Type="http://schemas.openxmlformats.org/officeDocument/2006/relationships/hyperlink" Target="Pharma/KYNB.xlsx" TargetMode="External" Id="rId555" /><Relationship Type="http://schemas.openxmlformats.org/officeDocument/2006/relationships/hyperlink" Target="Pharma/AYTU.xlsx" TargetMode="External" Id="rId556" /><Relationship Type="http://schemas.openxmlformats.org/officeDocument/2006/relationships/hyperlink" Target="Pharma/COCP.xlsx" TargetMode="External" Id="rId557" /><Relationship Type="http://schemas.openxmlformats.org/officeDocument/2006/relationships/hyperlink" Target="Pharma/ESLA.xlsx" TargetMode="External" Id="rId558" /><Relationship Type="http://schemas.openxmlformats.org/officeDocument/2006/relationships/hyperlink" Target="Pharma/JAGX.xlsx" TargetMode="External" Id="rId559" /><Relationship Type="http://schemas.openxmlformats.org/officeDocument/2006/relationships/hyperlink" Target="Pharma/XTLB.xlsx" TargetMode="External" Id="rId560" /><Relationship Type="http://schemas.openxmlformats.org/officeDocument/2006/relationships/hyperlink" Target="Pharma/NEUP.xlsx" TargetMode="External" Id="rId561" /><Relationship Type="http://schemas.openxmlformats.org/officeDocument/2006/relationships/hyperlink" Target="Pharma/MRKR.xlsx" TargetMode="External" Id="rId562" /><Relationship Type="http://schemas.openxmlformats.org/officeDocument/2006/relationships/hyperlink" Target="Pharma/ATYR.xlsx" TargetMode="External" Id="rId563" /><Relationship Type="http://schemas.openxmlformats.org/officeDocument/2006/relationships/hyperlink" Target="Pharma/AKTX.xlsx" TargetMode="External" Id="rId564" /><Relationship Type="http://schemas.openxmlformats.org/officeDocument/2006/relationships/hyperlink" Target="Pharma/JSPR.xlsx" TargetMode="External" Id="rId565" /><Relationship Type="http://schemas.openxmlformats.org/officeDocument/2006/relationships/hyperlink" Target="Pharma/KAPA.xlsx" TargetMode="External" Id="rId566" /><Relationship Type="http://schemas.openxmlformats.org/officeDocument/2006/relationships/hyperlink" Target="Pharma/GNTA.xlsx" TargetMode="External" Id="rId567" /><Relationship Type="http://schemas.openxmlformats.org/officeDocument/2006/relationships/hyperlink" Target="Pharma/TCRX.xlsx" TargetMode="External" Id="rId568" /><Relationship Type="http://schemas.openxmlformats.org/officeDocument/2006/relationships/hyperlink" Target="Pharma/DYAI.xlsx" TargetMode="External" Id="rId569" /><Relationship Type="http://schemas.openxmlformats.org/officeDocument/2006/relationships/hyperlink" Target="Pharma/PLRZ.xlsx" TargetMode="External" Id="rId570" /><Relationship Type="http://schemas.openxmlformats.org/officeDocument/2006/relationships/hyperlink" Target="Pharma/ACTU.xlsx" TargetMode="External" Id="rId571" /><Relationship Type="http://schemas.openxmlformats.org/officeDocument/2006/relationships/hyperlink" Target="Pharma/ALLR.xlsx" TargetMode="External" Id="rId572" /><Relationship Type="http://schemas.openxmlformats.org/officeDocument/2006/relationships/hyperlink" Target="Pharma/KTTA.xlsx" TargetMode="External" Id="rId573" /><Relationship Type="http://schemas.openxmlformats.org/officeDocument/2006/relationships/hyperlink" Target="Pharma/BCDA.xlsx" TargetMode="External" Id="rId574" /><Relationship Type="http://schemas.openxmlformats.org/officeDocument/2006/relationships/hyperlink" Target="Pharma/LPCN.xlsx" TargetMode="External" Id="rId575" /><Relationship Type="http://schemas.openxmlformats.org/officeDocument/2006/relationships/hyperlink" Target="Pharma/NCEL.xlsx" TargetMode="External" Id="rId576" /><Relationship Type="http://schemas.openxmlformats.org/officeDocument/2006/relationships/hyperlink" Target="Pharma/TVRD.xlsx" TargetMode="External" Id="rId577" /><Relationship Type="http://schemas.openxmlformats.org/officeDocument/2006/relationships/hyperlink" Target="Pharma/RKTO.xlsx" TargetMode="External" Id="rId578" /><Relationship Type="http://schemas.openxmlformats.org/officeDocument/2006/relationships/hyperlink" Target="Pharma/HIND.xlsx" TargetMode="External" Id="rId579" /><Relationship Type="http://schemas.openxmlformats.org/officeDocument/2006/relationships/hyperlink" Target="Pharma/CNSY.xlsx" TargetMode="External" Id="rId580" /><Relationship Type="http://schemas.openxmlformats.org/officeDocument/2006/relationships/hyperlink" Target="Pharma/CTXR.xlsx" TargetMode="External" Id="rId581" /><Relationship Type="http://schemas.openxmlformats.org/officeDocument/2006/relationships/hyperlink" Target="Pharma/ARTL.xlsx" TargetMode="External" Id="rId582" /><Relationship Type="http://schemas.openxmlformats.org/officeDocument/2006/relationships/hyperlink" Target="Pharma/BFRI.xlsx" TargetMode="External" Id="rId583" /><Relationship Type="http://schemas.openxmlformats.org/officeDocument/2006/relationships/hyperlink" Target="Pharma/AEON.xlsx" TargetMode="External" Id="rId584" /><Relationship Type="http://schemas.openxmlformats.org/officeDocument/2006/relationships/hyperlink" Target="Pharma/ASBP.xlsx" TargetMode="External" Id="rId585" /><Relationship Type="http://schemas.openxmlformats.org/officeDocument/2006/relationships/hyperlink" Target="Pharma/KZIA.xlsx" TargetMode="External" Id="rId586" /><Relationship Type="http://schemas.openxmlformats.org/officeDocument/2006/relationships/hyperlink" Target="Pharma/ENSC.xlsx" TargetMode="External" Id="rId587" /><Relationship Type="http://schemas.openxmlformats.org/officeDocument/2006/relationships/hyperlink" Target="Pharma/PTN.xlsx" TargetMode="External" Id="rId588" /><Relationship Type="http://schemas.openxmlformats.org/officeDocument/2006/relationships/hyperlink" Target="Pharma/PASG.xlsx" TargetMode="External" Id="rId589" /><Relationship Type="http://schemas.openxmlformats.org/officeDocument/2006/relationships/hyperlink" Target="Pharma/DARE.xlsx" TargetMode="External" Id="rId590" /><Relationship Type="http://schemas.openxmlformats.org/officeDocument/2006/relationships/hyperlink" Target="Pharma/PLUR.xlsx" TargetMode="External" Id="rId591" /><Relationship Type="http://schemas.openxmlformats.org/officeDocument/2006/relationships/hyperlink" Target="Pharma/INAB.xlsx" TargetMode="External" Id="rId592" /><Relationship Type="http://schemas.openxmlformats.org/officeDocument/2006/relationships/hyperlink" Target="Pharma/INTS.xlsx" TargetMode="External" Id="rId593" /><Relationship Type="http://schemas.openxmlformats.org/officeDocument/2006/relationships/hyperlink" Target="Pharma/CLRB.xlsx" TargetMode="External" Id="rId594" /><Relationship Type="http://schemas.openxmlformats.org/officeDocument/2006/relationships/hyperlink" Target="Pharma/KPRX.xlsx" TargetMode="External" Id="rId595" /><Relationship Type="http://schemas.openxmlformats.org/officeDocument/2006/relationships/hyperlink" Target="Pharma/MDXH.xlsx" TargetMode="External" Id="rId596" /><Relationship Type="http://schemas.openxmlformats.org/officeDocument/2006/relationships/hyperlink" Target="Pharma/QNTM.xlsx" TargetMode="External" Id="rId597" /><Relationship Type="http://schemas.openxmlformats.org/officeDocument/2006/relationships/hyperlink" Target="Pharma/GDTC.xlsx" TargetMode="External" Id="rId598" /><Relationship Type="http://schemas.openxmlformats.org/officeDocument/2006/relationships/hyperlink" Target="Pharma/PHIO.xlsx" TargetMode="External" Id="rId599" /><Relationship Type="http://schemas.openxmlformats.org/officeDocument/2006/relationships/hyperlink" Target="Pharma/TPST.xlsx" TargetMode="External" Id="rId600" /><Relationship Type="http://schemas.openxmlformats.org/officeDocument/2006/relationships/hyperlink" Target="Pharma/PBM.xlsx" TargetMode="External" Id="rId601" /><Relationship Type="http://schemas.openxmlformats.org/officeDocument/2006/relationships/hyperlink" Target="Pharma/TOVX.xlsx" TargetMode="External" Id="rId602" /><Relationship Type="http://schemas.openxmlformats.org/officeDocument/2006/relationships/hyperlink" Target="Pharma/LSTA.xlsx" TargetMode="External" Id="rId603" /><Relationship Type="http://schemas.openxmlformats.org/officeDocument/2006/relationships/hyperlink" Target="Pharma/CMMB.xlsx" TargetMode="External" Id="rId604" /><Relationship Type="http://schemas.openxmlformats.org/officeDocument/2006/relationships/hyperlink" Target="Pharma/ADIL.xlsx" TargetMode="External" Id="rId605" /><Relationship Type="http://schemas.openxmlformats.org/officeDocument/2006/relationships/hyperlink" Target="Pharma/MTVA.xlsx" TargetMode="External" Id="rId606" /><Relationship Type="http://schemas.openxmlformats.org/officeDocument/2006/relationships/hyperlink" Target="Pharma/VTGN.xlsx" TargetMode="External" Id="rId607" /><Relationship Type="http://schemas.openxmlformats.org/officeDocument/2006/relationships/hyperlink" Target="Pharma/KPTI.xlsx" TargetMode="External" Id="rId608" /><Relationship Type="http://schemas.openxmlformats.org/officeDocument/2006/relationships/hyperlink" Target="Pharma/LTRN.xlsx" TargetMode="External" Id="rId609" /><Relationship Type="http://schemas.openxmlformats.org/officeDocument/2006/relationships/hyperlink" Target="Pharma/BIVI.xlsx" TargetMode="External" Id="rId610" /><Relationship Type="http://schemas.openxmlformats.org/officeDocument/2006/relationships/hyperlink" Target="Pharma/IMCC.xlsx" TargetMode="External" Id="rId611" /><Relationship Type="http://schemas.openxmlformats.org/officeDocument/2006/relationships/hyperlink" Target="Pharma/BOLT.xlsx" TargetMode="External" Id="rId612" /><Relationship Type="http://schemas.openxmlformats.org/officeDocument/2006/relationships/hyperlink" Target="Pharma/RGNT.xlsx" TargetMode="External" Id="rId613" /><Relationship Type="http://schemas.openxmlformats.org/officeDocument/2006/relationships/hyperlink" Target="Pharma/IMRN.xlsx" TargetMode="External" Id="rId614" /><Relationship Type="http://schemas.openxmlformats.org/officeDocument/2006/relationships/hyperlink" Target="Pharma/SNGX.xlsx" TargetMode="External" Id="rId615" /><Relationship Type="http://schemas.openxmlformats.org/officeDocument/2006/relationships/hyperlink" Target="Pharma/APRE.xlsx" TargetMode="External" Id="rId616" /><Relationship Type="http://schemas.openxmlformats.org/officeDocument/2006/relationships/hyperlink" Target="Pharma/INM.xlsx" TargetMode="External" Id="rId617" /><Relationship Type="http://schemas.openxmlformats.org/officeDocument/2006/relationships/hyperlink" Target="Pharma/XCUR.xlsx" TargetMode="External" Id="rId618" /><Relationship Type="http://schemas.openxmlformats.org/officeDocument/2006/relationships/hyperlink" Target="Pharma/CNSP.xlsx" TargetMode="External" Id="rId619" /><Relationship Type="http://schemas.openxmlformats.org/officeDocument/2006/relationships/hyperlink" Target="Pharma/SNTI.xlsx" TargetMode="External" Id="rId620" /><Relationship Type="http://schemas.openxmlformats.org/officeDocument/2006/relationships/hyperlink" Target="Pharma/TCRT.xlsx" TargetMode="External" Id="rId621" /><Relationship Type="http://schemas.openxmlformats.org/officeDocument/2006/relationships/hyperlink" Target="Pharma/FBLG.xlsx" TargetMode="External" Id="rId622" /><Relationship Type="http://schemas.openxmlformats.org/officeDocument/2006/relationships/hyperlink" Target="Pharma/ALZN.xlsx" TargetMode="External" Id="rId623" /><Relationship Type="http://schemas.openxmlformats.org/officeDocument/2006/relationships/hyperlink" Target="Pharma/TRAW.xlsx" TargetMode="External" Id="rId624" /><Relationship Type="http://schemas.openxmlformats.org/officeDocument/2006/relationships/hyperlink" Target="Pharma/ENVB.xlsx" TargetMode="External" Id="rId625" /><Relationship Type="http://schemas.openxmlformats.org/officeDocument/2006/relationships/hyperlink" Target="Pharma/BGMS.xlsx" TargetMode="External" Id="rId626" /><Relationship Type="http://schemas.openxmlformats.org/officeDocument/2006/relationships/hyperlink" Target="Pharma/APUS.xlsx" TargetMode="External" Id="rId627" /><Relationship Type="http://schemas.openxmlformats.org/officeDocument/2006/relationships/hyperlink" Target="Pharma/HLSQ.xlsx" TargetMode="External" Id="rId628" /><Relationship Type="http://schemas.openxmlformats.org/officeDocument/2006/relationships/hyperlink" Target="Pharma/ACXP.xlsx" TargetMode="External" Id="rId629" /><Relationship Type="http://schemas.openxmlformats.org/officeDocument/2006/relationships/hyperlink" Target="Pharma/IMNN.xlsx" TargetMode="External" Id="rId630" /><Relationship Type="http://schemas.openxmlformats.org/officeDocument/2006/relationships/hyperlink" Target="Pharma/AQB.xlsx" TargetMode="External" Id="rId631" /><Relationship Type="http://schemas.openxmlformats.org/officeDocument/2006/relationships/hyperlink" Target="Pharma/MBRX.xlsx" TargetMode="External" Id="rId632" /><Relationship Type="http://schemas.openxmlformats.org/officeDocument/2006/relationships/hyperlink" Target="Pharma/SNOA.xlsx" TargetMode="External" Id="rId633" /><Relationship Type="http://schemas.openxmlformats.org/officeDocument/2006/relationships/hyperlink" Target="Pharma/PULM.xlsx" TargetMode="External" Id="rId634" /><Relationship Type="http://schemas.openxmlformats.org/officeDocument/2006/relationships/hyperlink" Target="Pharma/AIM.xlsx" TargetMode="External" Id="rId635" /><Relationship Type="http://schemas.openxmlformats.org/officeDocument/2006/relationships/hyperlink" Target="Pharma/CDIO.xlsx" TargetMode="External" Id="rId636" /><Relationship Type="http://schemas.openxmlformats.org/officeDocument/2006/relationships/hyperlink" Target="Pharma/CELZ.xlsx" TargetMode="External" Id="rId637" /><Relationship Type="http://schemas.openxmlformats.org/officeDocument/2006/relationships/hyperlink" Target="Pharma/GELS.xlsx" TargetMode="External" Id="rId638" /><Relationship Type="http://schemas.openxmlformats.org/officeDocument/2006/relationships/hyperlink" Target="Pharma/PCSA.xlsx" TargetMode="External" Id="rId639" /><Relationship Type="http://schemas.openxmlformats.org/officeDocument/2006/relationships/hyperlink" Target="Pharma/XBIO.xlsx" TargetMode="External" Id="rId640" /><Relationship Type="http://schemas.openxmlformats.org/officeDocument/2006/relationships/hyperlink" Target="Pharma/QCLS.xlsx" TargetMode="External" Id="rId641" /><Relationship Type="http://schemas.openxmlformats.org/officeDocument/2006/relationships/hyperlink" Target="Pharma/AZTR.xlsx" TargetMode="External" Id="rId642" /><Relationship Type="http://schemas.openxmlformats.org/officeDocument/2006/relationships/hyperlink" Target="Pharma/NCNA.xlsx" TargetMode="External" Id="rId643" /><Relationship Type="http://schemas.openxmlformats.org/officeDocument/2006/relationships/hyperlink" Target="Pharma/YCBD.xlsx" TargetMode="External" Id="rId644" /><Relationship Type="http://schemas.openxmlformats.org/officeDocument/2006/relationships/hyperlink" Target="Pharma/CVKD.xlsx" TargetMode="External" Id="rId645" /><Relationship Type="http://schemas.openxmlformats.org/officeDocument/2006/relationships/hyperlink" Target="Pharma/PMCB.xlsx" TargetMode="External" Id="rId646" /><Relationship Type="http://schemas.openxmlformats.org/officeDocument/2006/relationships/hyperlink" Target="Pharma/KALA.xlsx" TargetMode="External" Id="rId647" /><Relationship Type="http://schemas.openxmlformats.org/officeDocument/2006/relationships/hyperlink" Target="Pharma/ERNA.xlsx" TargetMode="External" Id="rId648" /><Relationship Type="http://schemas.openxmlformats.org/officeDocument/2006/relationships/hyperlink" Target="Pharma/SNES.xlsx" TargetMode="External" Id="rId649" /><Relationship Type="http://schemas.openxmlformats.org/officeDocument/2006/relationships/hyperlink" Target="Pharma/DRMA.xlsx" TargetMode="External" Id="rId650" /><Relationship Type="http://schemas.openxmlformats.org/officeDocument/2006/relationships/hyperlink" Target="Pharma/EVGN.xlsx" TargetMode="External" Id="rId651" /><Relationship Type="http://schemas.openxmlformats.org/officeDocument/2006/relationships/hyperlink" Target="Pharma/APVO.xlsx" TargetMode="External" Id="rId652" /><Relationship Type="http://schemas.openxmlformats.org/officeDocument/2006/relationships/hyperlink" Target="Pharma/SXTP.xlsx" TargetMode="External" Id="rId653" /><Relationship Type="http://schemas.openxmlformats.org/officeDocument/2006/relationships/hyperlink" Target="Pharma/GRI.xlsx" TargetMode="External" Id="rId654" /><Relationship Type="http://schemas.openxmlformats.org/officeDocument/2006/relationships/hyperlink" Target="Pharma/EOCN.xlsx" TargetMode="External" Id="rId655" /><Relationship Type="http://schemas.openxmlformats.org/officeDocument/2006/relationships/hyperlink" Target="Pharma/MBIO.xlsx" TargetMode="External" Id="rId656" /><Relationship Type="http://schemas.openxmlformats.org/officeDocument/2006/relationships/hyperlink" Target="Pharma/SCNI.xlsx" TargetMode="External" Id="rId657" /><Relationship Type="http://schemas.openxmlformats.org/officeDocument/2006/relationships/hyperlink" Target="Pharma/RDHL.xlsx" TargetMode="External" Id="rId658" /><Relationship Type="http://schemas.openxmlformats.org/officeDocument/2006/relationships/hyperlink" Target="Pharma/CANF.xlsx" TargetMode="External" Id="rId659" /><Relationship Type="http://schemas.openxmlformats.org/officeDocument/2006/relationships/hyperlink" Target="Pharma/AKAN.xlsx" TargetMode="External" Id="rId660" /><Relationship Type="http://schemas.openxmlformats.org/officeDocument/2006/relationships/hyperlink" Target="Pharma/UPC.xlsx" TargetMode="External" Id="rId661" /><Relationship Type="http://schemas.openxmlformats.org/officeDocument/2006/relationships/hyperlink" Target="Pharma/VIVS.xlsx" TargetMode="External" Id="rId662" /><Relationship Type="http://schemas.openxmlformats.org/officeDocument/2006/relationships/hyperlink" Target="Pharma/HCWB.xlsx" TargetMode="External" Id="rId663" /><Relationship Type="http://schemas.openxmlformats.org/officeDocument/2006/relationships/hyperlink" Target="Pharma/CLDI.xlsx" TargetMode="External" Id="rId664" /><Relationship Type="http://schemas.openxmlformats.org/officeDocument/2006/relationships/hyperlink" Target="Pharma/JUNS.xlsx" TargetMode="External" Id="rId665" /><Relationship Type="http://schemas.openxmlformats.org/officeDocument/2006/relationships/hyperlink" Target="Pharma/PPCB.xlsx" TargetMode="External" Id="rId666" /><Relationship Type="http://schemas.openxmlformats.org/officeDocument/2006/relationships/hyperlink" Target="Pharma/OGEN.xlsx" TargetMode="External" Id="rId667" /><Relationship Type="http://schemas.openxmlformats.org/officeDocument/2006/relationships/hyperlink" Target="Pharma/REVB.xlsx" TargetMode="External" Id="rId668" /><Relationship Type="http://schemas.openxmlformats.org/officeDocument/2006/relationships/hyperlink" Target="Pharma/ONCO.xlsx" TargetMode="External" Id="rId669" /><Relationship Type="http://schemas.openxmlformats.org/officeDocument/2006/relationships/hyperlink" Target="Pharma/SILO.xlsx" TargetMode="External" Id="rId670" /><Relationship Type="http://schemas.openxmlformats.org/officeDocument/2006/relationships/hyperlink" Target="Pharma/GOVX.xlsx" TargetMode="External" Id="rId671" /><Relationship Type="http://schemas.openxmlformats.org/officeDocument/2006/relationships/hyperlink" Target="Pharma/GNPX.xlsx" TargetMode="External" Id="rId672" /><Relationship Type="http://schemas.openxmlformats.org/officeDocument/2006/relationships/hyperlink" Target="Pharma/LABT.xlsx" TargetMode="External" Id="rId673" /><Relationship Type="http://schemas.openxmlformats.org/officeDocument/2006/relationships/hyperlink" Target="Pharma/BBLG.xlsx" TargetMode="External" Id="rId674" /><Relationship Type="http://schemas.openxmlformats.org/officeDocument/2006/relationships/hyperlink" Target="Pharma/PPBT.xlsx" TargetMode="External" Id="rId67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6"/>
  <sheetViews>
    <sheetView showGridLines="0" workbookViewId="0">
      <pane xSplit="1" ySplit="17" topLeftCell="B18" activePane="bottomRight" state="frozen"/>
      <selection pane="topRight" activeCell="A1" sqref="A1"/>
      <selection pane="bottomLeft" activeCell="A1" sqref="A1"/>
      <selection pane="bottomRight" activeCell="A36" sqref="A36"/>
    </sheetView>
  </sheetViews>
  <sheetFormatPr baseColWidth="10" defaultColWidth="8.83203125" defaultRowHeight="16"/>
  <cols>
    <col width="3" customWidth="1" style="45" min="1" max="1"/>
    <col width="5" customWidth="1" style="45" min="2" max="2"/>
    <col width="8" customWidth="1" style="45" min="3" max="3"/>
    <col width="34" customWidth="1" style="45" min="4" max="4"/>
    <col width="7" customWidth="1" style="45" min="5" max="5"/>
    <col width="9" customWidth="1" style="45" min="6" max="6"/>
    <col width="14" customWidth="1" style="45" min="7" max="7"/>
    <col width="12" customWidth="1" style="45" min="8" max="8"/>
    <col width="10" customWidth="1" style="45" min="9" max="9"/>
    <col width="9" customWidth="1" style="45" min="10" max="10"/>
    <col width="12" customWidth="1" style="45" min="11" max="11"/>
    <col width="11" customWidth="1" style="45" min="12" max="12"/>
    <col width="10" customWidth="1" style="45" min="13" max="13"/>
    <col width="9" customWidth="1" style="45" min="14" max="14"/>
    <col width="7" customWidth="1" style="45" min="15" max="15"/>
    <col width="11" customWidth="1" style="45" min="16" max="16"/>
    <col width="12" customWidth="1" style="45" min="17" max="17"/>
    <col width="60" customWidth="1" style="45" min="18" max="18"/>
  </cols>
  <sheetData>
    <row r="2" ht="19" customHeight="1" s="45">
      <c r="B2" s="19" t="inlineStr">
        <is>
          <t>Recommendations: model-weighted long/short portfolio (100% gross)</t>
        </is>
      </c>
    </row>
    <row r="3">
      <c r="B3" s="20" t="n"/>
    </row>
    <row r="5">
      <c r="B5" s="21" t="inlineStr">
        <is>
          <t>Summary</t>
        </is>
      </c>
      <c r="H5" s="21" t="inlineStr">
        <is>
          <t>How the weights are set</t>
        </is>
      </c>
    </row>
    <row r="6">
      <c r="C6" s="44" t="inlineStr">
        <is>
          <t>Long book</t>
        </is>
      </c>
      <c r="F6" s="46" t="n">
        <v>0.6</v>
      </c>
      <c r="H6" s="23" t="inlineStr">
        <is>
          <t>Universe: the 168 models with a valuation (DCF or rNPV). Net-cash and no-data tickers are left out.</t>
        </is>
      </c>
    </row>
    <row r="7">
      <c r="C7" s="44" t="inlineStr">
        <is>
          <t>Short book</t>
        </is>
      </c>
      <c r="F7" s="47" t="n">
        <v>-0.4</v>
      </c>
      <c r="H7" s="23" t="inlineStr">
        <is>
          <t>Liquidity: price at least $5 and market cap at least $1B, so micro-caps and penny stocks can't drive the book.</t>
        </is>
      </c>
    </row>
    <row r="8">
      <c r="C8" s="44" t="inlineStr">
        <is>
          <t>Gross exposure</t>
        </is>
      </c>
      <c r="F8" s="46" t="n">
        <v>1</v>
      </c>
      <c r="H8" s="23" t="inlineStr">
        <is>
          <t>Signal: long if upside is +15% or more, short if -15% or less; upside clipped to +100% / -60%.</t>
        </is>
      </c>
    </row>
    <row r="9">
      <c r="C9" s="44" t="inlineStr">
        <is>
          <t>Net exposure</t>
        </is>
      </c>
      <c r="F9" s="46" t="n">
        <v>0.2</v>
      </c>
      <c r="H9" s="23" t="inlineStr">
        <is>
          <t>Score = upside × model confidence × size factor. Confidence: reviewed or full DCF 1.0, rNPV 0.7, basic DCF 0.5, basic DCF with an operating loss today 0.25.</t>
        </is>
      </c>
    </row>
    <row r="10">
      <c r="C10" s="44" t="inlineStr">
        <is>
          <t>Long positions</t>
        </is>
      </c>
      <c r="F10" s="25" t="n">
        <v>16</v>
      </c>
      <c r="H10" s="23" t="inlineStr">
        <is>
          <t>Size factor rises from 0.25 at $1B to 1.0 at $100B+ (log scale).</t>
        </is>
      </c>
    </row>
    <row r="11">
      <c r="C11" s="44" t="inlineStr">
        <is>
          <t>Short positions</t>
        </is>
      </c>
      <c r="F11" s="25" t="n">
        <v>28</v>
      </c>
      <c r="H11" s="23" t="inlineStr">
        <is>
          <t>Books: 60% long / 40% short. Caps: 8% for $50B+, 6% for $10–50B, 4% for $3–10B, 2% for $1–3B; positions under 0.5% are dropped.</t>
        </is>
      </c>
    </row>
    <row r="12">
      <c r="C12" s="44" t="inlineStr">
        <is>
          <t>Weighted upside, longs</t>
        </is>
      </c>
      <c r="F12" s="48" t="n">
        <v>0.4258577485393099</v>
      </c>
      <c r="H12" s="23" t="inlineStr">
        <is>
          <t>Basic DCFs use GAAP margins and no pipeline, so they lean negative for acquisitive big pharma; that's why they get half weight.</t>
        </is>
      </c>
    </row>
    <row r="13">
      <c r="C13" s="44" t="inlineStr">
        <is>
          <t>Weighted upside, shorts</t>
        </is>
      </c>
      <c r="F13" s="48" t="n">
        <v>-0.5060410796763715</v>
      </c>
    </row>
    <row r="14">
      <c r="C14" s="44" t="inlineStr">
        <is>
          <t>Valuation models in universe</t>
        </is>
      </c>
      <c r="F14" s="25" t="n">
        <v>168</v>
      </c>
    </row>
    <row r="15">
      <c r="C15" s="44" t="inlineStr">
        <is>
          <t>Positions after filters</t>
        </is>
      </c>
      <c r="F15" s="25" t="n">
        <v>44</v>
      </c>
    </row>
    <row r="17">
      <c r="B17" s="27" t="inlineStr">
        <is>
          <t>#</t>
        </is>
      </c>
      <c r="C17" s="28" t="inlineStr">
        <is>
          <t>Ticker</t>
        </is>
      </c>
      <c r="D17" s="28" t="inlineStr">
        <is>
          <t>Company</t>
        </is>
      </c>
      <c r="E17" s="27" t="inlineStr">
        <is>
          <t>Side</t>
        </is>
      </c>
      <c r="F17" s="27" t="inlineStr">
        <is>
          <t>Weight</t>
        </is>
      </c>
      <c r="G17" s="28" t="inlineStr">
        <is>
          <t>Model</t>
        </is>
      </c>
      <c r="H17" s="27" t="inlineStr">
        <is>
          <t>Value / share</t>
        </is>
      </c>
      <c r="I17" s="27" t="inlineStr">
        <is>
          <t>Price</t>
        </is>
      </c>
      <c r="J17" s="27" t="inlineStr">
        <is>
          <t>Upside</t>
        </is>
      </c>
      <c r="K17" s="27" t="inlineStr">
        <is>
          <t>Mkt cap ($B)</t>
        </is>
      </c>
      <c r="L17" s="27" t="inlineStr">
        <is>
          <t>Confidence</t>
        </is>
      </c>
      <c r="M17" s="27" t="inlineStr">
        <is>
          <t>Size factor</t>
        </is>
      </c>
      <c r="N17" s="27" t="inlineStr">
        <is>
          <t>Cap</t>
        </is>
      </c>
      <c r="O17" s="27" t="inlineStr">
        <is>
          <t>Score</t>
        </is>
      </c>
      <c r="P17" s="27" t="inlineStr">
        <is>
          <t>Live upside</t>
        </is>
      </c>
      <c r="Q17" s="27" t="inlineStr">
        <is>
          <t>Event</t>
        </is>
      </c>
      <c r="R17" s="28" t="inlineStr">
        <is>
          <t>Note(s)</t>
        </is>
      </c>
    </row>
    <row r="18">
      <c r="C18" s="21" t="inlineStr">
        <is>
          <t>Longs</t>
        </is>
      </c>
    </row>
    <row r="19">
      <c r="B19" s="29" t="n">
        <v>1</v>
      </c>
      <c r="C19" s="30" t="inlineStr">
        <is>
          <t>SNY</t>
        </is>
      </c>
      <c r="D19" s="30" t="inlineStr">
        <is>
          <t>Sanofi SA</t>
        </is>
      </c>
      <c r="E19" s="31" t="inlineStr">
        <is>
          <t>Long</t>
        </is>
      </c>
      <c r="F19" s="49" t="n">
        <v>0.08</v>
      </c>
      <c r="G19" s="30" t="inlineStr">
        <is>
          <t>Reviewed DCF</t>
        </is>
      </c>
      <c r="H19" s="50" t="n">
        <v>66.82246940644551</v>
      </c>
      <c r="I19" s="50" t="n">
        <v>41.4</v>
      </c>
      <c r="J19" s="51" t="n">
        <v>0.6140693093344325</v>
      </c>
      <c r="K19" s="52" t="n">
        <v>100.9685635488</v>
      </c>
      <c r="L19" s="36" t="n">
        <v>1</v>
      </c>
      <c r="M19" s="36" t="n">
        <v>1</v>
      </c>
      <c r="N19" s="37" t="n">
        <v>0.08</v>
      </c>
      <c r="O19" s="38" t="n">
        <v>0.6140693093344325</v>
      </c>
      <c r="P19" s="51">
        <f>IFERROR(INDEX(Pharma!$K$3:$K$677,MATCH($C19,Pharma!$B$3:$B$677,0)),"")</f>
        <v/>
      </c>
      <c r="Q19" s="53">
        <f>IFERROR(IF(INDEX(Pharma!$M$3:$M$677,MATCH($C19,Pharma!$B$3:$B$677,0))="","",INDEX(Pharma!$M$3:$M$677,MATCH($C19,Pharma!$B$3:$B$677,0))),"")</f>
        <v/>
      </c>
      <c r="R19" s="30">
        <f>IFERROR(T(INDEX(Pharma!$N$3:$N$677,MATCH($C19,Pharma!$B$3:$B$677,0))),"")</f>
        <v/>
      </c>
    </row>
    <row r="20">
      <c r="B20" s="29" t="n">
        <v>2</v>
      </c>
      <c r="C20" s="30" t="inlineStr">
        <is>
          <t>GSK</t>
        </is>
      </c>
      <c r="D20" s="30" t="inlineStr">
        <is>
          <t>GSK plc</t>
        </is>
      </c>
      <c r="E20" s="31" t="inlineStr">
        <is>
          <t>Long</t>
        </is>
      </c>
      <c r="F20" s="49" t="n">
        <v>0.08</v>
      </c>
      <c r="G20" s="30" t="inlineStr">
        <is>
          <t>Reviewed DCF</t>
        </is>
      </c>
      <c r="H20" s="50" t="n">
        <v>66.38616887121952</v>
      </c>
      <c r="I20" s="50" t="n">
        <v>50.645</v>
      </c>
      <c r="J20" s="51" t="n">
        <v>0.3108138783931191</v>
      </c>
      <c r="K20" s="52" t="n">
        <v>109.277856670885</v>
      </c>
      <c r="L20" s="36" t="n">
        <v>1</v>
      </c>
      <c r="M20" s="36" t="n">
        <v>1</v>
      </c>
      <c r="N20" s="37" t="n">
        <v>0.08</v>
      </c>
      <c r="O20" s="38" t="n">
        <v>0.3108138783931191</v>
      </c>
      <c r="P20" s="51">
        <f>IFERROR(INDEX(Pharma!$K$3:$K$677,MATCH($C20,Pharma!$B$3:$B$677,0)),"")</f>
        <v/>
      </c>
      <c r="Q20" s="53">
        <f>IFERROR(IF(INDEX(Pharma!$M$3:$M$677,MATCH($C20,Pharma!$B$3:$B$677,0))="","",INDEX(Pharma!$M$3:$M$677,MATCH($C20,Pharma!$B$3:$B$677,0))),"")</f>
        <v/>
      </c>
      <c r="R20" s="30">
        <f>IFERROR(T(INDEX(Pharma!$N$3:$N$677,MATCH($C20,Pharma!$B$3:$B$677,0))),"")</f>
        <v/>
      </c>
    </row>
    <row r="21">
      <c r="B21" s="29" t="n">
        <v>3</v>
      </c>
      <c r="C21" s="30" t="inlineStr">
        <is>
          <t>ZTS</t>
        </is>
      </c>
      <c r="D21" s="30" t="inlineStr">
        <is>
          <t>Zoetis Inc</t>
        </is>
      </c>
      <c r="E21" s="31" t="inlineStr">
        <is>
          <t>Long</t>
        </is>
      </c>
      <c r="F21" s="49" t="n">
        <v>0.06</v>
      </c>
      <c r="G21" s="30" t="inlineStr">
        <is>
          <t>Reviewed DCF</t>
        </is>
      </c>
      <c r="H21" s="50" t="n">
        <v>103.1981739220913</v>
      </c>
      <c r="I21" s="50" t="n">
        <v>80.04000000000001</v>
      </c>
      <c r="J21" s="51" t="n">
        <v>0.2893325077722546</v>
      </c>
      <c r="K21" s="52" t="n">
        <v>33.07441710408001</v>
      </c>
      <c r="L21" s="36" t="n">
        <v>1</v>
      </c>
      <c r="M21" s="36" t="n">
        <v>0.8198095746328454</v>
      </c>
      <c r="N21" s="37" t="n">
        <v>0.06</v>
      </c>
      <c r="O21" s="38" t="n">
        <v>0.2371975601242265</v>
      </c>
      <c r="P21" s="51">
        <f>IFERROR(INDEX(Pharma!$K$3:$K$677,MATCH($C21,Pharma!$B$3:$B$677,0)),"")</f>
        <v/>
      </c>
      <c r="Q21" s="53">
        <f>IFERROR(IF(INDEX(Pharma!$M$3:$M$677,MATCH($C21,Pharma!$B$3:$B$677,0))="","",INDEX(Pharma!$M$3:$M$677,MATCH($C21,Pharma!$B$3:$B$677,0))),"")</f>
        <v/>
      </c>
      <c r="R21" s="30">
        <f>IFERROR(T(INDEX(Pharma!$N$3:$N$677,MATCH($C21,Pharma!$B$3:$B$677,0))),"")</f>
        <v/>
      </c>
    </row>
    <row r="22">
      <c r="B22" s="29" t="n">
        <v>4</v>
      </c>
      <c r="C22" s="30" t="inlineStr">
        <is>
          <t>NBIX</t>
        </is>
      </c>
      <c r="D22" s="30" t="inlineStr">
        <is>
          <t>Neurocrine Biosciences, Inc.</t>
        </is>
      </c>
      <c r="E22" s="31" t="inlineStr">
        <is>
          <t>Long</t>
        </is>
      </c>
      <c r="F22" s="49" t="n">
        <v>0.06</v>
      </c>
      <c r="G22" s="30" t="inlineStr">
        <is>
          <t>Reviewed DCF</t>
        </is>
      </c>
      <c r="H22" s="50" t="n">
        <v>166.5269222105302</v>
      </c>
      <c r="I22" s="50" t="n">
        <v>142</v>
      </c>
      <c r="J22" s="51" t="n">
        <v>0.1727248042995084</v>
      </c>
      <c r="K22" s="52" t="n">
        <v>14.434183702</v>
      </c>
      <c r="L22" s="36" t="n">
        <v>1</v>
      </c>
      <c r="M22" s="36" t="n">
        <v>0.6847720855776085</v>
      </c>
      <c r="N22" s="37" t="n">
        <v>0.06</v>
      </c>
      <c r="O22" s="38" t="n">
        <v>0.1182771244711587</v>
      </c>
      <c r="P22" s="51">
        <f>IFERROR(INDEX(Pharma!$K$3:$K$677,MATCH($C22,Pharma!$B$3:$B$677,0)),"")</f>
        <v/>
      </c>
      <c r="Q22" s="53">
        <f>IFERROR(IF(INDEX(Pharma!$M$3:$M$677,MATCH($C22,Pharma!$B$3:$B$677,0))="","",INDEX(Pharma!$M$3:$M$677,MATCH($C22,Pharma!$B$3:$B$677,0))),"")</f>
        <v/>
      </c>
      <c r="R22" s="30">
        <f>IFERROR(T(INDEX(Pharma!$N$3:$N$677,MATCH($C22,Pharma!$B$3:$B$677,0))),"")</f>
        <v/>
      </c>
    </row>
    <row r="23">
      <c r="B23" s="29" t="n">
        <v>5</v>
      </c>
      <c r="C23" s="30" t="inlineStr">
        <is>
          <t>ALNY</t>
        </is>
      </c>
      <c r="D23" s="30" t="inlineStr">
        <is>
          <t>Alnylam Pharmaceuticals, Inc.</t>
        </is>
      </c>
      <c r="E23" s="31" t="inlineStr">
        <is>
          <t>Long</t>
        </is>
      </c>
      <c r="F23" s="49" t="n">
        <v>0.05952950315698388</v>
      </c>
      <c r="G23" s="30" t="inlineStr">
        <is>
          <t>Basic DCF</t>
        </is>
      </c>
      <c r="H23" s="50" t="n">
        <v>288.2995385844779</v>
      </c>
      <c r="I23" s="50" t="n">
        <v>230.71</v>
      </c>
      <c r="J23" s="51" t="n">
        <v>0.2496187360083131</v>
      </c>
      <c r="K23" s="52" t="n">
        <v>30.87110161378</v>
      </c>
      <c r="L23" s="36" t="n">
        <v>0.5</v>
      </c>
      <c r="M23" s="36" t="n">
        <v>0.8085820477206257</v>
      </c>
      <c r="N23" s="37" t="n">
        <v>0.06</v>
      </c>
      <c r="O23" s="38" t="n">
        <v>0.100918614355518</v>
      </c>
      <c r="P23" s="51">
        <f>IFERROR(INDEX(Pharma!$K$3:$K$677,MATCH($C23,Pharma!$B$3:$B$677,0)),"")</f>
        <v/>
      </c>
      <c r="Q23" s="53">
        <f>IFERROR(IF(INDEX(Pharma!$M$3:$M$677,MATCH($C23,Pharma!$B$3:$B$677,0))="","",INDEX(Pharma!$M$3:$M$677,MATCH($C23,Pharma!$B$3:$B$677,0))),"")</f>
        <v/>
      </c>
      <c r="R23" s="30">
        <f>IFERROR(T(INDEX(Pharma!$N$3:$N$677,MATCH($C23,Pharma!$B$3:$B$677,0))),"")</f>
        <v/>
      </c>
    </row>
    <row r="24">
      <c r="B24" s="29" t="n">
        <v>6</v>
      </c>
      <c r="C24" s="30" t="inlineStr">
        <is>
          <t>BMY</t>
        </is>
      </c>
      <c r="D24" s="30" t="inlineStr">
        <is>
          <t>Bristol-Myers Squibb Company</t>
        </is>
      </c>
      <c r="E24" s="31" t="inlineStr">
        <is>
          <t>Long</t>
        </is>
      </c>
      <c r="F24" s="49" t="n">
        <v>0.04698169102044968</v>
      </c>
      <c r="G24" s="30" t="inlineStr">
        <is>
          <t>Basic DCF</t>
        </is>
      </c>
      <c r="H24" s="50" t="n">
        <v>71.54578944152681</v>
      </c>
      <c r="I24" s="50" t="n">
        <v>61.715</v>
      </c>
      <c r="J24" s="51" t="n">
        <v>0.1592933556109017</v>
      </c>
      <c r="K24" s="52" t="n">
        <v>126.06613499504</v>
      </c>
      <c r="L24" s="36" t="n">
        <v>0.5</v>
      </c>
      <c r="M24" s="36" t="n">
        <v>1</v>
      </c>
      <c r="N24" s="37" t="n">
        <v>0.08</v>
      </c>
      <c r="O24" s="38" t="n">
        <v>0.07964667780545087</v>
      </c>
      <c r="P24" s="51">
        <f>IFERROR(INDEX(Pharma!$K$3:$K$677,MATCH($C24,Pharma!$B$3:$B$677,0)),"")</f>
        <v/>
      </c>
      <c r="Q24" s="53">
        <f>IFERROR(IF(INDEX(Pharma!$M$3:$M$677,MATCH($C24,Pharma!$B$3:$B$677,0))="","",INDEX(Pharma!$M$3:$M$677,MATCH($C24,Pharma!$B$3:$B$677,0))),"")</f>
        <v/>
      </c>
      <c r="R24" s="30">
        <f>IFERROR(T(INDEX(Pharma!$N$3:$N$677,MATCH($C24,Pharma!$B$3:$B$677,0))),"")</f>
        <v/>
      </c>
    </row>
    <row r="25">
      <c r="B25" s="29" t="n">
        <v>7</v>
      </c>
      <c r="C25" s="30" t="inlineStr">
        <is>
          <t>NVS</t>
        </is>
      </c>
      <c r="D25" s="30" t="inlineStr">
        <is>
          <t>Novartis AG</t>
        </is>
      </c>
      <c r="E25" s="31" t="inlineStr">
        <is>
          <t>Long</t>
        </is>
      </c>
      <c r="F25" s="49" t="n">
        <v>0.04509841572289643</v>
      </c>
      <c r="G25" s="30" t="inlineStr">
        <is>
          <t>Basic DCF</t>
        </is>
      </c>
      <c r="H25" s="50" t="n">
        <v>177.1327902302942</v>
      </c>
      <c r="I25" s="50" t="n">
        <v>153.64</v>
      </c>
      <c r="J25" s="51" t="n">
        <v>0.1529080332614827</v>
      </c>
      <c r="K25" s="52" t="n">
        <v>293.16842396156</v>
      </c>
      <c r="L25" s="36" t="n">
        <v>0.5</v>
      </c>
      <c r="M25" s="36" t="n">
        <v>1</v>
      </c>
      <c r="N25" s="37" t="n">
        <v>0.08</v>
      </c>
      <c r="O25" s="38" t="n">
        <v>0.07645401663074136</v>
      </c>
      <c r="P25" s="51">
        <f>IFERROR(INDEX(Pharma!$K$3:$K$677,MATCH($C25,Pharma!$B$3:$B$677,0)),"")</f>
        <v/>
      </c>
      <c r="Q25" s="53">
        <f>IFERROR(IF(INDEX(Pharma!$M$3:$M$677,MATCH($C25,Pharma!$B$3:$B$677,0))="","",INDEX(Pharma!$M$3:$M$677,MATCH($C25,Pharma!$B$3:$B$677,0))),"")</f>
        <v/>
      </c>
      <c r="R25" s="30">
        <f>IFERROR(T(INDEX(Pharma!$N$3:$N$677,MATCH($C25,Pharma!$B$3:$B$677,0))),"")</f>
        <v/>
      </c>
    </row>
    <row r="26">
      <c r="B26" s="29" t="n">
        <v>8</v>
      </c>
      <c r="C26" s="30" t="inlineStr">
        <is>
          <t>LEGN</t>
        </is>
      </c>
      <c r="D26" s="30" t="inlineStr">
        <is>
          <t>Legend Biotech Corporation</t>
        </is>
      </c>
      <c r="E26" s="31" t="inlineStr">
        <is>
          <t>Long</t>
        </is>
      </c>
      <c r="F26" s="49" t="n">
        <v>0.02091362821120661</v>
      </c>
      <c r="G26" s="30" t="inlineStr">
        <is>
          <t>Basic DCF</t>
        </is>
      </c>
      <c r="H26" s="50" t="n">
        <v>24.93830421292855</v>
      </c>
      <c r="I26" s="50" t="n">
        <v>19.01</v>
      </c>
      <c r="J26" s="51" t="n">
        <v>0.3118518786390609</v>
      </c>
      <c r="K26" s="52" t="n">
        <v>3.515769937345</v>
      </c>
      <c r="L26" s="36" t="n">
        <v>0.25</v>
      </c>
      <c r="M26" s="36" t="n">
        <v>0.4547576680949153</v>
      </c>
      <c r="N26" s="37" t="n">
        <v>0.04</v>
      </c>
      <c r="O26" s="38" t="n">
        <v>0.03545425828022947</v>
      </c>
      <c r="P26" s="51">
        <f>IFERROR(INDEX(Pharma!$K$3:$K$677,MATCH($C26,Pharma!$B$3:$B$677,0)),"")</f>
        <v/>
      </c>
      <c r="Q26" s="53">
        <f>IFERROR(IF(INDEX(Pharma!$M$3:$M$677,MATCH($C26,Pharma!$B$3:$B$677,0))="","",INDEX(Pharma!$M$3:$M$677,MATCH($C26,Pharma!$B$3:$B$677,0))),"")</f>
        <v/>
      </c>
      <c r="R26" s="30">
        <f>IFERROR(T(INDEX(Pharma!$N$3:$N$677,MATCH($C26,Pharma!$B$3:$B$677,0))),"")</f>
        <v/>
      </c>
    </row>
    <row r="27">
      <c r="B27" s="29" t="n">
        <v>9</v>
      </c>
      <c r="C27" s="30" t="inlineStr">
        <is>
          <t>BHC</t>
        </is>
      </c>
      <c r="D27" s="30" t="inlineStr">
        <is>
          <t>Bausch Health Companies Inc.</t>
        </is>
      </c>
      <c r="E27" s="31" t="inlineStr">
        <is>
          <t>Long</t>
        </is>
      </c>
      <c r="F27" s="49" t="n">
        <v>0.02</v>
      </c>
      <c r="G27" s="30" t="inlineStr">
        <is>
          <t>Basic DCF</t>
        </is>
      </c>
      <c r="H27" s="50" t="n">
        <v>10.7082396242502</v>
      </c>
      <c r="I27" s="50" t="n">
        <v>6.415</v>
      </c>
      <c r="J27" s="51" t="n">
        <v>0.6692501362821828</v>
      </c>
      <c r="K27" s="52" t="n">
        <v>2.399149448815</v>
      </c>
      <c r="L27" s="36" t="n">
        <v>0.5</v>
      </c>
      <c r="M27" s="36" t="n">
        <v>0.3925214882735921</v>
      </c>
      <c r="N27" s="37" t="n">
        <v>0.02</v>
      </c>
      <c r="O27" s="38" t="n">
        <v>0.1313475297603934</v>
      </c>
      <c r="P27" s="51">
        <f>IFERROR(INDEX(Pharma!$K$3:$K$677,MATCH($C27,Pharma!$B$3:$B$677,0)),"")</f>
        <v/>
      </c>
      <c r="Q27" s="53">
        <f>IFERROR(IF(INDEX(Pharma!$M$3:$M$677,MATCH($C27,Pharma!$B$3:$B$677,0))="","",INDEX(Pharma!$M$3:$M$677,MATCH($C27,Pharma!$B$3:$B$677,0))),"")</f>
        <v/>
      </c>
      <c r="R27" s="30">
        <f>IFERROR(T(INDEX(Pharma!$N$3:$N$677,MATCH($C27,Pharma!$B$3:$B$677,0))),"")</f>
        <v/>
      </c>
    </row>
    <row r="28">
      <c r="B28" s="29" t="n">
        <v>10</v>
      </c>
      <c r="C28" s="30" t="inlineStr">
        <is>
          <t>HRMY</t>
        </is>
      </c>
      <c r="D28" s="30" t="inlineStr">
        <is>
          <t>Harmony Biosciences Holdings, Inc.</t>
        </is>
      </c>
      <c r="E28" s="31" t="inlineStr">
        <is>
          <t>Long</t>
        </is>
      </c>
      <c r="F28" s="49" t="n">
        <v>0.02</v>
      </c>
      <c r="G28" s="30" t="inlineStr">
        <is>
          <t>Basic DCF</t>
        </is>
      </c>
      <c r="H28" s="50" t="n">
        <v>89.02470217703323</v>
      </c>
      <c r="I28" s="50" t="n">
        <v>38.7</v>
      </c>
      <c r="J28" s="51" t="n">
        <v>1.300379901215329</v>
      </c>
      <c r="K28" s="52" t="n">
        <v>2.2537484091</v>
      </c>
      <c r="L28" s="36" t="n">
        <v>0.5</v>
      </c>
      <c r="M28" s="36" t="n">
        <v>0.382339537437302</v>
      </c>
      <c r="N28" s="37" t="n">
        <v>0.02</v>
      </c>
      <c r="O28" s="38" t="n">
        <v>0.191169768718651</v>
      </c>
      <c r="P28" s="51">
        <f>IFERROR(INDEX(Pharma!$K$3:$K$677,MATCH($C28,Pharma!$B$3:$B$677,0)),"")</f>
        <v/>
      </c>
      <c r="Q28" s="53">
        <f>IFERROR(IF(INDEX(Pharma!$M$3:$M$677,MATCH($C28,Pharma!$B$3:$B$677,0))="","",INDEX(Pharma!$M$3:$M$677,MATCH($C28,Pharma!$B$3:$B$677,0))),"")</f>
        <v/>
      </c>
      <c r="R28" s="30">
        <f>IFERROR(T(INDEX(Pharma!$N$3:$N$677,MATCH($C28,Pharma!$B$3:$B$677,0))),"")</f>
        <v/>
      </c>
    </row>
    <row r="29">
      <c r="B29" s="29" t="n">
        <v>11</v>
      </c>
      <c r="C29" s="30" t="inlineStr">
        <is>
          <t>ANIP</t>
        </is>
      </c>
      <c r="D29" s="30" t="inlineStr">
        <is>
          <t>ANI Pharmaceuticals, Inc.</t>
        </is>
      </c>
      <c r="E29" s="31" t="inlineStr">
        <is>
          <t>Long</t>
        </is>
      </c>
      <c r="F29" s="49" t="n">
        <v>0.02</v>
      </c>
      <c r="G29" s="30" t="inlineStr">
        <is>
          <t>Basic DCF</t>
        </is>
      </c>
      <c r="H29" s="50" t="n">
        <v>158.0646433616211</v>
      </c>
      <c r="I29" s="50" t="n">
        <v>72.67</v>
      </c>
      <c r="J29" s="51" t="n">
        <v>1.175101738841628</v>
      </c>
      <c r="K29" s="52" t="n">
        <v>1.66925547984</v>
      </c>
      <c r="L29" s="36" t="n">
        <v>0.5</v>
      </c>
      <c r="M29" s="36" t="n">
        <v>0.333446053979461</v>
      </c>
      <c r="N29" s="37" t="n">
        <v>0.02</v>
      </c>
      <c r="O29" s="38" t="n">
        <v>0.1667230269897305</v>
      </c>
      <c r="P29" s="51">
        <f>IFERROR(INDEX(Pharma!$K$3:$K$677,MATCH($C29,Pharma!$B$3:$B$677,0)),"")</f>
        <v/>
      </c>
      <c r="Q29" s="53">
        <f>IFERROR(IF(INDEX(Pharma!$M$3:$M$677,MATCH($C29,Pharma!$B$3:$B$677,0))="","",INDEX(Pharma!$M$3:$M$677,MATCH($C29,Pharma!$B$3:$B$677,0))),"")</f>
        <v/>
      </c>
      <c r="R29" s="30">
        <f>IFERROR(T(INDEX(Pharma!$N$3:$N$677,MATCH($C29,Pharma!$B$3:$B$677,0))),"")</f>
        <v/>
      </c>
    </row>
    <row r="30">
      <c r="B30" s="29" t="n">
        <v>12</v>
      </c>
      <c r="C30" s="30" t="inlineStr">
        <is>
          <t>PAHC</t>
        </is>
      </c>
      <c r="D30" s="30" t="inlineStr">
        <is>
          <t>Phibro Animal Health Corp</t>
        </is>
      </c>
      <c r="E30" s="31" t="inlineStr">
        <is>
          <t>Long</t>
        </is>
      </c>
      <c r="F30" s="49" t="n">
        <v>0.02</v>
      </c>
      <c r="G30" s="30" t="inlineStr">
        <is>
          <t>Basic DCF</t>
        </is>
      </c>
      <c r="H30" s="50" t="n">
        <v>90.16967970162064</v>
      </c>
      <c r="I30" s="50" t="n">
        <v>38.8</v>
      </c>
      <c r="J30" s="51" t="n">
        <v>1.323960817052078</v>
      </c>
      <c r="K30" s="52" t="n">
        <v>1.5753421964</v>
      </c>
      <c r="L30" s="36" t="n">
        <v>0.5</v>
      </c>
      <c r="M30" s="36" t="n">
        <v>0.324015589741413</v>
      </c>
      <c r="N30" s="37" t="n">
        <v>0.02</v>
      </c>
      <c r="O30" s="38" t="n">
        <v>0.1620077948707065</v>
      </c>
      <c r="P30" s="51">
        <f>IFERROR(INDEX(Pharma!$K$3:$K$677,MATCH($C30,Pharma!$B$3:$B$677,0)),"")</f>
        <v/>
      </c>
      <c r="Q30" s="53">
        <f>IFERROR(IF(INDEX(Pharma!$M$3:$M$677,MATCH($C30,Pharma!$B$3:$B$677,0))="","",INDEX(Pharma!$M$3:$M$677,MATCH($C30,Pharma!$B$3:$B$677,0))),"")</f>
        <v/>
      </c>
      <c r="R30" s="30">
        <f>IFERROR(T(INDEX(Pharma!$N$3:$N$677,MATCH($C30,Pharma!$B$3:$B$677,0))),"")</f>
        <v/>
      </c>
    </row>
    <row r="31">
      <c r="B31" s="29" t="n">
        <v>13</v>
      </c>
      <c r="C31" s="30" t="inlineStr">
        <is>
          <t>INVA</t>
        </is>
      </c>
      <c r="D31" s="30" t="inlineStr">
        <is>
          <t>Innoviva, Inc.</t>
        </is>
      </c>
      <c r="E31" s="31" t="inlineStr">
        <is>
          <t>Long</t>
        </is>
      </c>
      <c r="F31" s="49" t="n">
        <v>0.02</v>
      </c>
      <c r="G31" s="30" t="inlineStr">
        <is>
          <t>Basic DCF</t>
        </is>
      </c>
      <c r="H31" s="50" t="n">
        <v>40.28065698745957</v>
      </c>
      <c r="I31" s="50" t="n">
        <v>21.28</v>
      </c>
      <c r="J31" s="51" t="n">
        <v>0.8928880163279871</v>
      </c>
      <c r="K31" s="52" t="n">
        <v>1.5373839208</v>
      </c>
      <c r="L31" s="36" t="n">
        <v>0.5</v>
      </c>
      <c r="M31" s="36" t="n">
        <v>0.3200433754582441</v>
      </c>
      <c r="N31" s="37" t="n">
        <v>0.02</v>
      </c>
      <c r="O31" s="38" t="n">
        <v>0.1428814473259124</v>
      </c>
      <c r="P31" s="51">
        <f>IFERROR(INDEX(Pharma!$K$3:$K$677,MATCH($C31,Pharma!$B$3:$B$677,0)),"")</f>
        <v/>
      </c>
      <c r="Q31" s="53">
        <f>IFERROR(IF(INDEX(Pharma!$M$3:$M$677,MATCH($C31,Pharma!$B$3:$B$677,0))="","",INDEX(Pharma!$M$3:$M$677,MATCH($C31,Pharma!$B$3:$B$677,0))),"")</f>
        <v/>
      </c>
      <c r="R31" s="30">
        <f>IFERROR(T(INDEX(Pharma!$N$3:$N$677,MATCH($C31,Pharma!$B$3:$B$677,0))),"")</f>
        <v/>
      </c>
    </row>
    <row r="32">
      <c r="B32" s="29" t="n">
        <v>14</v>
      </c>
      <c r="C32" s="30" t="inlineStr">
        <is>
          <t>ANAB</t>
        </is>
      </c>
      <c r="D32" s="30" t="inlineStr">
        <is>
          <t>AnaptysBio, Inc.</t>
        </is>
      </c>
      <c r="E32" s="31" t="inlineStr">
        <is>
          <t>Long</t>
        </is>
      </c>
      <c r="F32" s="49" t="n">
        <v>0.02</v>
      </c>
      <c r="G32" s="30" t="inlineStr">
        <is>
          <t>PDUFA rNPV</t>
        </is>
      </c>
      <c r="H32" s="50" t="n">
        <v>55.71132097703257</v>
      </c>
      <c r="I32" s="50" t="n">
        <v>45.43</v>
      </c>
      <c r="J32" s="51" t="n">
        <v>0.22631126958029</v>
      </c>
      <c r="K32" s="52" t="n">
        <v>1.35814093492</v>
      </c>
      <c r="L32" s="36" t="n">
        <v>0.7</v>
      </c>
      <c r="M32" s="36" t="n">
        <v>0.2998543147091703</v>
      </c>
      <c r="N32" s="37" t="n">
        <v>0.02</v>
      </c>
      <c r="O32" s="38" t="n">
        <v>0.04750228745567211</v>
      </c>
      <c r="P32" s="51">
        <f>IFERROR(INDEX(Pharma!$K$3:$K$677,MATCH($C32,Pharma!$B$3:$B$677,0)),"")</f>
        <v/>
      </c>
      <c r="Q32" s="53">
        <f>IFERROR(IF(INDEX(Pharma!$M$3:$M$677,MATCH($C32,Pharma!$B$3:$B$677,0))="","",INDEX(Pharma!$M$3:$M$677,MATCH($C32,Pharma!$B$3:$B$677,0))),"")</f>
        <v/>
      </c>
      <c r="R32" s="30">
        <f>IFERROR(T(INDEX(Pharma!$N$3:$N$677,MATCH($C32,Pharma!$B$3:$B$677,0))),"")</f>
        <v/>
      </c>
    </row>
    <row r="33">
      <c r="B33" s="29" t="n">
        <v>15</v>
      </c>
      <c r="C33" s="30" t="inlineStr">
        <is>
          <t>BCRX</t>
        </is>
      </c>
      <c r="D33" s="30" t="inlineStr">
        <is>
          <t>BioCryst Pharmaceuticals, Inc.</t>
        </is>
      </c>
      <c r="E33" s="31" t="inlineStr">
        <is>
          <t>Long</t>
        </is>
      </c>
      <c r="F33" s="49" t="n">
        <v>0.01547201712856939</v>
      </c>
      <c r="G33" s="30" t="inlineStr">
        <is>
          <t>Basic DCF</t>
        </is>
      </c>
      <c r="H33" s="50" t="n">
        <v>10.22088815255694</v>
      </c>
      <c r="I33" s="50" t="n">
        <v>7.94</v>
      </c>
      <c r="J33" s="51" t="n">
        <v>0.2872655103975996</v>
      </c>
      <c r="K33" s="52" t="n">
        <v>2.0289487337</v>
      </c>
      <c r="L33" s="36" t="n">
        <v>0.25</v>
      </c>
      <c r="M33" s="36" t="n">
        <v>0.3652266526265732</v>
      </c>
      <c r="N33" s="37" t="n">
        <v>0.02</v>
      </c>
      <c r="O33" s="38" t="n">
        <v>0.02622925519439484</v>
      </c>
      <c r="P33" s="51">
        <f>IFERROR(INDEX(Pharma!$K$3:$K$677,MATCH($C33,Pharma!$B$3:$B$677,0)),"")</f>
        <v/>
      </c>
      <c r="Q33" s="53">
        <f>IFERROR(IF(INDEX(Pharma!$M$3:$M$677,MATCH($C33,Pharma!$B$3:$B$677,0))="","",INDEX(Pharma!$M$3:$M$677,MATCH($C33,Pharma!$B$3:$B$677,0))),"")</f>
        <v/>
      </c>
      <c r="R33" s="30">
        <f>IFERROR(T(INDEX(Pharma!$N$3:$N$677,MATCH($C33,Pharma!$B$3:$B$677,0))),"")</f>
        <v/>
      </c>
    </row>
    <row r="34">
      <c r="B34" s="29" t="n">
        <v>16</v>
      </c>
      <c r="C34" s="30" t="inlineStr">
        <is>
          <t>AMPH</t>
        </is>
      </c>
      <c r="D34" s="30" t="inlineStr">
        <is>
          <t>Amphastar Pharmaceuticals, Inc.</t>
        </is>
      </c>
      <c r="E34" s="31" t="inlineStr">
        <is>
          <t>Long</t>
        </is>
      </c>
      <c r="F34" s="49" t="n">
        <v>0.01200474475989395</v>
      </c>
      <c r="G34" s="30" t="inlineStr">
        <is>
          <t>Basic DCF</t>
        </is>
      </c>
      <c r="H34" s="50" t="n">
        <v>29.90882022280512</v>
      </c>
      <c r="I34" s="50" t="n">
        <v>25.94</v>
      </c>
      <c r="J34" s="51" t="n">
        <v>0.1530000085892489</v>
      </c>
      <c r="K34" s="52" t="n">
        <v>1.10343426736</v>
      </c>
      <c r="L34" s="36" t="n">
        <v>0.5</v>
      </c>
      <c r="M34" s="36" t="n">
        <v>0.2660299250981779</v>
      </c>
      <c r="N34" s="37" t="n">
        <v>0.02</v>
      </c>
      <c r="O34" s="38" t="n">
        <v>0.02035129041250923</v>
      </c>
      <c r="P34" s="51">
        <f>IFERROR(INDEX(Pharma!$K$3:$K$677,MATCH($C34,Pharma!$B$3:$B$677,0)),"")</f>
        <v/>
      </c>
      <c r="Q34" s="53">
        <f>IFERROR(IF(INDEX(Pharma!$M$3:$M$677,MATCH($C34,Pharma!$B$3:$B$677,0))="","",INDEX(Pharma!$M$3:$M$677,MATCH($C34,Pharma!$B$3:$B$677,0))),"")</f>
        <v/>
      </c>
      <c r="R34" s="30">
        <f>IFERROR(T(INDEX(Pharma!$N$3:$N$677,MATCH($C34,Pharma!$B$3:$B$677,0))),"")</f>
        <v/>
      </c>
    </row>
    <row r="35">
      <c r="D35" s="21" t="inlineStr">
        <is>
          <t>Total longs</t>
        </is>
      </c>
      <c r="F35" s="54" t="n">
        <v>0.6</v>
      </c>
    </row>
    <row r="37">
      <c r="C37" s="21" t="inlineStr">
        <is>
          <t>Shorts</t>
        </is>
      </c>
    </row>
    <row r="38">
      <c r="B38" s="29" t="n">
        <v>1</v>
      </c>
      <c r="C38" s="30" t="inlineStr">
        <is>
          <t>LLY</t>
        </is>
      </c>
      <c r="D38" s="30" t="inlineStr">
        <is>
          <t>Eli Lilly and Company</t>
        </is>
      </c>
      <c r="E38" s="41" t="inlineStr">
        <is>
          <t>Short</t>
        </is>
      </c>
      <c r="F38" s="55" t="n">
        <v>-0.03275719053269446</v>
      </c>
      <c r="G38" s="30" t="inlineStr">
        <is>
          <t>Full DCF</t>
        </is>
      </c>
      <c r="H38" s="50" t="n">
        <v>734.2143280203924</v>
      </c>
      <c r="I38" s="50" t="n">
        <v>1286.835</v>
      </c>
      <c r="J38" s="51" t="n">
        <v>-0.4294417481492248</v>
      </c>
      <c r="K38" s="52" t="n">
        <v>1147.029468739275</v>
      </c>
      <c r="L38" s="36" t="n">
        <v>1</v>
      </c>
      <c r="M38" s="36" t="n">
        <v>1</v>
      </c>
      <c r="N38" s="37" t="n">
        <v>0.08</v>
      </c>
      <c r="O38" s="38" t="n">
        <v>0.4294417481492248</v>
      </c>
      <c r="P38" s="51">
        <f>IFERROR(INDEX(Pharma!$K$3:$K$677,MATCH($C38,Pharma!$B$3:$B$677,0)),"")</f>
        <v/>
      </c>
      <c r="Q38" s="53">
        <f>IFERROR(IF(INDEX(Pharma!$M$3:$M$677,MATCH($C38,Pharma!$B$3:$B$677,0))="","",INDEX(Pharma!$M$3:$M$677,MATCH($C38,Pharma!$B$3:$B$677,0))),"")</f>
        <v/>
      </c>
      <c r="R38" s="30">
        <f>IFERROR(T(INDEX(Pharma!$N$3:$N$677,MATCH($C38,Pharma!$B$3:$B$677,0))),"")</f>
        <v/>
      </c>
    </row>
    <row r="39">
      <c r="B39" s="29" t="n">
        <v>2</v>
      </c>
      <c r="C39" s="30" t="inlineStr">
        <is>
          <t>HALO</t>
        </is>
      </c>
      <c r="D39" s="30" t="inlineStr">
        <is>
          <t>Halozyme Therapeutics, Inc.</t>
        </is>
      </c>
      <c r="E39" s="41" t="inlineStr">
        <is>
          <t>Short</t>
        </is>
      </c>
      <c r="F39" s="55" t="n">
        <v>-0.02497186051877517</v>
      </c>
      <c r="G39" s="30" t="inlineStr">
        <is>
          <t>Reviewed DCF</t>
        </is>
      </c>
      <c r="H39" s="50" t="n">
        <v>64.59378115326906</v>
      </c>
      <c r="I39" s="50" t="n">
        <v>124.37</v>
      </c>
      <c r="J39" s="51" t="n">
        <v>-0.4806321367430324</v>
      </c>
      <c r="K39" s="52" t="n">
        <v>14.11574626</v>
      </c>
      <c r="L39" s="36" t="n">
        <v>1</v>
      </c>
      <c r="M39" s="36" t="n">
        <v>0.681138941133888</v>
      </c>
      <c r="N39" s="37" t="n">
        <v>0.06</v>
      </c>
      <c r="O39" s="38" t="n">
        <v>0.3273772646960671</v>
      </c>
      <c r="P39" s="51">
        <f>IFERROR(INDEX(Pharma!$K$3:$K$677,MATCH($C39,Pharma!$B$3:$B$677,0)),"")</f>
        <v/>
      </c>
      <c r="Q39" s="53">
        <f>IFERROR(IF(INDEX(Pharma!$M$3:$M$677,MATCH($C39,Pharma!$B$3:$B$677,0))="","",INDEX(Pharma!$M$3:$M$677,MATCH($C39,Pharma!$B$3:$B$677,0))),"")</f>
        <v/>
      </c>
      <c r="R39" s="30">
        <f>IFERROR(T(INDEX(Pharma!$N$3:$N$677,MATCH($C39,Pharma!$B$3:$B$677,0))),"")</f>
        <v/>
      </c>
    </row>
    <row r="40">
      <c r="B40" s="29" t="n">
        <v>3</v>
      </c>
      <c r="C40" s="30" t="inlineStr">
        <is>
          <t>SMMT</t>
        </is>
      </c>
      <c r="D40" s="30" t="inlineStr">
        <is>
          <t>Summit Therapeutics Inc.</t>
        </is>
      </c>
      <c r="E40" s="41" t="inlineStr">
        <is>
          <t>Short</t>
        </is>
      </c>
      <c r="F40" s="55" t="n">
        <v>-0.0219936605156278</v>
      </c>
      <c r="G40" s="30" t="inlineStr">
        <is>
          <t>PDUFA rNPV</t>
        </is>
      </c>
      <c r="H40" s="50" t="n">
        <v>5.475264046248677</v>
      </c>
      <c r="I40" s="50" t="n">
        <v>16.09</v>
      </c>
      <c r="J40" s="51" t="n">
        <v>-0.6597101276414744</v>
      </c>
      <c r="K40" s="52" t="n">
        <v>14.58889313618</v>
      </c>
      <c r="L40" s="36" t="n">
        <v>0.7</v>
      </c>
      <c r="M40" s="36" t="n">
        <v>0.6865083786576696</v>
      </c>
      <c r="N40" s="37" t="n">
        <v>0.06</v>
      </c>
      <c r="O40" s="38" t="n">
        <v>0.2883335190362212</v>
      </c>
      <c r="P40" s="51">
        <f>IFERROR(INDEX(Pharma!$K$3:$K$677,MATCH($C40,Pharma!$B$3:$B$677,0)),"")</f>
        <v/>
      </c>
      <c r="Q40" s="53">
        <f>IFERROR(IF(INDEX(Pharma!$M$3:$M$677,MATCH($C40,Pharma!$B$3:$B$677,0))="","",INDEX(Pharma!$M$3:$M$677,MATCH($C40,Pharma!$B$3:$B$677,0))),"")</f>
        <v/>
      </c>
      <c r="R40" s="30">
        <f>IFERROR(T(INDEX(Pharma!$N$3:$N$677,MATCH($C40,Pharma!$B$3:$B$677,0))),"")</f>
        <v/>
      </c>
    </row>
    <row r="41">
      <c r="B41" s="29" t="n">
        <v>4</v>
      </c>
      <c r="C41" s="30" t="inlineStr">
        <is>
          <t>ABBV</t>
        </is>
      </c>
      <c r="D41" s="30" t="inlineStr">
        <is>
          <t>AbbVie Inc.</t>
        </is>
      </c>
      <c r="E41" s="41" t="inlineStr">
        <is>
          <t>Short</t>
        </is>
      </c>
      <c r="F41" s="55" t="n">
        <v>-0.02092784293092795</v>
      </c>
      <c r="G41" s="30" t="inlineStr">
        <is>
          <t>Basic DCF</t>
        </is>
      </c>
      <c r="H41" s="50" t="n">
        <v>130.4871413635997</v>
      </c>
      <c r="I41" s="50" t="n">
        <v>289.15</v>
      </c>
      <c r="J41" s="51" t="n">
        <v>-0.5487216276548514</v>
      </c>
      <c r="K41" s="52" t="n">
        <v>510.96196295775</v>
      </c>
      <c r="L41" s="36" t="n">
        <v>0.5</v>
      </c>
      <c r="M41" s="36" t="n">
        <v>1</v>
      </c>
      <c r="N41" s="37" t="n">
        <v>0.08</v>
      </c>
      <c r="O41" s="38" t="n">
        <v>0.2743608138274257</v>
      </c>
      <c r="P41" s="51">
        <f>IFERROR(INDEX(Pharma!$K$3:$K$677,MATCH($C41,Pharma!$B$3:$B$677,0)),"")</f>
        <v/>
      </c>
      <c r="Q41" s="53">
        <f>IFERROR(IF(INDEX(Pharma!$M$3:$M$677,MATCH($C41,Pharma!$B$3:$B$677,0))="","",INDEX(Pharma!$M$3:$M$677,MATCH($C41,Pharma!$B$3:$B$677,0))),"")</f>
        <v/>
      </c>
      <c r="R41" s="30">
        <f>IFERROR(T(INDEX(Pharma!$N$3:$N$677,MATCH($C41,Pharma!$B$3:$B$677,0))),"")</f>
        <v/>
      </c>
    </row>
    <row r="42">
      <c r="B42" s="29" t="n">
        <v>5</v>
      </c>
      <c r="C42" s="30" t="inlineStr">
        <is>
          <t>GILD</t>
        </is>
      </c>
      <c r="D42" s="30" t="inlineStr">
        <is>
          <t>Gilead Sciences, Inc.</t>
        </is>
      </c>
      <c r="E42" s="41" t="inlineStr">
        <is>
          <t>Short</t>
        </is>
      </c>
      <c r="F42" s="55" t="n">
        <v>-0.02071281668796694</v>
      </c>
      <c r="G42" s="30" t="inlineStr">
        <is>
          <t>Basic DCF</t>
        </is>
      </c>
      <c r="H42" s="50" t="n">
        <v>71.51196925752382</v>
      </c>
      <c r="I42" s="50" t="n">
        <v>156.51</v>
      </c>
      <c r="J42" s="51" t="n">
        <v>-0.5430837054659522</v>
      </c>
      <c r="K42" s="52" t="n">
        <v>194.06538130905</v>
      </c>
      <c r="L42" s="36" t="n">
        <v>0.5</v>
      </c>
      <c r="M42" s="36" t="n">
        <v>1</v>
      </c>
      <c r="N42" s="37" t="n">
        <v>0.08</v>
      </c>
      <c r="O42" s="38" t="n">
        <v>0.2715418527329761</v>
      </c>
      <c r="P42" s="51">
        <f>IFERROR(INDEX(Pharma!$K$3:$K$677,MATCH($C42,Pharma!$B$3:$B$677,0)),"")</f>
        <v/>
      </c>
      <c r="Q42" s="53">
        <f>IFERROR(IF(INDEX(Pharma!$M$3:$M$677,MATCH($C42,Pharma!$B$3:$B$677,0))="","",INDEX(Pharma!$M$3:$M$677,MATCH($C42,Pharma!$B$3:$B$677,0))),"")</f>
        <v/>
      </c>
      <c r="R42" s="30">
        <f>IFERROR(T(INDEX(Pharma!$N$3:$N$677,MATCH($C42,Pharma!$B$3:$B$677,0))),"")</f>
        <v/>
      </c>
    </row>
    <row r="43">
      <c r="B43" s="29" t="n">
        <v>6</v>
      </c>
      <c r="C43" s="30" t="inlineStr">
        <is>
          <t>CORT</t>
        </is>
      </c>
      <c r="D43" s="30" t="inlineStr">
        <is>
          <t>Corcept Therapeutics Incorporated</t>
        </is>
      </c>
      <c r="E43" s="41" t="inlineStr">
        <is>
          <t>Short</t>
        </is>
      </c>
      <c r="F43" s="55" t="n">
        <v>-0.01899854890129169</v>
      </c>
      <c r="G43" s="30" t="inlineStr">
        <is>
          <t>PDUFA rNPV</t>
        </is>
      </c>
      <c r="H43" s="50" t="n">
        <v>53.90627293729146</v>
      </c>
      <c r="I43" s="50" t="n">
        <v>116.45</v>
      </c>
      <c r="J43" s="51" t="n">
        <v>-0.5370865355320613</v>
      </c>
      <c r="K43" s="52" t="n">
        <v>12.58805833065</v>
      </c>
      <c r="L43" s="36" t="n">
        <v>0.7</v>
      </c>
      <c r="M43" s="36" t="n">
        <v>0.6624845300062182</v>
      </c>
      <c r="N43" s="37" t="n">
        <v>0.06</v>
      </c>
      <c r="O43" s="38" t="n">
        <v>0.2490680647452379</v>
      </c>
      <c r="P43" s="51">
        <f>IFERROR(INDEX(Pharma!$K$3:$K$677,MATCH($C43,Pharma!$B$3:$B$677,0)),"")</f>
        <v/>
      </c>
      <c r="Q43" s="53">
        <f>IFERROR(IF(INDEX(Pharma!$M$3:$M$677,MATCH($C43,Pharma!$B$3:$B$677,0))="","",INDEX(Pharma!$M$3:$M$677,MATCH($C43,Pharma!$B$3:$B$677,0))),"")</f>
        <v/>
      </c>
      <c r="R43" s="30">
        <f>IFERROR(T(INDEX(Pharma!$N$3:$N$677,MATCH($C43,Pharma!$B$3:$B$677,0))),"")</f>
        <v/>
      </c>
    </row>
    <row r="44">
      <c r="B44" s="29" t="n">
        <v>7</v>
      </c>
      <c r="C44" s="30" t="inlineStr">
        <is>
          <t>RPRX</t>
        </is>
      </c>
      <c r="D44" s="30" t="inlineStr">
        <is>
          <t>Royalty Pharma PLC</t>
        </is>
      </c>
      <c r="E44" s="41" t="inlineStr">
        <is>
          <t>Short</t>
        </is>
      </c>
      <c r="F44" s="55" t="n">
        <v>-0.01867329915558861</v>
      </c>
      <c r="G44" s="30" t="inlineStr">
        <is>
          <t>Basic DCF</t>
        </is>
      </c>
      <c r="H44" s="50" t="n">
        <v>25.64748648358452</v>
      </c>
      <c r="I44" s="50" t="n">
        <v>62.25</v>
      </c>
      <c r="J44" s="51" t="n">
        <v>-0.5879921850026583</v>
      </c>
      <c r="K44" s="52" t="n">
        <v>35.793824949</v>
      </c>
      <c r="L44" s="36" t="n">
        <v>0.5</v>
      </c>
      <c r="M44" s="36" t="n">
        <v>0.8326780411867497</v>
      </c>
      <c r="N44" s="37" t="n">
        <v>0.06</v>
      </c>
      <c r="O44" s="38" t="n">
        <v>0.2448040904205652</v>
      </c>
      <c r="P44" s="51">
        <f>IFERROR(INDEX(Pharma!$K$3:$K$677,MATCH($C44,Pharma!$B$3:$B$677,0)),"")</f>
        <v/>
      </c>
      <c r="Q44" s="53">
        <f>IFERROR(IF(INDEX(Pharma!$M$3:$M$677,MATCH($C44,Pharma!$B$3:$B$677,0))="","",INDEX(Pharma!$M$3:$M$677,MATCH($C44,Pharma!$B$3:$B$677,0))),"")</f>
        <v/>
      </c>
      <c r="R44" s="30">
        <f>IFERROR(T(INDEX(Pharma!$N$3:$N$677,MATCH($C44,Pharma!$B$3:$B$677,0))),"")</f>
        <v/>
      </c>
    </row>
    <row r="45">
      <c r="B45" s="29" t="n">
        <v>8</v>
      </c>
      <c r="C45" s="30" t="inlineStr">
        <is>
          <t>MRK</t>
        </is>
      </c>
      <c r="D45" s="30" t="inlineStr">
        <is>
          <t>Merck &amp; Co Inc</t>
        </is>
      </c>
      <c r="E45" s="41" t="inlineStr">
        <is>
          <t>Short</t>
        </is>
      </c>
      <c r="F45" s="55" t="n">
        <v>-0.01662580877566839</v>
      </c>
      <c r="G45" s="30" t="inlineStr">
        <is>
          <t>Basic DCF</t>
        </is>
      </c>
      <c r="H45" s="50" t="n">
        <v>83.652528548422</v>
      </c>
      <c r="I45" s="50" t="n">
        <v>148.3</v>
      </c>
      <c r="J45" s="51" t="n">
        <v>-0.4359236105972893</v>
      </c>
      <c r="K45" s="52" t="n">
        <v>365.8815539154</v>
      </c>
      <c r="L45" s="36" t="n">
        <v>0.5</v>
      </c>
      <c r="M45" s="36" t="n">
        <v>1</v>
      </c>
      <c r="N45" s="37" t="n">
        <v>0.08</v>
      </c>
      <c r="O45" s="38" t="n">
        <v>0.2179618052986447</v>
      </c>
      <c r="P45" s="51">
        <f>IFERROR(INDEX(Pharma!$K$3:$K$677,MATCH($C45,Pharma!$B$3:$B$677,0)),"")</f>
        <v/>
      </c>
      <c r="Q45" s="53">
        <f>IFERROR(IF(INDEX(Pharma!$M$3:$M$677,MATCH($C45,Pharma!$B$3:$B$677,0))="","",INDEX(Pharma!$M$3:$M$677,MATCH($C45,Pharma!$B$3:$B$677,0))),"")</f>
        <v/>
      </c>
      <c r="R45" s="30">
        <f>IFERROR(T(INDEX(Pharma!$N$3:$N$677,MATCH($C45,Pharma!$B$3:$B$677,0))),"")</f>
        <v/>
      </c>
    </row>
    <row r="46">
      <c r="B46" s="29" t="n">
        <v>9</v>
      </c>
      <c r="C46" s="30" t="inlineStr">
        <is>
          <t>AMGN</t>
        </is>
      </c>
      <c r="D46" s="30" t="inlineStr">
        <is>
          <t>Amgen Inc</t>
        </is>
      </c>
      <c r="E46" s="41" t="inlineStr">
        <is>
          <t>Short</t>
        </is>
      </c>
      <c r="F46" s="55" t="n">
        <v>-0.0145367947406738</v>
      </c>
      <c r="G46" s="30" t="inlineStr">
        <is>
          <t>Basic DCF</t>
        </is>
      </c>
      <c r="H46" s="50" t="n">
        <v>271.6378860698192</v>
      </c>
      <c r="I46" s="50" t="n">
        <v>438.94</v>
      </c>
      <c r="J46" s="51" t="n">
        <v>-0.3811503028436252</v>
      </c>
      <c r="K46" s="52" t="n">
        <v>237.3050122747</v>
      </c>
      <c r="L46" s="36" t="n">
        <v>0.5</v>
      </c>
      <c r="M46" s="36" t="n">
        <v>1</v>
      </c>
      <c r="N46" s="37" t="n">
        <v>0.08</v>
      </c>
      <c r="O46" s="38" t="n">
        <v>0.1905751514218126</v>
      </c>
      <c r="P46" s="51">
        <f>IFERROR(INDEX(Pharma!$K$3:$K$677,MATCH($C46,Pharma!$B$3:$B$677,0)),"")</f>
        <v/>
      </c>
      <c r="Q46" s="53">
        <f>IFERROR(IF(INDEX(Pharma!$M$3:$M$677,MATCH($C46,Pharma!$B$3:$B$677,0))="","",INDEX(Pharma!$M$3:$M$677,MATCH($C46,Pharma!$B$3:$B$677,0))),"")</f>
        <v/>
      </c>
      <c r="R46" s="30">
        <f>IFERROR(T(INDEX(Pharma!$N$3:$N$677,MATCH($C46,Pharma!$B$3:$B$677,0))),"")</f>
        <v/>
      </c>
    </row>
    <row r="47">
      <c r="B47" s="29" t="n">
        <v>10</v>
      </c>
      <c r="C47" s="30" t="inlineStr">
        <is>
          <t>KNSA</t>
        </is>
      </c>
      <c r="D47" s="30" t="inlineStr">
        <is>
          <t>Kiniksa Pharmaceuticals International, PLC</t>
        </is>
      </c>
      <c r="E47" s="41" t="inlineStr">
        <is>
          <t>Short</t>
        </is>
      </c>
      <c r="F47" s="55" t="n">
        <v>-0.0144489538490677</v>
      </c>
      <c r="G47" s="30" t="inlineStr">
        <is>
          <t>Basic DCF</t>
        </is>
      </c>
      <c r="H47" s="50" t="n">
        <v>35.80105265170361</v>
      </c>
      <c r="I47" s="50" t="n">
        <v>83.17</v>
      </c>
      <c r="J47" s="51" t="n">
        <v>-0.5695436737801658</v>
      </c>
      <c r="K47" s="52" t="n">
        <v>12.79786958144</v>
      </c>
      <c r="L47" s="36" t="n">
        <v>0.5</v>
      </c>
      <c r="M47" s="36" t="n">
        <v>0.6651766300428421</v>
      </c>
      <c r="N47" s="37" t="n">
        <v>0.06</v>
      </c>
      <c r="O47" s="38" t="n">
        <v>0.1894235707936552</v>
      </c>
      <c r="P47" s="51">
        <f>IFERROR(INDEX(Pharma!$K$3:$K$677,MATCH($C47,Pharma!$B$3:$B$677,0)),"")</f>
        <v/>
      </c>
      <c r="Q47" s="53">
        <f>IFERROR(IF(INDEX(Pharma!$M$3:$M$677,MATCH($C47,Pharma!$B$3:$B$677,0))="","",INDEX(Pharma!$M$3:$M$677,MATCH($C47,Pharma!$B$3:$B$677,0))),"")</f>
        <v/>
      </c>
      <c r="R47" s="30">
        <f>IFERROR(T(INDEX(Pharma!$N$3:$N$677,MATCH($C47,Pharma!$B$3:$B$677,0))),"")</f>
        <v/>
      </c>
    </row>
    <row r="48">
      <c r="B48" s="29" t="n">
        <v>11</v>
      </c>
      <c r="C48" s="30" t="inlineStr">
        <is>
          <t>INCY</t>
        </is>
      </c>
      <c r="D48" s="30" t="inlineStr">
        <is>
          <t>Incyte Corp</t>
        </is>
      </c>
      <c r="E48" s="41" t="inlineStr">
        <is>
          <t>Short</t>
        </is>
      </c>
      <c r="F48" s="55" t="n">
        <v>-0.01394331429241846</v>
      </c>
      <c r="G48" s="30" t="inlineStr">
        <is>
          <t>Reviewed DCF</t>
        </is>
      </c>
      <c r="H48" s="50" t="n">
        <v>88.66765363149035</v>
      </c>
      <c r="I48" s="50" t="n">
        <v>116.615</v>
      </c>
      <c r="J48" s="51" t="n">
        <v>-0.2396548160057423</v>
      </c>
      <c r="K48" s="52" t="n">
        <v>23.297596005325</v>
      </c>
      <c r="L48" s="36" t="n">
        <v>1</v>
      </c>
      <c r="M48" s="36" t="n">
        <v>0.7627416662728664</v>
      </c>
      <c r="N48" s="37" t="n">
        <v>0.06</v>
      </c>
      <c r="O48" s="38" t="n">
        <v>0.1827947136905371</v>
      </c>
      <c r="P48" s="51">
        <f>IFERROR(INDEX(Pharma!$K$3:$K$677,MATCH($C48,Pharma!$B$3:$B$677,0)),"")</f>
        <v/>
      </c>
      <c r="Q48" s="53">
        <f>IFERROR(IF(INDEX(Pharma!$M$3:$M$677,MATCH($C48,Pharma!$B$3:$B$677,0))="","",INDEX(Pharma!$M$3:$M$677,MATCH($C48,Pharma!$B$3:$B$677,0))),"")</f>
        <v/>
      </c>
      <c r="R48" s="30">
        <f>IFERROR(T(INDEX(Pharma!$N$3:$N$677,MATCH($C48,Pharma!$B$3:$B$677,0))),"")</f>
        <v/>
      </c>
    </row>
    <row r="49">
      <c r="B49" s="29" t="n">
        <v>12</v>
      </c>
      <c r="C49" s="30" t="inlineStr">
        <is>
          <t>HLN</t>
        </is>
      </c>
      <c r="D49" s="30" t="inlineStr">
        <is>
          <t>Haleon PLC</t>
        </is>
      </c>
      <c r="E49" s="41" t="inlineStr">
        <is>
          <t>Short</t>
        </is>
      </c>
      <c r="F49" s="55" t="n">
        <v>-0.01372035592316483</v>
      </c>
      <c r="G49" s="30" t="inlineStr">
        <is>
          <t>Basic DCF</t>
        </is>
      </c>
      <c r="H49" s="50" t="n">
        <v>5.973576044156449</v>
      </c>
      <c r="I49" s="50" t="n">
        <v>10.17</v>
      </c>
      <c r="J49" s="51" t="n">
        <v>-0.4126277242717357</v>
      </c>
      <c r="K49" s="52" t="n">
        <v>45.52271830008</v>
      </c>
      <c r="L49" s="36" t="n">
        <v>0.5</v>
      </c>
      <c r="M49" s="36" t="n">
        <v>0.8718355702025555</v>
      </c>
      <c r="N49" s="37" t="n">
        <v>0.06</v>
      </c>
      <c r="O49" s="38" t="n">
        <v>0.1798717636359158</v>
      </c>
      <c r="P49" s="51">
        <f>IFERROR(INDEX(Pharma!$K$3:$K$677,MATCH($C49,Pharma!$B$3:$B$677,0)),"")</f>
        <v/>
      </c>
      <c r="Q49" s="53">
        <f>IFERROR(IF(INDEX(Pharma!$M$3:$M$677,MATCH($C49,Pharma!$B$3:$B$677,0))="","",INDEX(Pharma!$M$3:$M$677,MATCH($C49,Pharma!$B$3:$B$677,0))),"")</f>
        <v/>
      </c>
      <c r="R49" s="30">
        <f>IFERROR(T(INDEX(Pharma!$N$3:$N$677,MATCH($C49,Pharma!$B$3:$B$677,0))),"")</f>
        <v/>
      </c>
    </row>
    <row r="50">
      <c r="B50" s="29" t="n">
        <v>13</v>
      </c>
      <c r="C50" s="30" t="inlineStr">
        <is>
          <t>ALKS</t>
        </is>
      </c>
      <c r="D50" s="30" t="inlineStr">
        <is>
          <t>Alkermes Plc</t>
        </is>
      </c>
      <c r="E50" s="41" t="inlineStr">
        <is>
          <t>Short</t>
        </is>
      </c>
      <c r="F50" s="55" t="n">
        <v>-0.01318007922278311</v>
      </c>
      <c r="G50" s="30" t="inlineStr">
        <is>
          <t>Basic DCF</t>
        </is>
      </c>
      <c r="H50" s="50" t="n">
        <v>12.35510594804304</v>
      </c>
      <c r="I50" s="50" t="n">
        <v>44.11</v>
      </c>
      <c r="J50" s="51" t="n">
        <v>-0.7199023815905001</v>
      </c>
      <c r="K50" s="52" t="n">
        <v>7.40003792792</v>
      </c>
      <c r="L50" s="36" t="n">
        <v>0.5</v>
      </c>
      <c r="M50" s="36" t="n">
        <v>0.5759627296209482</v>
      </c>
      <c r="N50" s="37" t="n">
        <v>0.04</v>
      </c>
      <c r="O50" s="38" t="n">
        <v>0.1727888188862844</v>
      </c>
      <c r="P50" s="51">
        <f>IFERROR(INDEX(Pharma!$K$3:$K$677,MATCH($C50,Pharma!$B$3:$B$677,0)),"")</f>
        <v/>
      </c>
      <c r="Q50" s="53">
        <f>IFERROR(IF(INDEX(Pharma!$M$3:$M$677,MATCH($C50,Pharma!$B$3:$B$677,0))="","",INDEX(Pharma!$M$3:$M$677,MATCH($C50,Pharma!$B$3:$B$677,0))),"")</f>
        <v/>
      </c>
      <c r="R50" s="30">
        <f>IFERROR(T(INDEX(Pharma!$N$3:$N$677,MATCH($C50,Pharma!$B$3:$B$677,0))),"")</f>
        <v/>
      </c>
    </row>
    <row r="51">
      <c r="B51" s="29" t="n">
        <v>14</v>
      </c>
      <c r="C51" s="30" t="inlineStr">
        <is>
          <t>JNJ</t>
        </is>
      </c>
      <c r="D51" s="30" t="inlineStr">
        <is>
          <t>Johnson &amp; Johnson</t>
        </is>
      </c>
      <c r="E51" s="41" t="inlineStr">
        <is>
          <t>Short</t>
        </is>
      </c>
      <c r="F51" s="55" t="n">
        <v>-0.01273203981556877</v>
      </c>
      <c r="G51" s="30" t="inlineStr">
        <is>
          <t>Basic DCF</t>
        </is>
      </c>
      <c r="H51" s="50" t="n">
        <v>172.8044508330016</v>
      </c>
      <c r="I51" s="50" t="n">
        <v>259.4</v>
      </c>
      <c r="J51" s="51" t="n">
        <v>-0.3338301818311427</v>
      </c>
      <c r="K51" s="52" t="n">
        <v>625.1276960617998</v>
      </c>
      <c r="L51" s="36" t="n">
        <v>0.5</v>
      </c>
      <c r="M51" s="36" t="n">
        <v>1</v>
      </c>
      <c r="N51" s="37" t="n">
        <v>0.08</v>
      </c>
      <c r="O51" s="38" t="n">
        <v>0.1669150909155713</v>
      </c>
      <c r="P51" s="51">
        <f>IFERROR(INDEX(Pharma!$K$3:$K$677,MATCH($C51,Pharma!$B$3:$B$677,0)),"")</f>
        <v/>
      </c>
      <c r="Q51" s="53">
        <f>IFERROR(IF(INDEX(Pharma!$M$3:$M$677,MATCH($C51,Pharma!$B$3:$B$677,0))="","",INDEX(Pharma!$M$3:$M$677,MATCH($C51,Pharma!$B$3:$B$677,0))),"")</f>
        <v/>
      </c>
      <c r="R51" s="30">
        <f>IFERROR(T(INDEX(Pharma!$N$3:$N$677,MATCH($C51,Pharma!$B$3:$B$677,0))),"")</f>
        <v/>
      </c>
    </row>
    <row r="52">
      <c r="B52" s="29" t="n">
        <v>15</v>
      </c>
      <c r="C52" s="30" t="inlineStr">
        <is>
          <t>RDY</t>
        </is>
      </c>
      <c r="D52" s="30" t="inlineStr">
        <is>
          <t>Dr. Reddy's Laboratories Limited</t>
        </is>
      </c>
      <c r="E52" s="41" t="inlineStr">
        <is>
          <t>Short</t>
        </is>
      </c>
      <c r="F52" s="55" t="n">
        <v>-0.01253981509434591</v>
      </c>
      <c r="G52" s="30" t="inlineStr">
        <is>
          <t>Reviewed DCF</t>
        </is>
      </c>
      <c r="H52" s="50" t="n">
        <v>9.862006649741975</v>
      </c>
      <c r="I52" s="50" t="n">
        <v>13.26</v>
      </c>
      <c r="J52" s="51" t="n">
        <v>-0.2562589253588254</v>
      </c>
      <c r="K52" s="52" t="n">
        <v>11.0675514222</v>
      </c>
      <c r="L52" s="36" t="n">
        <v>1</v>
      </c>
      <c r="M52" s="36" t="n">
        <v>0.6415193306800712</v>
      </c>
      <c r="N52" s="37" t="n">
        <v>0.06</v>
      </c>
      <c r="O52" s="38" t="n">
        <v>0.164395054276988</v>
      </c>
      <c r="P52" s="51">
        <f>IFERROR(INDEX(Pharma!$K$3:$K$677,MATCH($C52,Pharma!$B$3:$B$677,0)),"")</f>
        <v/>
      </c>
      <c r="Q52" s="53">
        <f>IFERROR(IF(INDEX(Pharma!$M$3:$M$677,MATCH($C52,Pharma!$B$3:$B$677,0))="","",INDEX(Pharma!$M$3:$M$677,MATCH($C52,Pharma!$B$3:$B$677,0))),"")</f>
        <v/>
      </c>
      <c r="R52" s="30">
        <f>IFERROR(T(INDEX(Pharma!$N$3:$N$677,MATCH($C52,Pharma!$B$3:$B$677,0))),"")</f>
        <v/>
      </c>
    </row>
    <row r="53">
      <c r="B53" s="29" t="n">
        <v>16</v>
      </c>
      <c r="C53" s="30" t="inlineStr">
        <is>
          <t>LGND</t>
        </is>
      </c>
      <c r="D53" s="30" t="inlineStr">
        <is>
          <t>Ligand Pharmaceuticals Incorporated</t>
        </is>
      </c>
      <c r="E53" s="41" t="inlineStr">
        <is>
          <t>Short</t>
        </is>
      </c>
      <c r="F53" s="55" t="n">
        <v>-0.01246511939965498</v>
      </c>
      <c r="G53" s="30" t="inlineStr">
        <is>
          <t>Basic DCF</t>
        </is>
      </c>
      <c r="H53" s="50" t="n">
        <v>94.07907295624256</v>
      </c>
      <c r="I53" s="50" t="n">
        <v>306.4</v>
      </c>
      <c r="J53" s="51" t="n">
        <v>-0.6929534172446392</v>
      </c>
      <c r="K53" s="52" t="n">
        <v>6.1082705976</v>
      </c>
      <c r="L53" s="36" t="n">
        <v>0.5</v>
      </c>
      <c r="M53" s="36" t="n">
        <v>0.5447193505533654</v>
      </c>
      <c r="N53" s="37" t="n">
        <v>0.04</v>
      </c>
      <c r="O53" s="38" t="n">
        <v>0.1634158051660096</v>
      </c>
      <c r="P53" s="51">
        <f>IFERROR(INDEX(Pharma!$K$3:$K$677,MATCH($C53,Pharma!$B$3:$B$677,0)),"")</f>
        <v/>
      </c>
      <c r="Q53" s="53">
        <f>IFERROR(IF(INDEX(Pharma!$M$3:$M$677,MATCH($C53,Pharma!$B$3:$B$677,0))="","",INDEX(Pharma!$M$3:$M$677,MATCH($C53,Pharma!$B$3:$B$677,0))),"")</f>
        <v/>
      </c>
      <c r="R53" s="30">
        <f>IFERROR(T(INDEX(Pharma!$N$3:$N$677,MATCH($C53,Pharma!$B$3:$B$677,0))),"")</f>
        <v/>
      </c>
    </row>
    <row r="54">
      <c r="B54" s="29" t="n">
        <v>17</v>
      </c>
      <c r="C54" s="30" t="inlineStr">
        <is>
          <t>MRNA</t>
        </is>
      </c>
      <c r="D54" s="30" t="inlineStr">
        <is>
          <t>Moderna, Inc.</t>
        </is>
      </c>
      <c r="E54" s="41" t="inlineStr">
        <is>
          <t>Short</t>
        </is>
      </c>
      <c r="F54" s="55" t="n">
        <v>-0.01137823004756664</v>
      </c>
      <c r="G54" s="30" t="inlineStr">
        <is>
          <t>Basic DCF</t>
        </is>
      </c>
      <c r="H54" s="50" t="n">
        <v>3.485350300841989</v>
      </c>
      <c r="I54" s="50" t="n">
        <v>242.08</v>
      </c>
      <c r="J54" s="51" t="n">
        <v>-0.9856024855384915</v>
      </c>
      <c r="K54" s="52" t="n">
        <v>96.64702400912</v>
      </c>
      <c r="L54" s="36" t="n">
        <v>0.25</v>
      </c>
      <c r="M54" s="36" t="n">
        <v>0.9944456821053534</v>
      </c>
      <c r="N54" s="37" t="n">
        <v>0.08</v>
      </c>
      <c r="O54" s="38" t="n">
        <v>0.149166852315803</v>
      </c>
      <c r="P54" s="51">
        <f>IFERROR(INDEX(Pharma!$K$3:$K$677,MATCH($C54,Pharma!$B$3:$B$677,0)),"")</f>
        <v/>
      </c>
      <c r="Q54" s="53">
        <f>IFERROR(IF(INDEX(Pharma!$M$3:$M$677,MATCH($C54,Pharma!$B$3:$B$677,0))="","",INDEX(Pharma!$M$3:$M$677,MATCH($C54,Pharma!$B$3:$B$677,0))),"")</f>
        <v/>
      </c>
      <c r="R54" s="30">
        <f>IFERROR(T(INDEX(Pharma!$N$3:$N$677,MATCH($C54,Pharma!$B$3:$B$677,0))),"")</f>
        <v/>
      </c>
    </row>
    <row r="55">
      <c r="B55" s="29" t="n">
        <v>18</v>
      </c>
      <c r="C55" s="30" t="inlineStr">
        <is>
          <t>COGT</t>
        </is>
      </c>
      <c r="D55" s="30" t="inlineStr">
        <is>
          <t>Cogent Biosciences, Inc.</t>
        </is>
      </c>
      <c r="E55" s="41" t="inlineStr">
        <is>
          <t>Short</t>
        </is>
      </c>
      <c r="F55" s="55" t="n">
        <v>-0.01133894152097114</v>
      </c>
      <c r="G55" s="30" t="inlineStr">
        <is>
          <t>PDUFA rNPV</t>
        </is>
      </c>
      <c r="H55" s="50" t="n">
        <v>18.91429783503043</v>
      </c>
      <c r="I55" s="50" t="n">
        <v>31.24</v>
      </c>
      <c r="J55" s="51" t="n">
        <v>-0.3945487248709849</v>
      </c>
      <c r="K55" s="52" t="n">
        <v>5.869823617679999</v>
      </c>
      <c r="L55" s="36" t="n">
        <v>0.7</v>
      </c>
      <c r="M55" s="36" t="n">
        <v>0.5382343942485726</v>
      </c>
      <c r="N55" s="37" t="n">
        <v>0.04</v>
      </c>
      <c r="O55" s="38" t="n">
        <v>0.1486517857527369</v>
      </c>
      <c r="P55" s="51">
        <f>IFERROR(INDEX(Pharma!$K$3:$K$677,MATCH($C55,Pharma!$B$3:$B$677,0)),"")</f>
        <v/>
      </c>
      <c r="Q55" s="53">
        <f>IFERROR(IF(INDEX(Pharma!$M$3:$M$677,MATCH($C55,Pharma!$B$3:$B$677,0))="","",INDEX(Pharma!$M$3:$M$677,MATCH($C55,Pharma!$B$3:$B$677,0))),"")</f>
        <v/>
      </c>
      <c r="R55" s="30">
        <f>IFERROR(T(INDEX(Pharma!$N$3:$N$677,MATCH($C55,Pharma!$B$3:$B$677,0))),"")</f>
        <v/>
      </c>
    </row>
    <row r="56">
      <c r="B56" s="29" t="n">
        <v>19</v>
      </c>
      <c r="C56" s="30" t="inlineStr">
        <is>
          <t>BMRN</t>
        </is>
      </c>
      <c r="D56" s="30" t="inlineStr">
        <is>
          <t>BioMarin Pharmaceutical Inc.</t>
        </is>
      </c>
      <c r="E56" s="41" t="inlineStr">
        <is>
          <t>Short</t>
        </is>
      </c>
      <c r="F56" s="55" t="n">
        <v>-0.01109397894695876</v>
      </c>
      <c r="G56" s="30" t="inlineStr">
        <is>
          <t>Basic DCF</t>
        </is>
      </c>
      <c r="H56" s="50" t="n">
        <v>30.76438873871339</v>
      </c>
      <c r="I56" s="50" t="n">
        <v>56.44</v>
      </c>
      <c r="J56" s="51" t="n">
        <v>-0.4549186970461837</v>
      </c>
      <c r="K56" s="52" t="n">
        <v>10.92530295796</v>
      </c>
      <c r="L56" s="36" t="n">
        <v>0.5</v>
      </c>
      <c r="M56" s="36" t="n">
        <v>0.6394125582879819</v>
      </c>
      <c r="N56" s="37" t="n">
        <v>0.06</v>
      </c>
      <c r="O56" s="38" t="n">
        <v>0.1454403639456679</v>
      </c>
      <c r="P56" s="51">
        <f>IFERROR(INDEX(Pharma!$K$3:$K$677,MATCH($C56,Pharma!$B$3:$B$677,0)),"")</f>
        <v/>
      </c>
      <c r="Q56" s="53">
        <f>IFERROR(IF(INDEX(Pharma!$M$3:$M$677,MATCH($C56,Pharma!$B$3:$B$677,0))="","",INDEX(Pharma!$M$3:$M$677,MATCH($C56,Pharma!$B$3:$B$677,0))),"")</f>
        <v/>
      </c>
      <c r="R56" s="30">
        <f>IFERROR(T(INDEX(Pharma!$N$3:$N$677,MATCH($C56,Pharma!$B$3:$B$677,0))),"")</f>
        <v/>
      </c>
    </row>
    <row r="57">
      <c r="B57" s="29" t="n">
        <v>20</v>
      </c>
      <c r="C57" s="30" t="inlineStr">
        <is>
          <t>KRYS</t>
        </is>
      </c>
      <c r="D57" s="30" t="inlineStr">
        <is>
          <t>Krystal Biotech, Inc.</t>
        </is>
      </c>
      <c r="E57" s="41" t="inlineStr">
        <is>
          <t>Short</t>
        </is>
      </c>
      <c r="F57" s="55" t="n">
        <v>-0.01086220517612041</v>
      </c>
      <c r="G57" s="30" t="inlineStr">
        <is>
          <t>Basic DCF</t>
        </is>
      </c>
      <c r="H57" s="50" t="n">
        <v>175.6678121578777</v>
      </c>
      <c r="I57" s="50" t="n">
        <v>325.42</v>
      </c>
      <c r="J57" s="51" t="n">
        <v>-0.4601812668002037</v>
      </c>
      <c r="K57" s="52" t="n">
        <v>9.632053211119999</v>
      </c>
      <c r="L57" s="36" t="n">
        <v>0.5</v>
      </c>
      <c r="M57" s="36" t="n">
        <v>0.6188945774230116</v>
      </c>
      <c r="N57" s="37" t="n">
        <v>0.04</v>
      </c>
      <c r="O57" s="38" t="n">
        <v>0.1424018453271491</v>
      </c>
      <c r="P57" s="51">
        <f>IFERROR(INDEX(Pharma!$K$3:$K$677,MATCH($C57,Pharma!$B$3:$B$677,0)),"")</f>
        <v/>
      </c>
      <c r="Q57" s="53">
        <f>IFERROR(IF(INDEX(Pharma!$M$3:$M$677,MATCH($C57,Pharma!$B$3:$B$677,0))="","",INDEX(Pharma!$M$3:$M$677,MATCH($C57,Pharma!$B$3:$B$677,0))),"")</f>
        <v/>
      </c>
      <c r="R57" s="30">
        <f>IFERROR(T(INDEX(Pharma!$N$3:$N$677,MATCH($C57,Pharma!$B$3:$B$677,0))),"")</f>
        <v/>
      </c>
    </row>
    <row r="58">
      <c r="B58" s="29" t="n">
        <v>21</v>
      </c>
      <c r="C58" s="30" t="inlineStr">
        <is>
          <t>NTRA</t>
        </is>
      </c>
      <c r="D58" s="30" t="inlineStr">
        <is>
          <t>Natera, Inc.</t>
        </is>
      </c>
      <c r="E58" s="41" t="inlineStr">
        <is>
          <t>Short</t>
        </is>
      </c>
      <c r="F58" s="55" t="n">
        <v>-0.01044307486340196</v>
      </c>
      <c r="G58" s="30" t="inlineStr">
        <is>
          <t>Basic DCF</t>
        </is>
      </c>
      <c r="H58" s="50" t="n">
        <v>127.2684881888519</v>
      </c>
      <c r="I58" s="50" t="n">
        <v>405.92</v>
      </c>
      <c r="J58" s="51" t="n">
        <v>-0.6864690377688906</v>
      </c>
      <c r="K58" s="52" t="n">
        <v>58.5110014864</v>
      </c>
      <c r="L58" s="36" t="n">
        <v>0.25</v>
      </c>
      <c r="M58" s="36" t="n">
        <v>0.9127140743681832</v>
      </c>
      <c r="N58" s="37" t="n">
        <v>0.08</v>
      </c>
      <c r="O58" s="38" t="n">
        <v>0.1369071111552275</v>
      </c>
      <c r="P58" s="51">
        <f>IFERROR(INDEX(Pharma!$K$3:$K$677,MATCH($C58,Pharma!$B$3:$B$677,0)),"")</f>
        <v/>
      </c>
      <c r="Q58" s="53">
        <f>IFERROR(IF(INDEX(Pharma!$M$3:$M$677,MATCH($C58,Pharma!$B$3:$B$677,0))="","",INDEX(Pharma!$M$3:$M$677,MATCH($C58,Pharma!$B$3:$B$677,0))),"")</f>
        <v/>
      </c>
      <c r="R58" s="30">
        <f>IFERROR(T(INDEX(Pharma!$N$3:$N$677,MATCH($C58,Pharma!$B$3:$B$677,0))),"")</f>
        <v/>
      </c>
    </row>
    <row r="59">
      <c r="B59" s="29" t="n">
        <v>22</v>
      </c>
      <c r="C59" s="30" t="inlineStr">
        <is>
          <t>TGTX</t>
        </is>
      </c>
      <c r="D59" s="30" t="inlineStr">
        <is>
          <t>TG Therapeutics, Inc.</t>
        </is>
      </c>
      <c r="E59" s="41" t="inlineStr">
        <is>
          <t>Short</t>
        </is>
      </c>
      <c r="F59" s="55" t="n">
        <v>-0.009800812205568492</v>
      </c>
      <c r="G59" s="30" t="inlineStr">
        <is>
          <t>Basic DCF</t>
        </is>
      </c>
      <c r="H59" s="50" t="n">
        <v>31.00164458988266</v>
      </c>
      <c r="I59" s="50" t="n">
        <v>54.53</v>
      </c>
      <c r="J59" s="51" t="n">
        <v>-0.4314754338917539</v>
      </c>
      <c r="K59" s="52" t="n">
        <v>8.346855460090001</v>
      </c>
      <c r="L59" s="36" t="n">
        <v>0.5</v>
      </c>
      <c r="M59" s="36" t="n">
        <v>0.5955710848837622</v>
      </c>
      <c r="N59" s="37" t="n">
        <v>0.04</v>
      </c>
      <c r="O59" s="38" t="n">
        <v>0.128487146131802</v>
      </c>
      <c r="P59" s="51">
        <f>IFERROR(INDEX(Pharma!$K$3:$K$677,MATCH($C59,Pharma!$B$3:$B$677,0)),"")</f>
        <v/>
      </c>
      <c r="Q59" s="53">
        <f>IFERROR(IF(INDEX(Pharma!$M$3:$M$677,MATCH($C59,Pharma!$B$3:$B$677,0))="","",INDEX(Pharma!$M$3:$M$677,MATCH($C59,Pharma!$B$3:$B$677,0))),"")</f>
        <v/>
      </c>
      <c r="R59" s="30">
        <f>IFERROR(T(INDEX(Pharma!$N$3:$N$677,MATCH($C59,Pharma!$B$3:$B$677,0))),"")</f>
        <v/>
      </c>
    </row>
    <row r="60">
      <c r="B60" s="29" t="n">
        <v>23</v>
      </c>
      <c r="C60" s="30" t="inlineStr">
        <is>
          <t>CYTK</t>
        </is>
      </c>
      <c r="D60" s="30" t="inlineStr">
        <is>
          <t>Cytokinetics, Incorporated</t>
        </is>
      </c>
      <c r="E60" s="41" t="inlineStr">
        <is>
          <t>Short</t>
        </is>
      </c>
      <c r="F60" s="55" t="n">
        <v>-0.009715937602212945</v>
      </c>
      <c r="G60" s="30" t="inlineStr">
        <is>
          <t>PDUFA rNPV</t>
        </is>
      </c>
      <c r="H60" s="50" t="n">
        <v>44.74293415260998</v>
      </c>
      <c r="I60" s="50" t="n">
        <v>63.95</v>
      </c>
      <c r="J60" s="51" t="n">
        <v>-0.3003450484345586</v>
      </c>
      <c r="K60" s="52" t="n">
        <v>8.8905475811</v>
      </c>
      <c r="L60" s="36" t="n">
        <v>0.7</v>
      </c>
      <c r="M60" s="36" t="n">
        <v>0.6058481914715245</v>
      </c>
      <c r="N60" s="37" t="n">
        <v>0.04</v>
      </c>
      <c r="O60" s="38" t="n">
        <v>0.1273744530880533</v>
      </c>
      <c r="P60" s="51">
        <f>IFERROR(INDEX(Pharma!$K$3:$K$677,MATCH($C60,Pharma!$B$3:$B$677,0)),"")</f>
        <v/>
      </c>
      <c r="Q60" s="53">
        <f>IFERROR(IF(INDEX(Pharma!$M$3:$M$677,MATCH($C60,Pharma!$B$3:$B$677,0))="","",INDEX(Pharma!$M$3:$M$677,MATCH($C60,Pharma!$B$3:$B$677,0))),"")</f>
        <v/>
      </c>
      <c r="R60" s="30">
        <f>IFERROR(T(INDEX(Pharma!$N$3:$N$677,MATCH($C60,Pharma!$B$3:$B$677,0))),"")</f>
        <v/>
      </c>
    </row>
    <row r="61">
      <c r="B61" s="29" t="n">
        <v>24</v>
      </c>
      <c r="C61" s="30" t="inlineStr">
        <is>
          <t>CDNA</t>
        </is>
      </c>
      <c r="D61" s="30" t="inlineStr">
        <is>
          <t>CareDx, Inc.</t>
        </is>
      </c>
      <c r="E61" s="41" t="inlineStr">
        <is>
          <t>Short</t>
        </is>
      </c>
      <c r="F61" s="55" t="n">
        <v>-0.008545749286220755</v>
      </c>
      <c r="G61" s="30" t="inlineStr">
        <is>
          <t>Basic DCF</t>
        </is>
      </c>
      <c r="H61" s="50" t="n">
        <v>35.32363809606347</v>
      </c>
      <c r="I61" s="50" t="n">
        <v>69.2</v>
      </c>
      <c r="J61" s="51" t="n">
        <v>-0.4895428020800077</v>
      </c>
      <c r="K61" s="52" t="n">
        <v>3.5800082316</v>
      </c>
      <c r="L61" s="36" t="n">
        <v>0.5</v>
      </c>
      <c r="M61" s="36" t="n">
        <v>0.4577065094608328</v>
      </c>
      <c r="N61" s="37" t="n">
        <v>0.04</v>
      </c>
      <c r="O61" s="38" t="n">
        <v>0.1120334635858578</v>
      </c>
      <c r="P61" s="51">
        <f>IFERROR(INDEX(Pharma!$K$3:$K$677,MATCH($C61,Pharma!$B$3:$B$677,0)),"")</f>
        <v/>
      </c>
      <c r="Q61" s="53">
        <f>IFERROR(IF(INDEX(Pharma!$M$3:$M$677,MATCH($C61,Pharma!$B$3:$B$677,0))="","",INDEX(Pharma!$M$3:$M$677,MATCH($C61,Pharma!$B$3:$B$677,0))),"")</f>
        <v/>
      </c>
      <c r="R61" s="30">
        <f>IFERROR(T(INDEX(Pharma!$N$3:$N$677,MATCH($C61,Pharma!$B$3:$B$677,0))),"")</f>
        <v/>
      </c>
    </row>
    <row r="62">
      <c r="B62" s="29" t="n">
        <v>25</v>
      </c>
      <c r="C62" s="30" t="inlineStr">
        <is>
          <t>INSM</t>
        </is>
      </c>
      <c r="D62" s="30" t="inlineStr">
        <is>
          <t>Insmed Incorporated</t>
        </is>
      </c>
      <c r="E62" s="41" t="inlineStr">
        <is>
          <t>Short</t>
        </is>
      </c>
      <c r="F62" s="55" t="n">
        <v>-0.008524091161211347</v>
      </c>
      <c r="G62" s="30" t="inlineStr">
        <is>
          <t>Basic DCF</t>
        </is>
      </c>
      <c r="H62" s="50" t="n">
        <v>9.316283129202091</v>
      </c>
      <c r="I62" s="50" t="n">
        <v>95.67</v>
      </c>
      <c r="J62" s="51" t="n">
        <v>-0.9026206425295067</v>
      </c>
      <c r="K62" s="52" t="n">
        <v>20.89255839201</v>
      </c>
      <c r="L62" s="36" t="n">
        <v>0.25</v>
      </c>
      <c r="M62" s="36" t="n">
        <v>0.7449968592392696</v>
      </c>
      <c r="N62" s="37" t="n">
        <v>0.06</v>
      </c>
      <c r="O62" s="38" t="n">
        <v>0.1117495288858904</v>
      </c>
      <c r="P62" s="51">
        <f>IFERROR(INDEX(Pharma!$K$3:$K$677,MATCH($C62,Pharma!$B$3:$B$677,0)),"")</f>
        <v/>
      </c>
      <c r="Q62" s="53">
        <f>IFERROR(IF(INDEX(Pharma!$M$3:$M$677,MATCH($C62,Pharma!$B$3:$B$677,0))="","",INDEX(Pharma!$M$3:$M$677,MATCH($C62,Pharma!$B$3:$B$677,0))),"")</f>
        <v/>
      </c>
      <c r="R62" s="30">
        <f>IFERROR(T(INDEX(Pharma!$N$3:$N$677,MATCH($C62,Pharma!$B$3:$B$677,0))),"")</f>
        <v/>
      </c>
    </row>
    <row r="63">
      <c r="B63" s="29" t="n">
        <v>26</v>
      </c>
      <c r="C63" s="30" t="inlineStr">
        <is>
          <t>PBH</t>
        </is>
      </c>
      <c r="D63" s="30" t="inlineStr">
        <is>
          <t>Prestige Consumer Healthcare Inc.</t>
        </is>
      </c>
      <c r="E63" s="41" t="inlineStr">
        <is>
          <t>Short</t>
        </is>
      </c>
      <c r="F63" s="55" t="n">
        <v>-0.008400336961714902</v>
      </c>
      <c r="G63" s="30" t="inlineStr">
        <is>
          <t>Basic DCF</t>
        </is>
      </c>
      <c r="H63" s="50" t="n">
        <v>21.35821045832537</v>
      </c>
      <c r="I63" s="50" t="n">
        <v>49.35</v>
      </c>
      <c r="J63" s="51" t="n">
        <v>-0.5672095145222823</v>
      </c>
      <c r="K63" s="52" t="n">
        <v>2.3379326607</v>
      </c>
      <c r="L63" s="36" t="n">
        <v>0.5</v>
      </c>
      <c r="M63" s="36" t="n">
        <v>0.3883119992704016</v>
      </c>
      <c r="N63" s="37" t="n">
        <v>0.02</v>
      </c>
      <c r="O63" s="38" t="n">
        <v>0.1101271302946707</v>
      </c>
      <c r="P63" s="51">
        <f>IFERROR(INDEX(Pharma!$K$3:$K$677,MATCH($C63,Pharma!$B$3:$B$677,0)),"")</f>
        <v/>
      </c>
      <c r="Q63" s="53">
        <f>IFERROR(IF(INDEX(Pharma!$M$3:$M$677,MATCH($C63,Pharma!$B$3:$B$677,0))="","",INDEX(Pharma!$M$3:$M$677,MATCH($C63,Pharma!$B$3:$B$677,0))),"")</f>
        <v/>
      </c>
      <c r="R63" s="30">
        <f>IFERROR(T(INDEX(Pharma!$N$3:$N$677,MATCH($C63,Pharma!$B$3:$B$677,0))),"")</f>
        <v/>
      </c>
    </row>
    <row r="64">
      <c r="B64" s="29" t="n">
        <v>27</v>
      </c>
      <c r="C64" s="30" t="inlineStr">
        <is>
          <t>ARQT</t>
        </is>
      </c>
      <c r="D64" s="30" t="inlineStr">
        <is>
          <t>Arcutis Biotherapeutics, Inc.</t>
        </is>
      </c>
      <c r="E64" s="41" t="inlineStr">
        <is>
          <t>Short</t>
        </is>
      </c>
      <c r="F64" s="55" t="n">
        <v>-0.008355017835819753</v>
      </c>
      <c r="G64" s="30" t="inlineStr">
        <is>
          <t>Basic DCF</t>
        </is>
      </c>
      <c r="H64" s="50" t="n">
        <v>17.86604450612309</v>
      </c>
      <c r="I64" s="50" t="n">
        <v>32.82</v>
      </c>
      <c r="J64" s="51" t="n">
        <v>-0.4556354507579804</v>
      </c>
      <c r="K64" s="52" t="n">
        <v>4.12521016002</v>
      </c>
      <c r="L64" s="36" t="n">
        <v>0.5</v>
      </c>
      <c r="M64" s="36" t="n">
        <v>0.4807922795151418</v>
      </c>
      <c r="N64" s="37" t="n">
        <v>0.04</v>
      </c>
      <c r="O64" s="38" t="n">
        <v>0.1095330034989193</v>
      </c>
      <c r="P64" s="51">
        <f>IFERROR(INDEX(Pharma!$K$3:$K$677,MATCH($C64,Pharma!$B$3:$B$677,0)),"")</f>
        <v/>
      </c>
      <c r="Q64" s="53">
        <f>IFERROR(IF(INDEX(Pharma!$M$3:$M$677,MATCH($C64,Pharma!$B$3:$B$677,0))="","",INDEX(Pharma!$M$3:$M$677,MATCH($C64,Pharma!$B$3:$B$677,0))),"")</f>
        <v/>
      </c>
      <c r="R64" s="30">
        <f>IFERROR(T(INDEX(Pharma!$N$3:$N$677,MATCH($C64,Pharma!$B$3:$B$677,0))),"")</f>
        <v/>
      </c>
    </row>
    <row r="65">
      <c r="B65" s="29" t="n">
        <v>28</v>
      </c>
      <c r="C65" s="30" t="inlineStr">
        <is>
          <t>VRTX</t>
        </is>
      </c>
      <c r="D65" s="30" t="inlineStr">
        <is>
          <t>Vertex Pharmaceuticals Incorporated</t>
        </is>
      </c>
      <c r="E65" s="41" t="inlineStr">
        <is>
          <t>Short</t>
        </is>
      </c>
      <c r="F65" s="55" t="n">
        <v>-0.008314124036014288</v>
      </c>
      <c r="G65" s="30" t="inlineStr">
        <is>
          <t>Basic DCF</t>
        </is>
      </c>
      <c r="H65" s="50" t="n">
        <v>402.4594990128695</v>
      </c>
      <c r="I65" s="50" t="n">
        <v>514.65</v>
      </c>
      <c r="J65" s="51" t="n">
        <v>-0.2179937841001273</v>
      </c>
      <c r="K65" s="52" t="n">
        <v>130.4436645366</v>
      </c>
      <c r="L65" s="36" t="n">
        <v>0.5</v>
      </c>
      <c r="M65" s="36" t="n">
        <v>1</v>
      </c>
      <c r="N65" s="37" t="n">
        <v>0.08</v>
      </c>
      <c r="O65" s="38" t="n">
        <v>0.1089968920500636</v>
      </c>
      <c r="P65" s="51">
        <f>IFERROR(INDEX(Pharma!$K$3:$K$677,MATCH($C65,Pharma!$B$3:$B$677,0)),"")</f>
        <v/>
      </c>
      <c r="Q65" s="53">
        <f>IFERROR(IF(INDEX(Pharma!$M$3:$M$677,MATCH($C65,Pharma!$B$3:$B$677,0))="","",INDEX(Pharma!$M$3:$M$677,MATCH($C65,Pharma!$B$3:$B$677,0))),"")</f>
        <v/>
      </c>
      <c r="R65" s="30">
        <f>IFERROR(T(INDEX(Pharma!$N$3:$N$677,MATCH($C65,Pharma!$B$3:$B$677,0))),"")</f>
        <v/>
      </c>
    </row>
    <row r="66">
      <c r="D66" s="21" t="inlineStr">
        <is>
          <t>Total shorts</t>
        </is>
      </c>
      <c r="F66" s="56" t="n">
        <v>-0.4</v>
      </c>
    </row>
  </sheetData>
  <mergeCells count="10">
    <mergeCell ref="C14:E14"/>
    <mergeCell ref="C11:E11"/>
    <mergeCell ref="C13:E13"/>
    <mergeCell ref="C8:E8"/>
    <mergeCell ref="C9:E9"/>
    <mergeCell ref="C7:E7"/>
    <mergeCell ref="C15:E15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7"/>
  <sheetViews>
    <sheetView showGridLines="0" tabSelected="1" zoomScale="114" workbookViewId="0">
      <pane xSplit="2" ySplit="2" topLeftCell="C104" activePane="bottomRight" state="frozen"/>
      <selection pane="topRight" activeCell="A1" sqref="A1"/>
      <selection pane="bottomLeft" activeCell="A1" sqref="A1"/>
      <selection pane="bottomRight" activeCell="B109" sqref="B109"/>
    </sheetView>
  </sheetViews>
  <sheetFormatPr baseColWidth="10" defaultRowHeight="16"/>
  <cols>
    <col width="4.6640625" customWidth="1" style="45" min="1" max="1"/>
    <col width="38.1640625" customWidth="1" style="45" min="3" max="3"/>
    <col width="16" customWidth="1" style="45" min="4" max="4"/>
    <col width="10.83203125" customWidth="1" style="1" min="6" max="6"/>
    <col width="11.33203125" customWidth="1" style="45" min="7" max="7"/>
    <col width="12" customWidth="1" style="45" min="8" max="8"/>
    <col width="3" customWidth="1" style="45" min="9" max="9"/>
    <col width="12" customWidth="1" style="45" min="10" max="10"/>
    <col width="9" customWidth="1" style="45" min="11" max="11"/>
    <col width="25" customWidth="1" style="45" min="12" max="12"/>
    <col width="12" customWidth="1" style="45" min="13" max="13"/>
    <col width="58" customWidth="1" style="45" min="14" max="14"/>
    <col width="9" customWidth="1" style="12" min="15" max="15"/>
    <col width="9" customWidth="1" style="45" min="16" max="16"/>
  </cols>
  <sheetData>
    <row r="1">
      <c r="F1" s="7" t="inlineStr">
        <is>
          <t>Close 2026-10-20</t>
        </is>
      </c>
    </row>
    <row r="2">
      <c r="B2" s="2" t="inlineStr">
        <is>
          <t>Ticker</t>
        </is>
      </c>
      <c r="C2" s="2" t="inlineStr">
        <is>
          <t>Name</t>
        </is>
      </c>
      <c r="D2" s="2" t="inlineStr">
        <is>
          <t>Industry</t>
        </is>
      </c>
      <c r="E2" s="2" t="inlineStr">
        <is>
          <t>Exchange</t>
        </is>
      </c>
      <c r="F2" s="14" t="inlineStr">
        <is>
          <t>Price</t>
        </is>
      </c>
      <c r="G2" s="15" t="inlineStr">
        <is>
          <t>Market Cap</t>
        </is>
      </c>
      <c r="H2" s="15" t="inlineStr">
        <is>
          <t>Enterprise V.</t>
        </is>
      </c>
      <c r="I2" s="16" t="n"/>
      <c r="J2" s="15" t="inlineStr">
        <is>
          <t>NPV / Share</t>
        </is>
      </c>
      <c r="K2" s="15" t="inlineStr">
        <is>
          <t>Upside</t>
        </is>
      </c>
      <c r="L2" s="15" t="inlineStr">
        <is>
          <t>Model</t>
        </is>
      </c>
      <c r="M2" s="15" t="inlineStr">
        <is>
          <t>Event</t>
        </is>
      </c>
      <c r="N2" s="15" t="inlineStr">
        <is>
          <t>Note(s)</t>
        </is>
      </c>
    </row>
    <row r="3">
      <c r="B3" s="3" t="inlineStr">
        <is>
          <t>LLY</t>
        </is>
      </c>
      <c r="C3" t="inlineStr">
        <is>
          <t>Eli Lilly and Company</t>
        </is>
      </c>
      <c r="D3" t="inlineStr">
        <is>
          <t>Pharmaceuticals</t>
        </is>
      </c>
      <c r="E3" s="5" t="inlineStr">
        <is>
          <t>NYSE</t>
        </is>
      </c>
      <c r="F3" s="1" t="n">
        <v>1286.835</v>
      </c>
      <c r="G3" s="8">
        <f>F3*[1]Main!$C$4</f>
        <v/>
      </c>
      <c r="H3" s="9">
        <f>G3-[1]Main!$C$7+[1]Main!$C$8</f>
        <v/>
      </c>
      <c r="J3" s="1">
        <f>[1]Main!$C$11</f>
        <v/>
      </c>
      <c r="K3" s="57">
        <f>IFERROR(J3/F3-1,"")</f>
        <v/>
      </c>
      <c r="L3" s="12">
        <f>"rNPV ("&amp;[1]Main!$C$14&amp;")"</f>
        <v/>
      </c>
      <c r="M3" s="58" t="n">
        <v>46324</v>
      </c>
      <c r="N3" s="17" t="inlineStr">
        <is>
          <t>Earnings Oct 29 (before open)</t>
        </is>
      </c>
    </row>
    <row r="4">
      <c r="B4" s="3" t="inlineStr">
        <is>
          <t>JNJ</t>
        </is>
      </c>
      <c r="C4" t="inlineStr">
        <is>
          <t>Johnson &amp; Johnson</t>
        </is>
      </c>
      <c r="D4" t="inlineStr">
        <is>
          <t>Pharmaceuticals</t>
        </is>
      </c>
      <c r="E4" s="6" t="inlineStr">
        <is>
          <t>NYSE</t>
        </is>
      </c>
      <c r="F4" s="1" t="n">
        <v>259.4</v>
      </c>
      <c r="G4" s="8">
        <f>F4*[2]Main!$C$4</f>
        <v/>
      </c>
      <c r="H4" s="10">
        <f>G4-[2]Main!$C$7+[2]Main!$C$8</f>
        <v/>
      </c>
      <c r="J4" s="1">
        <f>IF(ISNUMBER([2]Main!$C$11),[2]Main!$C$11,"")</f>
        <v/>
      </c>
      <c r="K4" s="57">
        <f>IFERROR(J4/F4-1,"")</f>
        <v/>
      </c>
      <c r="L4" s="12">
        <f>[2]Main!$C$15&amp;" ("&amp;[2]Main!$C$14&amp;")"</f>
        <v/>
      </c>
      <c r="M4" s="58" t="n"/>
      <c r="N4" s="17" t="n"/>
    </row>
    <row r="5">
      <c r="B5" s="3" t="inlineStr">
        <is>
          <t>ABBV</t>
        </is>
      </c>
      <c r="C5" t="inlineStr">
        <is>
          <t>AbbVie Inc.</t>
        </is>
      </c>
      <c r="D5" t="inlineStr">
        <is>
          <t>Biotechnology</t>
        </is>
      </c>
      <c r="E5" s="6" t="inlineStr">
        <is>
          <t>NYSE</t>
        </is>
      </c>
      <c r="F5" s="1" t="n">
        <v>289.15</v>
      </c>
      <c r="G5" s="8">
        <f>F5*[3]Main!$C$4</f>
        <v/>
      </c>
      <c r="H5" s="10">
        <f>G5-[3]Main!$C$7+[3]Main!$C$8</f>
        <v/>
      </c>
      <c r="J5" s="1">
        <f>IF(ISNUMBER([3]Main!$C$11),[3]Main!$C$11,"")</f>
        <v/>
      </c>
      <c r="K5" s="57">
        <f>IFERROR(J5/F5-1,"")</f>
        <v/>
      </c>
      <c r="L5" s="12">
        <f>[3]Main!$C$15&amp;" ("&amp;[3]Main!$C$14&amp;")"</f>
        <v/>
      </c>
      <c r="M5" s="58" t="n">
        <v>46325</v>
      </c>
      <c r="N5" s="17" t="inlineStr">
        <is>
          <t>Earnings Oct 30 (before open)</t>
        </is>
      </c>
    </row>
    <row r="6">
      <c r="B6" s="3" t="inlineStr">
        <is>
          <t>MRK</t>
        </is>
      </c>
      <c r="C6" t="inlineStr">
        <is>
          <t>Merck &amp; Co Inc</t>
        </is>
      </c>
      <c r="D6" t="inlineStr">
        <is>
          <t>Pharmaceuticals</t>
        </is>
      </c>
      <c r="E6" s="6" t="inlineStr">
        <is>
          <t>NYSE</t>
        </is>
      </c>
      <c r="F6" s="1" t="n">
        <v>148.3</v>
      </c>
      <c r="G6" s="8">
        <f>F6*[4]Main!$C$4</f>
        <v/>
      </c>
      <c r="H6" s="10">
        <f>G6-[4]Main!$C$7+[4]Main!$C$8</f>
        <v/>
      </c>
      <c r="J6" s="1">
        <f>IF(ISNUMBER([4]Main!$C$11),[4]Main!$C$11,"")</f>
        <v/>
      </c>
      <c r="K6" s="57">
        <f>IFERROR(J6/F6-1,"")</f>
        <v/>
      </c>
      <c r="L6" s="12">
        <f>[4]Main!$C$15&amp;" ("&amp;[4]Main!$C$14&amp;")"</f>
        <v/>
      </c>
      <c r="M6" s="58" t="n">
        <v>46324</v>
      </c>
      <c r="N6" s="17" t="inlineStr">
        <is>
          <t>Earnings Oct 29 (before open)</t>
        </is>
      </c>
    </row>
    <row r="7">
      <c r="B7" s="3" t="inlineStr">
        <is>
          <t>NVS</t>
        </is>
      </c>
      <c r="C7" t="inlineStr">
        <is>
          <t>Novartis AG</t>
        </is>
      </c>
      <c r="D7" t="inlineStr">
        <is>
          <t>Pharmaceuticals</t>
        </is>
      </c>
      <c r="E7" s="6" t="inlineStr">
        <is>
          <t>NYSE</t>
        </is>
      </c>
      <c r="F7" s="1" t="n">
        <v>153.64</v>
      </c>
      <c r="G7" s="8">
        <f>F7*[5]Main!$C$4</f>
        <v/>
      </c>
      <c r="H7" s="10">
        <f>G7-[5]Main!$C$7+[5]Main!$C$8</f>
        <v/>
      </c>
      <c r="J7" s="1">
        <f>IF(ISNUMBER([5]Main!$C$11),[5]Main!$C$11,"")</f>
        <v/>
      </c>
      <c r="K7" s="57">
        <f>IFERROR(J7/F7-1,"")</f>
        <v/>
      </c>
      <c r="L7" s="12">
        <f>[5]Main!$C$15&amp;" ("&amp;[5]Main!$C$14&amp;")"</f>
        <v/>
      </c>
      <c r="M7" s="58" t="n">
        <v>46322</v>
      </c>
      <c r="N7" s="17" t="inlineStr">
        <is>
          <t>Earnings Oct 27 (before open)</t>
        </is>
      </c>
    </row>
    <row r="8">
      <c r="B8" s="3" t="inlineStr">
        <is>
          <t>AZN</t>
        </is>
      </c>
      <c r="C8" t="inlineStr">
        <is>
          <t>AstraZeneca PLC</t>
        </is>
      </c>
      <c r="D8" t="inlineStr">
        <is>
          <t>Pharmaceuticals</t>
        </is>
      </c>
      <c r="E8" s="6" t="inlineStr">
        <is>
          <t>NYSE</t>
        </is>
      </c>
      <c r="F8" s="1" t="n">
        <v>168.82</v>
      </c>
      <c r="G8" s="8">
        <f>F8*[6]Main!$C$4</f>
        <v/>
      </c>
      <c r="H8" s="10">
        <f>G8-[6]Main!$C$7+[6]Main!$C$8</f>
        <v/>
      </c>
      <c r="J8" s="1">
        <f>IF(ISNUMBER([6]Main!$C$11),[6]Main!$C$11,"")</f>
        <v/>
      </c>
      <c r="K8" s="57">
        <f>IFERROR(J8/F8-1,"")</f>
        <v/>
      </c>
      <c r="L8" s="12">
        <f>[6]Main!$C$15&amp;" ("&amp;[6]Main!$C$14&amp;")"</f>
        <v/>
      </c>
      <c r="M8" s="58" t="n">
        <v>46325</v>
      </c>
      <c r="N8" s="17" t="inlineStr">
        <is>
          <t>Earnings Oct 30 (before open)</t>
        </is>
      </c>
    </row>
    <row r="9">
      <c r="B9" s="3" t="inlineStr">
        <is>
          <t>AMGN</t>
        </is>
      </c>
      <c r="C9" t="inlineStr">
        <is>
          <t>Amgen Inc</t>
        </is>
      </c>
      <c r="D9" t="inlineStr">
        <is>
          <t>Biotechnology</t>
        </is>
      </c>
      <c r="E9" s="6" t="inlineStr">
        <is>
          <t>NASDAQ</t>
        </is>
      </c>
      <c r="F9" s="1" t="n">
        <v>438.94</v>
      </c>
      <c r="G9" s="8">
        <f>F9*[7]Main!$C$4</f>
        <v/>
      </c>
      <c r="H9" s="10">
        <f>G9-[7]Main!$C$7+[7]Main!$C$8</f>
        <v/>
      </c>
      <c r="J9" s="1">
        <f>IF(ISNUMBER([7]Main!$C$11),[7]Main!$C$11,"")</f>
        <v/>
      </c>
      <c r="K9" s="57">
        <f>IFERROR(J9/F9-1,"")</f>
        <v/>
      </c>
      <c r="L9" s="12">
        <f>[7]Main!$C$15&amp;" ("&amp;[7]Main!$C$14&amp;")"</f>
        <v/>
      </c>
      <c r="M9" s="58" t="n">
        <v>46329</v>
      </c>
      <c r="N9" s="17" t="inlineStr">
        <is>
          <t>Earnings Nov 3 (after close)</t>
        </is>
      </c>
    </row>
    <row r="10">
      <c r="B10" s="3" t="inlineStr">
        <is>
          <t>GILD</t>
        </is>
      </c>
      <c r="C10" t="inlineStr">
        <is>
          <t>Gilead Sciences, Inc.</t>
        </is>
      </c>
      <c r="D10" t="inlineStr">
        <is>
          <t>Biotechnology</t>
        </is>
      </c>
      <c r="E10" s="6" t="inlineStr">
        <is>
          <t>NASDAQ</t>
        </is>
      </c>
      <c r="F10" s="1" t="n">
        <v>156.51</v>
      </c>
      <c r="G10" s="8">
        <f>F10*[8]Main!$C$4</f>
        <v/>
      </c>
      <c r="H10" s="10">
        <f>G10-[8]Main!$C$7+[8]Main!$C$8</f>
        <v/>
      </c>
      <c r="J10" s="1">
        <f>IF(ISNUMBER([8]Main!$C$11),[8]Main!$C$11,"")</f>
        <v/>
      </c>
      <c r="K10" s="57">
        <f>IFERROR(J10/F10-1,"")</f>
        <v/>
      </c>
      <c r="L10" s="12">
        <f>[8]Main!$C$15&amp;" ("&amp;[8]Main!$C$14&amp;")"</f>
        <v/>
      </c>
      <c r="M10" s="58" t="n">
        <v>46324</v>
      </c>
      <c r="N10" s="17" t="inlineStr">
        <is>
          <t>Earnings Oct 29 (after close)</t>
        </is>
      </c>
    </row>
    <row r="11">
      <c r="B11" s="3" t="inlineStr">
        <is>
          <t>NVO</t>
        </is>
      </c>
      <c r="C11" t="inlineStr">
        <is>
          <t>Novo Nordisk A/S</t>
        </is>
      </c>
      <c r="D11" t="inlineStr">
        <is>
          <t>Pharmaceuticals</t>
        </is>
      </c>
      <c r="E11" s="6" t="inlineStr">
        <is>
          <t>NYSE</t>
        </is>
      </c>
      <c r="F11" s="1" t="n">
        <v>39.345</v>
      </c>
      <c r="G11" s="8">
        <f>F11*[9]Main!$C$4</f>
        <v/>
      </c>
      <c r="H11" s="10">
        <f>G11-[9]Main!$C$7+[9]Main!$C$8</f>
        <v/>
      </c>
      <c r="J11" s="1">
        <f>IF(ISNUMBER([9]Main!$C$11),[9]Main!$C$11,"")</f>
        <v/>
      </c>
      <c r="K11" s="57">
        <f>IFERROR(J11/F11-1,"")</f>
        <v/>
      </c>
      <c r="L11" s="12">
        <f>[9]Main!$C$15&amp;" ("&amp;[9]Main!$C$14&amp;")"</f>
        <v/>
      </c>
      <c r="M11" s="58" t="n">
        <v>46330</v>
      </c>
      <c r="N11" s="17" t="inlineStr">
        <is>
          <t>Earnings Nov 4 (est.)</t>
        </is>
      </c>
    </row>
    <row r="12">
      <c r="B12" s="3" t="inlineStr">
        <is>
          <t>PFE</t>
        </is>
      </c>
      <c r="C12" t="inlineStr">
        <is>
          <t>Pfizer Inc.</t>
        </is>
      </c>
      <c r="D12" t="inlineStr">
        <is>
          <t>Pharmaceuticals</t>
        </is>
      </c>
      <c r="E12" s="6" t="inlineStr">
        <is>
          <t>NYSE</t>
        </is>
      </c>
      <c r="F12" s="1" t="n">
        <v>30.13</v>
      </c>
      <c r="G12" s="8">
        <f>F12*[10]Main!$C$4</f>
        <v/>
      </c>
      <c r="H12" s="10">
        <f>G12-[10]Main!$C$7+[10]Main!$C$8</f>
        <v/>
      </c>
      <c r="J12" s="1">
        <f>IF(ISNUMBER([10]Main!$C$11),[10]Main!$C$11,"")</f>
        <v/>
      </c>
      <c r="K12" s="57">
        <f>IFERROR(J12/F12-1,"")</f>
        <v/>
      </c>
      <c r="L12" s="12">
        <f>[10]Main!$C$15&amp;" ("&amp;[10]Main!$C$14&amp;")"</f>
        <v/>
      </c>
      <c r="M12" s="58" t="n">
        <v>46329</v>
      </c>
      <c r="N12" s="17" t="inlineStr">
        <is>
          <t>Earnings Nov 3 (before open)</t>
        </is>
      </c>
    </row>
    <row r="13">
      <c r="B13" s="3" t="inlineStr">
        <is>
          <t>VRTX</t>
        </is>
      </c>
      <c r="C13" t="inlineStr">
        <is>
          <t>Vertex Pharmaceuticals Incorporated</t>
        </is>
      </c>
      <c r="D13" t="inlineStr">
        <is>
          <t>Biotechnology</t>
        </is>
      </c>
      <c r="E13" s="6" t="inlineStr">
        <is>
          <t>NASDAQ</t>
        </is>
      </c>
      <c r="F13" s="1" t="n">
        <v>514.65</v>
      </c>
      <c r="G13" s="8">
        <f>F13*[11]Main!$C$4</f>
        <v/>
      </c>
      <c r="H13" s="10">
        <f>G13-[11]Main!$C$7+[11]Main!$C$8</f>
        <v/>
      </c>
      <c r="J13" s="1">
        <f>IF(ISNUMBER([11]Main!$C$11),[11]Main!$C$11,"")</f>
        <v/>
      </c>
      <c r="K13" s="57">
        <f>IFERROR(J13/F13-1,"")</f>
        <v/>
      </c>
      <c r="L13" s="12">
        <f>[11]Main!$C$15&amp;" ("&amp;[11]Main!$C$14&amp;")"</f>
        <v/>
      </c>
      <c r="M13" s="58" t="n">
        <v>46328</v>
      </c>
      <c r="N13" s="17" t="inlineStr">
        <is>
          <t>Earnings Nov 2 (after close)</t>
        </is>
      </c>
    </row>
    <row r="14">
      <c r="B14" s="3" t="inlineStr">
        <is>
          <t>BMY</t>
        </is>
      </c>
      <c r="C14" t="inlineStr">
        <is>
          <t>Bristol-Myers Squibb Company</t>
        </is>
      </c>
      <c r="D14" t="inlineStr">
        <is>
          <t>Pharmaceuticals</t>
        </is>
      </c>
      <c r="E14" s="6" t="inlineStr">
        <is>
          <t>NYSE</t>
        </is>
      </c>
      <c r="F14" s="1" t="n">
        <v>61.715</v>
      </c>
      <c r="G14" s="8">
        <f>F14*[12]Main!$C$4</f>
        <v/>
      </c>
      <c r="H14" s="10">
        <f>G14-[12]Main!$C$7+[12]Main!$C$8</f>
        <v/>
      </c>
      <c r="J14" s="1">
        <f>IF(ISNUMBER([12]Main!$C$11),[12]Main!$C$11,"")</f>
        <v/>
      </c>
      <c r="K14" s="57">
        <f>IFERROR(J14/F14-1,"")</f>
        <v/>
      </c>
      <c r="L14" s="12">
        <f>[12]Main!$C$15&amp;" ("&amp;[12]Main!$C$14&amp;")"</f>
        <v/>
      </c>
      <c r="M14" s="58" t="n">
        <v>46324</v>
      </c>
      <c r="N14" s="17" t="inlineStr">
        <is>
          <t>Earnings Oct 29 (before open)</t>
        </is>
      </c>
    </row>
    <row r="15">
      <c r="B15" s="3" t="inlineStr">
        <is>
          <t>GSK</t>
        </is>
      </c>
      <c r="C15" t="inlineStr">
        <is>
          <t>GSK plc</t>
        </is>
      </c>
      <c r="D15" t="inlineStr">
        <is>
          <t>Pharmaceuticals</t>
        </is>
      </c>
      <c r="E15" s="6" t="inlineStr">
        <is>
          <t>NYSE</t>
        </is>
      </c>
      <c r="F15" s="1" t="n">
        <v>50.645</v>
      </c>
      <c r="G15" s="8">
        <f>F15*[13]Main!$C$4</f>
        <v/>
      </c>
      <c r="H15" s="10">
        <f>G15-[13]Main!$C$7+[13]Main!$C$8</f>
        <v/>
      </c>
      <c r="J15" s="1">
        <f>IF(ISNUMBER([13]Main!$C$11),[13]Main!$C$11,"")</f>
        <v/>
      </c>
      <c r="K15" s="57">
        <f>IFERROR(J15/F15-1,"")</f>
        <v/>
      </c>
      <c r="L15" s="12">
        <f>[13]Main!$C$15&amp;" ("&amp;[13]Main!$C$14&amp;")"</f>
        <v/>
      </c>
      <c r="M15" s="58" t="n">
        <v>46323</v>
      </c>
      <c r="N15" s="17" t="inlineStr">
        <is>
          <t>Earnings Oct 28 (before open)</t>
        </is>
      </c>
    </row>
    <row r="16">
      <c r="B16" s="3" t="inlineStr">
        <is>
          <t>SNY</t>
        </is>
      </c>
      <c r="C16" t="inlineStr">
        <is>
          <t>Sanofi SA</t>
        </is>
      </c>
      <c r="D16" t="inlineStr">
        <is>
          <t>Pharmaceuticals</t>
        </is>
      </c>
      <c r="E16" s="6" t="inlineStr">
        <is>
          <t>NASDAQ</t>
        </is>
      </c>
      <c r="F16" s="1" t="n">
        <v>41.4</v>
      </c>
      <c r="G16" s="8">
        <f>F16*[14]Main!$C$4</f>
        <v/>
      </c>
      <c r="H16" s="10">
        <f>G16-[14]Main!$C$7+[14]Main!$C$8</f>
        <v/>
      </c>
      <c r="J16" s="1">
        <f>IF(ISNUMBER([14]Main!$C$11),[14]Main!$C$11,"")</f>
        <v/>
      </c>
      <c r="K16" s="57">
        <f>IFERROR(J16/F16-1,"")</f>
        <v/>
      </c>
      <c r="L16" s="12">
        <f>[14]Main!$C$15&amp;" ("&amp;[14]Main!$C$14&amp;")"</f>
        <v/>
      </c>
      <c r="M16" s="58" t="n">
        <v>46325</v>
      </c>
      <c r="N16" s="17" t="inlineStr">
        <is>
          <t>Earnings Oct 30 (before open)</t>
        </is>
      </c>
    </row>
    <row r="17">
      <c r="B17" s="3" t="inlineStr">
        <is>
          <t>MRNA</t>
        </is>
      </c>
      <c r="C17" t="inlineStr">
        <is>
          <t>Moderna, Inc.</t>
        </is>
      </c>
      <c r="D17" t="inlineStr">
        <is>
          <t>Biotechnology</t>
        </is>
      </c>
      <c r="E17" s="6" t="inlineStr">
        <is>
          <t>NASDAQ</t>
        </is>
      </c>
      <c r="F17" s="1" t="n">
        <v>242.08</v>
      </c>
      <c r="G17" s="8">
        <f>F17*[15]Main!$C$4</f>
        <v/>
      </c>
      <c r="H17" s="10">
        <f>G17-[15]Main!$C$7+[15]Main!$C$8</f>
        <v/>
      </c>
      <c r="J17" s="1">
        <f>IF(ISNUMBER([15]Main!$C$11),[15]Main!$C$11,"")</f>
        <v/>
      </c>
      <c r="K17" s="57">
        <f>IFERROR(J17/F17-1,"")</f>
        <v/>
      </c>
      <c r="L17" s="12">
        <f>[15]Main!$C$15&amp;" ("&amp;[15]Main!$C$14&amp;")"</f>
        <v/>
      </c>
      <c r="M17" s="58" t="n">
        <v>46332</v>
      </c>
      <c r="N17" s="17" t="inlineStr">
        <is>
          <t>Earnings Nov 6 (before open)</t>
        </is>
      </c>
    </row>
    <row r="18">
      <c r="B18" s="3" t="inlineStr">
        <is>
          <t>REGN</t>
        </is>
      </c>
      <c r="C18" t="inlineStr">
        <is>
          <t>Regeneron Pharmaceuticals, Inc.</t>
        </is>
      </c>
      <c r="D18" t="inlineStr">
        <is>
          <t>Biotechnology</t>
        </is>
      </c>
      <c r="E18" s="6" t="inlineStr">
        <is>
          <t>NASDAQ</t>
        </is>
      </c>
      <c r="F18" s="1" t="n">
        <v>807.48</v>
      </c>
      <c r="G18" s="8">
        <f>F18*[16]Main!$C$4</f>
        <v/>
      </c>
      <c r="H18" s="10">
        <f>G18-[16]Main!$C$7+[16]Main!$C$8</f>
        <v/>
      </c>
      <c r="J18" s="1">
        <f>IF(ISNUMBER([16]Main!$C$11),[16]Main!$C$11,"")</f>
        <v/>
      </c>
      <c r="K18" s="57">
        <f>IFERROR(J18/F18-1,"")</f>
        <v/>
      </c>
      <c r="L18" s="12">
        <f>[16]Main!$C$15&amp;" ("&amp;[16]Main!$C$14&amp;")"</f>
        <v/>
      </c>
      <c r="M18" s="58" t="n">
        <v>46325</v>
      </c>
      <c r="N18" s="17" t="inlineStr">
        <is>
          <t>Earnings Oct 30 (before open)</t>
        </is>
      </c>
    </row>
    <row r="19">
      <c r="B19" s="3" t="inlineStr">
        <is>
          <t>TAK</t>
        </is>
      </c>
      <c r="C19" t="inlineStr">
        <is>
          <t>Takeda Pharmaceutical Company Limited</t>
        </is>
      </c>
      <c r="D19" t="inlineStr">
        <is>
          <t>Pharmaceuticals</t>
        </is>
      </c>
      <c r="E19" s="6" t="inlineStr">
        <is>
          <t>NYSE</t>
        </is>
      </c>
      <c r="F19" s="1" t="n">
        <v>20.08</v>
      </c>
      <c r="G19" s="8">
        <f>F19*[17]Main!$C$4</f>
        <v/>
      </c>
      <c r="H19" s="10">
        <f>G19-[17]Main!$C$7+[17]Main!$C$8</f>
        <v/>
      </c>
      <c r="J19" s="1">
        <f>IF(ISNUMBER([17]Main!$C$11),[17]Main!$C$11,"")</f>
        <v/>
      </c>
      <c r="K19" s="57">
        <f>IFERROR(J19/F19-1,"")</f>
        <v/>
      </c>
      <c r="L19" s="12">
        <f>[17]Main!$C$15&amp;" ("&amp;[17]Main!$C$14&amp;")"</f>
        <v/>
      </c>
      <c r="M19" s="58" t="n">
        <v>46324</v>
      </c>
      <c r="N19" s="17" t="inlineStr">
        <is>
          <t>Earnings Oct 29 (before open)</t>
        </is>
      </c>
    </row>
    <row r="20">
      <c r="B20" s="3" t="inlineStr">
        <is>
          <t>NTRA</t>
        </is>
      </c>
      <c r="C20" t="inlineStr">
        <is>
          <t>Natera, Inc.</t>
        </is>
      </c>
      <c r="D20" t="inlineStr">
        <is>
          <t>Biotechnology</t>
        </is>
      </c>
      <c r="E20" s="6" t="inlineStr">
        <is>
          <t>NASDAQ</t>
        </is>
      </c>
      <c r="F20" s="1" t="n">
        <v>405.92</v>
      </c>
      <c r="G20" s="8">
        <f>F20*[18]Main!$C$4</f>
        <v/>
      </c>
      <c r="H20" s="10">
        <f>G20-[18]Main!$C$7+[18]Main!$C$8</f>
        <v/>
      </c>
      <c r="J20" s="1">
        <f>IF(ISNUMBER([18]Main!$C$11),[18]Main!$C$11,"")</f>
        <v/>
      </c>
      <c r="K20" s="57">
        <f>IFERROR(J20/F20-1,"")</f>
        <v/>
      </c>
      <c r="L20" s="12">
        <f>[18]Main!$C$15&amp;" ("&amp;[18]Main!$C$14&amp;")"</f>
        <v/>
      </c>
      <c r="M20" s="58" t="n">
        <v>46331</v>
      </c>
      <c r="N20" s="17" t="inlineStr">
        <is>
          <t>Earnings Nov 5 (est.)</t>
        </is>
      </c>
    </row>
    <row r="21">
      <c r="B21" s="3" t="inlineStr">
        <is>
          <t>ARGX</t>
        </is>
      </c>
      <c r="C21" t="inlineStr">
        <is>
          <t>argenx SE</t>
        </is>
      </c>
      <c r="D21" t="inlineStr">
        <is>
          <t>Biotechnology</t>
        </is>
      </c>
      <c r="E21" s="6" t="inlineStr">
        <is>
          <t>NASDAQ</t>
        </is>
      </c>
      <c r="F21" s="1" t="n">
        <v>869.72</v>
      </c>
      <c r="G21" s="8">
        <f>F21*[19]Main!$C$4</f>
        <v/>
      </c>
      <c r="H21" s="10">
        <f>G21-[19]Main!$C$7+[19]Main!$C$8</f>
        <v/>
      </c>
      <c r="J21" s="1">
        <f>IF(ISNUMBER([19]Main!$C$11),[19]Main!$C$11,"")</f>
        <v/>
      </c>
      <c r="K21" s="57">
        <f>IFERROR(J21/F21-1,"")</f>
        <v/>
      </c>
      <c r="L21" s="12">
        <f>[19]Main!$C$15&amp;" ("&amp;[19]Main!$C$14&amp;")"</f>
        <v/>
      </c>
      <c r="M21" s="58" t="n">
        <v>46317</v>
      </c>
      <c r="N21" s="17" t="inlineStr">
        <is>
          <t>Earnings Oct 22 (before open)</t>
        </is>
      </c>
    </row>
    <row r="22">
      <c r="B22" s="3" t="inlineStr">
        <is>
          <t>TEVA</t>
        </is>
      </c>
      <c r="C22" t="inlineStr">
        <is>
          <t>Teva Pharmaceutical Industries Limited</t>
        </is>
      </c>
      <c r="D22" t="inlineStr">
        <is>
          <t>Pharmaceuticals</t>
        </is>
      </c>
      <c r="E22" s="6" t="inlineStr">
        <is>
          <t>NYSE</t>
        </is>
      </c>
      <c r="F22" s="1" t="n">
        <v>40.855</v>
      </c>
      <c r="G22" s="8">
        <f>F22*[20]Main!$C$4</f>
        <v/>
      </c>
      <c r="H22" s="10">
        <f>G22-[20]Main!$C$7+[20]Main!$C$8</f>
        <v/>
      </c>
      <c r="J22" s="1">
        <f>IF(ISNUMBER([20]Main!$C$11),[20]Main!$C$11,"")</f>
        <v/>
      </c>
      <c r="K22" s="57">
        <f>IFERROR(J22/F22-1,"")</f>
        <v/>
      </c>
      <c r="L22" s="12">
        <f>[20]Main!$C$15&amp;" ("&amp;[20]Main!$C$14&amp;")"</f>
        <v/>
      </c>
      <c r="M22" s="58" t="n">
        <v>46329</v>
      </c>
      <c r="N22" s="17" t="inlineStr">
        <is>
          <t>Earnings Nov 3 (before open)</t>
        </is>
      </c>
    </row>
    <row r="23">
      <c r="B23" s="3" t="inlineStr">
        <is>
          <t>HLN</t>
        </is>
      </c>
      <c r="C23" t="inlineStr">
        <is>
          <t>Haleon PLC</t>
        </is>
      </c>
      <c r="D23" t="inlineStr">
        <is>
          <t>Pharmaceuticals</t>
        </is>
      </c>
      <c r="E23" s="6" t="inlineStr">
        <is>
          <t>NYSE</t>
        </is>
      </c>
      <c r="F23" s="1" t="n">
        <v>10.17</v>
      </c>
      <c r="G23" s="8">
        <f>F23*[21]Main!$C$4</f>
        <v/>
      </c>
      <c r="H23" s="10">
        <f>G23-[21]Main!$C$7+[21]Main!$C$8</f>
        <v/>
      </c>
      <c r="J23" s="1">
        <f>IF(ISNUMBER([21]Main!$C$11),[21]Main!$C$11,"")</f>
        <v/>
      </c>
      <c r="K23" s="57">
        <f>IFERROR(J23/F23-1,"")</f>
        <v/>
      </c>
      <c r="L23" s="12">
        <f>[21]Main!$C$15&amp;" ("&amp;[21]Main!$C$14&amp;")"</f>
        <v/>
      </c>
      <c r="M23" s="58" t="n">
        <v>46324</v>
      </c>
      <c r="N23" s="17" t="inlineStr">
        <is>
          <t>Earnings Oct 29 (before open)</t>
        </is>
      </c>
    </row>
    <row r="24">
      <c r="B24" s="3" t="inlineStr">
        <is>
          <t>ONC</t>
        </is>
      </c>
      <c r="C24" t="inlineStr">
        <is>
          <t>BeOne Medicines AG</t>
        </is>
      </c>
      <c r="D24" t="inlineStr">
        <is>
          <t>Biotechnology</t>
        </is>
      </c>
      <c r="E24" s="6" t="inlineStr">
        <is>
          <t>NASDAQ</t>
        </is>
      </c>
      <c r="F24" s="1" t="n">
        <v>384.5</v>
      </c>
      <c r="G24" s="8">
        <f>F24*[22]Main!$C$4</f>
        <v/>
      </c>
      <c r="H24" s="10">
        <f>G24-[22]Main!$C$7+[22]Main!$C$8</f>
        <v/>
      </c>
      <c r="J24" s="1">
        <f>IF(ISNUMBER([22]Main!$C$11),[22]Main!$C$11,"")</f>
        <v/>
      </c>
      <c r="K24" s="57">
        <f>IFERROR(J24/F24-1,"")</f>
        <v/>
      </c>
      <c r="L24" s="12">
        <f>[22]Main!$C$15&amp;" ("&amp;[22]Main!$C$14&amp;")"</f>
        <v/>
      </c>
      <c r="M24" s="58" t="n">
        <v>46331</v>
      </c>
      <c r="N24" s="17" t="inlineStr">
        <is>
          <t>Earnings Nov 5 (est.)</t>
        </is>
      </c>
    </row>
    <row r="25">
      <c r="B25" s="3" t="inlineStr">
        <is>
          <t>RVMD</t>
        </is>
      </c>
      <c r="C25" t="inlineStr">
        <is>
          <t>Revolution Medicines, Inc.</t>
        </is>
      </c>
      <c r="D25" t="inlineStr">
        <is>
          <t>Biotechnology</t>
        </is>
      </c>
      <c r="E25" s="6" t="inlineStr">
        <is>
          <t>NASDAQ</t>
        </is>
      </c>
      <c r="F25" s="1" t="n">
        <v>196.55</v>
      </c>
      <c r="G25" s="8">
        <f>F25*[23]Main!$C$4</f>
        <v/>
      </c>
      <c r="H25" s="10">
        <f>G25-[23]Main!$C$7+[23]Main!$C$8</f>
        <v/>
      </c>
      <c r="J25" s="1">
        <f>IF(ISNUMBER([23]Main!$C$11),[23]Main!$C$11,"")</f>
        <v/>
      </c>
      <c r="K25" s="57">
        <f>IFERROR(J25/F25-1,"")</f>
        <v/>
      </c>
      <c r="L25" s="12">
        <f>[23]Main!$C$15&amp;" ("&amp;[23]Main!$C$14&amp;")"</f>
        <v/>
      </c>
      <c r="M25" s="58" t="n">
        <v>46330</v>
      </c>
      <c r="N25" s="17" t="inlineStr">
        <is>
          <t>Earnings Nov 4 (est.) · Readout ~2026-12-31: Lung cancer, Phase 3</t>
        </is>
      </c>
    </row>
    <row r="26">
      <c r="B26" s="3" t="inlineStr">
        <is>
          <t>RPRX</t>
        </is>
      </c>
      <c r="C26" t="inlineStr">
        <is>
          <t>Royalty Pharma PLC</t>
        </is>
      </c>
      <c r="D26" t="inlineStr">
        <is>
          <t>Pharmaceuticals</t>
        </is>
      </c>
      <c r="E26" s="6" t="inlineStr">
        <is>
          <t>NASDAQ</t>
        </is>
      </c>
      <c r="F26" s="1" t="n">
        <v>62.25</v>
      </c>
      <c r="G26" s="8">
        <f>F26*[24]Main!$C$4</f>
        <v/>
      </c>
      <c r="H26" s="10">
        <f>G26-[24]Main!$C$7+[24]Main!$C$8</f>
        <v/>
      </c>
      <c r="J26" s="1">
        <f>IF(ISNUMBER([24]Main!$C$11),[24]Main!$C$11,"")</f>
        <v/>
      </c>
      <c r="K26" s="57">
        <f>IFERROR(J26/F26-1,"")</f>
        <v/>
      </c>
      <c r="L26" s="12">
        <f>[24]Main!$C$15&amp;" ("&amp;[24]Main!$C$14&amp;")"</f>
        <v/>
      </c>
      <c r="M26" s="58" t="n">
        <v>46330</v>
      </c>
      <c r="N26" s="17" t="inlineStr">
        <is>
          <t>Earnings Nov 4 (before open)</t>
        </is>
      </c>
    </row>
    <row r="27">
      <c r="B27" s="3" t="inlineStr">
        <is>
          <t>BIIB</t>
        </is>
      </c>
      <c r="C27" t="inlineStr">
        <is>
          <t>Biogen Inc.</t>
        </is>
      </c>
      <c r="D27" t="inlineStr">
        <is>
          <t>Biotechnology</t>
        </is>
      </c>
      <c r="E27" s="6" t="inlineStr">
        <is>
          <t>NASDAQ</t>
        </is>
      </c>
      <c r="F27" s="1" t="n">
        <v>243.1</v>
      </c>
      <c r="G27" s="8">
        <f>F27*[25]Main!$C$4</f>
        <v/>
      </c>
      <c r="H27" s="10">
        <f>G27-[25]Main!$C$7+[25]Main!$C$8</f>
        <v/>
      </c>
      <c r="J27" s="1">
        <f>IF(ISNUMBER([25]Main!$C$11),[25]Main!$C$11,"")</f>
        <v/>
      </c>
      <c r="K27" s="57">
        <f>IFERROR(J27/F27-1,"")</f>
        <v/>
      </c>
      <c r="L27" s="12">
        <f>[25]Main!$C$15&amp;" ("&amp;[25]Main!$C$14&amp;")"</f>
        <v/>
      </c>
      <c r="M27" s="58" t="n">
        <v>46323</v>
      </c>
      <c r="N27" s="17" t="inlineStr">
        <is>
          <t>Earnings Oct 28 (before open)</t>
        </is>
      </c>
    </row>
    <row r="28">
      <c r="B28" s="3" t="inlineStr">
        <is>
          <t>ZTS</t>
        </is>
      </c>
      <c r="C28" t="inlineStr">
        <is>
          <t>Zoetis Inc</t>
        </is>
      </c>
      <c r="D28" t="inlineStr">
        <is>
          <t>Pharmaceuticals</t>
        </is>
      </c>
      <c r="E28" s="6" t="inlineStr">
        <is>
          <t>NYSE</t>
        </is>
      </c>
      <c r="F28" s="1" t="n">
        <v>80.04000000000001</v>
      </c>
      <c r="G28" s="8">
        <f>F28*[26]Main!$C$4</f>
        <v/>
      </c>
      <c r="H28" s="10">
        <f>G28-[26]Main!$C$7+[26]Main!$C$8</f>
        <v/>
      </c>
      <c r="J28" s="1">
        <f>IF(ISNUMBER([26]Main!$C$11),[26]Main!$C$11,"")</f>
        <v/>
      </c>
      <c r="K28" s="57">
        <f>IFERROR(J28/F28-1,"")</f>
        <v/>
      </c>
      <c r="L28" s="12">
        <f>[26]Main!$C$15&amp;" ("&amp;[26]Main!$C$14&amp;")"</f>
        <v/>
      </c>
      <c r="M28" s="58" t="n">
        <v>46331</v>
      </c>
      <c r="N28" s="17" t="inlineStr">
        <is>
          <t>Earnings Nov 5 (before open)</t>
        </is>
      </c>
    </row>
    <row r="29">
      <c r="B29" s="3" t="inlineStr">
        <is>
          <t>ALNY</t>
        </is>
      </c>
      <c r="C29" t="inlineStr">
        <is>
          <t>Alnylam Pharmaceuticals, Inc.</t>
        </is>
      </c>
      <c r="D29" t="inlineStr">
        <is>
          <t>Biotechnology</t>
        </is>
      </c>
      <c r="E29" s="6" t="inlineStr">
        <is>
          <t>NASDAQ</t>
        </is>
      </c>
      <c r="F29" s="1" t="n">
        <v>230.71</v>
      </c>
      <c r="G29" s="8">
        <f>F29*[27]Main!$C$4</f>
        <v/>
      </c>
      <c r="H29" s="10">
        <f>G29-[27]Main!$C$7+[27]Main!$C$8</f>
        <v/>
      </c>
      <c r="J29" s="1">
        <f>IF(ISNUMBER([27]Main!$C$11),[27]Main!$C$11,"")</f>
        <v/>
      </c>
      <c r="K29" s="57">
        <f>IFERROR(J29/F29-1,"")</f>
        <v/>
      </c>
      <c r="L29" s="12">
        <f>[27]Main!$C$15&amp;" ("&amp;[27]Main!$C$14&amp;")"</f>
        <v/>
      </c>
      <c r="M29" s="58" t="n">
        <v>46324</v>
      </c>
      <c r="N29" s="17" t="inlineStr">
        <is>
          <t>Earnings Oct 29 (before open)</t>
        </is>
      </c>
    </row>
    <row r="30">
      <c r="B30" s="3" t="inlineStr">
        <is>
          <t>ROIV</t>
        </is>
      </c>
      <c r="C30" t="inlineStr">
        <is>
          <t>Roivant Sciences Ltd</t>
        </is>
      </c>
      <c r="D30" t="inlineStr">
        <is>
          <t>Biotechnology</t>
        </is>
      </c>
      <c r="E30" s="6" t="inlineStr">
        <is>
          <t>NASDAQ</t>
        </is>
      </c>
      <c r="F30" s="1" t="n">
        <v>34.92</v>
      </c>
      <c r="G30" s="8">
        <f>F30*[28]Main!$C$4</f>
        <v/>
      </c>
      <c r="H30" s="10">
        <f>G30-[28]Main!$C$7+[28]Main!$C$8</f>
        <v/>
      </c>
      <c r="J30" s="1">
        <f>IF(ISNUMBER([28]Main!$C$11),[28]Main!$C$11,"")</f>
        <v/>
      </c>
      <c r="K30" s="57">
        <f>IFERROR(J30/F30-1,"")</f>
        <v/>
      </c>
      <c r="L30" s="12">
        <f>[28]Main!$C$15&amp;" ("&amp;[28]Main!$C$14&amp;")"</f>
        <v/>
      </c>
      <c r="M30" s="58" t="n">
        <v>46335</v>
      </c>
      <c r="N30" s="17" t="inlineStr">
        <is>
          <t>Earnings Nov 9 (est.) · Readout ~2026-12: Pulmonary hypertension, Phase 3</t>
        </is>
      </c>
    </row>
    <row r="31">
      <c r="B31" s="3" t="inlineStr">
        <is>
          <t>GMAB</t>
        </is>
      </c>
      <c r="C31" t="inlineStr">
        <is>
          <t>Genmab A/S</t>
        </is>
      </c>
      <c r="D31" t="inlineStr">
        <is>
          <t>Biotechnology</t>
        </is>
      </c>
      <c r="E31" s="6" t="inlineStr">
        <is>
          <t>NASDAQ</t>
        </is>
      </c>
      <c r="F31" s="1" t="n">
        <v>39.07</v>
      </c>
      <c r="G31" s="8">
        <f>F31*[29]Main!$C$4</f>
        <v/>
      </c>
      <c r="H31" s="10">
        <f>G31-[29]Main!$C$7+[29]Main!$C$8</f>
        <v/>
      </c>
      <c r="J31" s="1">
        <f>IF(ISNUMBER([29]Main!$C$11),[29]Main!$C$11,"")</f>
        <v/>
      </c>
      <c r="K31" s="57">
        <f>IFERROR(J31/F31-1,"")</f>
        <v/>
      </c>
      <c r="L31" s="12">
        <f>[29]Main!$C$15&amp;" ("&amp;[29]Main!$C$14&amp;")"</f>
        <v/>
      </c>
      <c r="M31" s="58" t="n">
        <v>46331</v>
      </c>
      <c r="N31" s="17" t="inlineStr">
        <is>
          <t>Earnings Nov 5 (before open)</t>
        </is>
      </c>
    </row>
    <row r="32">
      <c r="B32" s="3" t="inlineStr">
        <is>
          <t>UTHR</t>
        </is>
      </c>
      <c r="C32" t="inlineStr">
        <is>
          <t>United Therapeutics Corporation</t>
        </is>
      </c>
      <c r="D32" t="inlineStr">
        <is>
          <t>Biotechnology</t>
        </is>
      </c>
      <c r="E32" s="6" t="inlineStr">
        <is>
          <t>NASDAQ</t>
        </is>
      </c>
      <c r="F32" s="1" t="n">
        <v>553.88</v>
      </c>
      <c r="G32" s="8">
        <f>F32*[30]Main!$C$4</f>
        <v/>
      </c>
      <c r="H32" s="10">
        <f>G32-[30]Main!$C$7+[30]Main!$C$8</f>
        <v/>
      </c>
      <c r="J32" s="1">
        <f>IF(ISNUMBER([30]Main!$C$11),[30]Main!$C$11,"")</f>
        <v/>
      </c>
      <c r="K32" s="57">
        <f>IFERROR(J32/F32-1,"")</f>
        <v/>
      </c>
      <c r="L32" s="12">
        <f>[30]Main!$C$15&amp;" ("&amp;[30]Main!$C$14&amp;")"</f>
        <v/>
      </c>
      <c r="M32" s="58" t="n">
        <v>46330</v>
      </c>
      <c r="N32" s="17" t="inlineStr">
        <is>
          <t>Earnings Nov 4 (est.)</t>
        </is>
      </c>
    </row>
    <row r="33">
      <c r="B33" s="3" t="inlineStr">
        <is>
          <t>INCY</t>
        </is>
      </c>
      <c r="C33" t="inlineStr">
        <is>
          <t>Incyte Corp</t>
        </is>
      </c>
      <c r="D33" t="inlineStr">
        <is>
          <t>Biotechnology</t>
        </is>
      </c>
      <c r="E33" s="6" t="inlineStr">
        <is>
          <t>NASDAQ</t>
        </is>
      </c>
      <c r="F33" s="1" t="n">
        <v>116.615</v>
      </c>
      <c r="G33" s="8">
        <f>F33*[31]Main!$C$4</f>
        <v/>
      </c>
      <c r="H33" s="10">
        <f>G33-[31]Main!$C$7+[31]Main!$C$8</f>
        <v/>
      </c>
      <c r="J33" s="1">
        <f>IF(ISNUMBER([31]Main!$C$11),[31]Main!$C$11,"")</f>
        <v/>
      </c>
      <c r="K33" s="57">
        <f>IFERROR(J33/F33-1,"")</f>
        <v/>
      </c>
      <c r="L33" s="12">
        <f>[31]Main!$C$15&amp;" ("&amp;[31]Main!$C$14&amp;")"</f>
        <v/>
      </c>
      <c r="M33" s="58" t="n">
        <v>46324</v>
      </c>
      <c r="N33" s="17" t="inlineStr">
        <is>
          <t>Earnings Oct 29 (before open)</t>
        </is>
      </c>
    </row>
    <row r="34">
      <c r="B34" s="3" t="inlineStr">
        <is>
          <t>BNTX</t>
        </is>
      </c>
      <c r="C34" t="inlineStr">
        <is>
          <t>Biontech SE</t>
        </is>
      </c>
      <c r="D34" t="inlineStr">
        <is>
          <t>Biotechnology</t>
        </is>
      </c>
      <c r="E34" s="6" t="inlineStr">
        <is>
          <t>NASDAQ</t>
        </is>
      </c>
      <c r="F34" s="1" t="n">
        <v>91.17</v>
      </c>
      <c r="G34" s="8">
        <f>F34*[32]Main!$C$4</f>
        <v/>
      </c>
      <c r="H34" s="10">
        <f>G34-[32]Main!$C$7+[32]Main!$C$8</f>
        <v/>
      </c>
      <c r="J34" s="1">
        <f>IF(ISNUMBER([32]Main!$C$11),[32]Main!$C$11,"")</f>
        <v/>
      </c>
      <c r="K34" s="57">
        <f>IFERROR(J34/F34-1,"")</f>
        <v/>
      </c>
      <c r="L34" s="12">
        <f>[32]Main!$C$15&amp;" ("&amp;[32]Main!$C$14&amp;")"</f>
        <v/>
      </c>
      <c r="M34" s="58" t="n">
        <v>46329</v>
      </c>
      <c r="N34" s="17" t="inlineStr">
        <is>
          <t>Earnings Nov 3 (before open)</t>
        </is>
      </c>
    </row>
    <row r="35">
      <c r="B35" s="3" t="inlineStr">
        <is>
          <t>VTRS</t>
        </is>
      </c>
      <c r="C35" t="inlineStr">
        <is>
          <t>Viatris Inc.</t>
        </is>
      </c>
      <c r="D35" t="inlineStr">
        <is>
          <t>Pharmaceuticals</t>
        </is>
      </c>
      <c r="E35" s="6" t="inlineStr">
        <is>
          <t>NASDAQ</t>
        </is>
      </c>
      <c r="F35" s="1" t="n">
        <v>18.65</v>
      </c>
      <c r="G35" s="8">
        <f>F35*[33]Main!$C$4</f>
        <v/>
      </c>
      <c r="H35" s="10">
        <f>G35-[33]Main!$C$7+[33]Main!$C$8</f>
        <v/>
      </c>
      <c r="J35" s="1">
        <f>IF(ISNUMBER([33]Main!$C$11),[33]Main!$C$11,"")</f>
        <v/>
      </c>
      <c r="K35" s="57">
        <f>IFERROR(J35/F35-1,"")</f>
        <v/>
      </c>
      <c r="L35" s="12">
        <f>[33]Main!$C$15&amp;" ("&amp;[33]Main!$C$14&amp;")"</f>
        <v/>
      </c>
      <c r="M35" s="58" t="n">
        <v>46331</v>
      </c>
      <c r="N35" s="17" t="inlineStr">
        <is>
          <t>Earnings Nov 5 (before open)</t>
        </is>
      </c>
    </row>
    <row r="36">
      <c r="B36" s="3" t="inlineStr">
        <is>
          <t>INSM</t>
        </is>
      </c>
      <c r="C36" t="inlineStr">
        <is>
          <t>Insmed Incorporated</t>
        </is>
      </c>
      <c r="D36" t="inlineStr">
        <is>
          <t>Biotechnology</t>
        </is>
      </c>
      <c r="E36" s="6" t="inlineStr">
        <is>
          <t>NASDAQ</t>
        </is>
      </c>
      <c r="F36" s="1" t="n">
        <v>95.67</v>
      </c>
      <c r="G36" s="8">
        <f>F36*[34]Main!$C$4</f>
        <v/>
      </c>
      <c r="H36" s="10">
        <f>G36-[34]Main!$C$7+[34]Main!$C$8</f>
        <v/>
      </c>
      <c r="J36" s="1">
        <f>IF(ISNUMBER([34]Main!$C$11),[34]Main!$C$11,"")</f>
        <v/>
      </c>
      <c r="K36" s="57">
        <f>IFERROR(J36/F36-1,"")</f>
        <v/>
      </c>
      <c r="L36" s="12">
        <f>[34]Main!$C$15&amp;" ("&amp;[34]Main!$C$14&amp;")"</f>
        <v/>
      </c>
      <c r="M36" s="58" t="n">
        <v>46324</v>
      </c>
      <c r="N36" s="17" t="inlineStr">
        <is>
          <t>Earnings Oct 29 (before open)</t>
        </is>
      </c>
    </row>
    <row r="37">
      <c r="B37" s="3" t="inlineStr">
        <is>
          <t>EXEL</t>
        </is>
      </c>
      <c r="C37" t="inlineStr">
        <is>
          <t>Exelixis Inc</t>
        </is>
      </c>
      <c r="D37" t="inlineStr">
        <is>
          <t>Biotechnology</t>
        </is>
      </c>
      <c r="E37" s="6" t="inlineStr">
        <is>
          <t>NASDAQ</t>
        </is>
      </c>
      <c r="F37" s="1" t="n">
        <v>64.39</v>
      </c>
      <c r="G37" s="8">
        <f>F37*[35]Main!$C$4</f>
        <v/>
      </c>
      <c r="H37" s="10">
        <f>G37-[35]Main!$C$7+[35]Main!$C$8</f>
        <v/>
      </c>
      <c r="J37" s="1">
        <f>IF(ISNUMBER([35]Main!$C$11),[35]Main!$C$11,"")</f>
        <v/>
      </c>
      <c r="K37" s="57">
        <f>IFERROR(J37/F37-1,"")</f>
        <v/>
      </c>
      <c r="L37" s="12">
        <f>[35]Main!$C$15&amp;" ("&amp;[35]Main!$C$14&amp;")"</f>
        <v/>
      </c>
      <c r="M37" s="58" t="n">
        <v>46324</v>
      </c>
      <c r="N37" s="17" t="inlineStr">
        <is>
          <t>Earnings Oct 29 (after close)</t>
        </is>
      </c>
    </row>
    <row r="38">
      <c r="B38" s="3" t="inlineStr">
        <is>
          <t>ASND</t>
        </is>
      </c>
      <c r="C38" t="inlineStr">
        <is>
          <t>Ascendis Pharma A/S</t>
        </is>
      </c>
      <c r="D38" t="inlineStr">
        <is>
          <t>Biotechnology</t>
        </is>
      </c>
      <c r="E38" s="6" t="inlineStr">
        <is>
          <t>NASDAQ</t>
        </is>
      </c>
      <c r="F38" s="1" t="n">
        <v>234.33</v>
      </c>
      <c r="G38" s="8">
        <f>F38*[36]Main!$C$4</f>
        <v/>
      </c>
      <c r="H38" s="10">
        <f>G38-[36]Main!$C$7+[36]Main!$C$8</f>
        <v/>
      </c>
      <c r="J38" s="1">
        <f>IF(ISNUMBER([36]Main!$C$11),[36]Main!$C$11,"")</f>
        <v/>
      </c>
      <c r="K38" s="57">
        <f>IFERROR(J38/F38-1,"")</f>
        <v/>
      </c>
      <c r="L38" s="12">
        <f>[36]Main!$C$15&amp;" ("&amp;[36]Main!$C$14&amp;")"</f>
        <v/>
      </c>
      <c r="M38" s="58" t="n">
        <v>46337</v>
      </c>
      <c r="N38" s="17" t="inlineStr">
        <is>
          <t>Earnings Nov 11 (est.)</t>
        </is>
      </c>
    </row>
    <row r="39">
      <c r="B39" s="3" t="inlineStr">
        <is>
          <t>HALO</t>
        </is>
      </c>
      <c r="C39" t="inlineStr">
        <is>
          <t>Halozyme Therapeutics, Inc.</t>
        </is>
      </c>
      <c r="D39" t="inlineStr">
        <is>
          <t>Biotechnology</t>
        </is>
      </c>
      <c r="E39" s="6" t="inlineStr">
        <is>
          <t>NASDAQ</t>
        </is>
      </c>
      <c r="F39" s="1" t="n">
        <v>124.37</v>
      </c>
      <c r="G39" s="8">
        <f>F39*[37]Main!$C$4</f>
        <v/>
      </c>
      <c r="H39" s="10">
        <f>G39-[37]Main!$C$7+[37]Main!$C$8</f>
        <v/>
      </c>
      <c r="J39" s="1">
        <f>IF(ISNUMBER([37]Main!$C$11),[37]Main!$C$11,"")</f>
        <v/>
      </c>
      <c r="K39" s="57">
        <f>IFERROR(J39/F39-1,"")</f>
        <v/>
      </c>
      <c r="L39" s="12">
        <f>[37]Main!$C$15&amp;" ("&amp;[37]Main!$C$14&amp;")"</f>
        <v/>
      </c>
      <c r="M39" s="58" t="n">
        <v>46328</v>
      </c>
      <c r="N39" s="17" t="inlineStr">
        <is>
          <t>Earnings Nov 2 (est.)</t>
        </is>
      </c>
    </row>
    <row r="40">
      <c r="B40" s="3" t="inlineStr">
        <is>
          <t>NBIX</t>
        </is>
      </c>
      <c r="C40" t="inlineStr">
        <is>
          <t>Neurocrine Biosciences, Inc.</t>
        </is>
      </c>
      <c r="D40" t="inlineStr">
        <is>
          <t>Biotechnology</t>
        </is>
      </c>
      <c r="E40" s="6" t="inlineStr">
        <is>
          <t>NASDAQ</t>
        </is>
      </c>
      <c r="F40" s="1" t="n">
        <v>142</v>
      </c>
      <c r="G40" s="8">
        <f>F40*[38]Main!$C$4</f>
        <v/>
      </c>
      <c r="H40" s="10">
        <f>G40-[38]Main!$C$7+[38]Main!$C$8</f>
        <v/>
      </c>
      <c r="J40" s="1">
        <f>IF(ISNUMBER([38]Main!$C$11),[38]Main!$C$11,"")</f>
        <v/>
      </c>
      <c r="K40" s="57">
        <f>IFERROR(J40/F40-1,"")</f>
        <v/>
      </c>
      <c r="L40" s="12">
        <f>[38]Main!$C$15&amp;" ("&amp;[38]Main!$C$14&amp;")"</f>
        <v/>
      </c>
      <c r="M40" s="58" t="n">
        <v>46328</v>
      </c>
      <c r="N40" s="17" t="inlineStr">
        <is>
          <t>Earnings Nov 2 (after close)</t>
        </is>
      </c>
    </row>
    <row r="41">
      <c r="B41" s="3" t="inlineStr">
        <is>
          <t>JAZZ</t>
        </is>
      </c>
      <c r="C41" t="inlineStr">
        <is>
          <t>Jazz Pharmaceuticals PLC</t>
        </is>
      </c>
      <c r="D41" t="inlineStr">
        <is>
          <t>Pharmaceuticals</t>
        </is>
      </c>
      <c r="E41" s="6" t="inlineStr">
        <is>
          <t>NASDAQ</t>
        </is>
      </c>
      <c r="F41" s="1" t="n">
        <v>213.76</v>
      </c>
      <c r="G41" s="8">
        <f>F41*[39]Main!$C$4</f>
        <v/>
      </c>
      <c r="H41" s="10">
        <f>G41-[39]Main!$C$7+[39]Main!$C$8</f>
        <v/>
      </c>
      <c r="J41" s="1">
        <f>IF(ISNUMBER([39]Main!$C$11),[39]Main!$C$11,"")</f>
        <v/>
      </c>
      <c r="K41" s="57">
        <f>IFERROR(J41/F41-1,"")</f>
        <v/>
      </c>
      <c r="L41" s="12">
        <f>[39]Main!$C$15&amp;" ("&amp;[39]Main!$C$14&amp;")"</f>
        <v/>
      </c>
      <c r="M41" s="58" t="n">
        <v>46330</v>
      </c>
      <c r="N41" s="17" t="inlineStr">
        <is>
          <t>Earnings Nov 4 (est.)</t>
        </is>
      </c>
    </row>
    <row r="42">
      <c r="B42" s="3" t="inlineStr">
        <is>
          <t>SMMT</t>
        </is>
      </c>
      <c r="C42" t="inlineStr">
        <is>
          <t>Summit Therapeutics Inc.</t>
        </is>
      </c>
      <c r="D42" t="inlineStr">
        <is>
          <t>Biotechnology</t>
        </is>
      </c>
      <c r="E42" s="6" t="inlineStr">
        <is>
          <t>NASDAQ</t>
        </is>
      </c>
      <c r="F42" s="1" t="n">
        <v>16.09</v>
      </c>
      <c r="G42" s="8">
        <f>F42*[40]Main!$C$4</f>
        <v/>
      </c>
      <c r="H42" s="10">
        <f>G42-[40]Main!$C$7+[40]Main!$C$8</f>
        <v/>
      </c>
      <c r="J42" s="1">
        <f>[40]Main!$C$11</f>
        <v/>
      </c>
      <c r="K42" s="57">
        <f>IFERROR(J42/F42-1,"")</f>
        <v/>
      </c>
      <c r="L42" s="12">
        <f>"rNPV ("&amp;[40]Main!$C$14&amp;")"</f>
        <v/>
      </c>
      <c r="M42" s="58" t="n">
        <v>46340</v>
      </c>
      <c r="N42" s="59" t="inlineStr">
        <is>
          <t>PDUFA Nov 14: ivonescimab in EGFRm NSCLC</t>
        </is>
      </c>
    </row>
    <row r="43">
      <c r="B43" s="3" t="inlineStr">
        <is>
          <t>BBIO</t>
        </is>
      </c>
      <c r="C43" t="inlineStr">
        <is>
          <t>BridgeBio Pharma, Inc.</t>
        </is>
      </c>
      <c r="D43" t="inlineStr">
        <is>
          <t>Biotechnology</t>
        </is>
      </c>
      <c r="E43" s="6" t="inlineStr">
        <is>
          <t>NASDAQ</t>
        </is>
      </c>
      <c r="F43" s="1" t="n">
        <v>67.55</v>
      </c>
      <c r="G43" s="8">
        <f>F43*[41]Main!$C$4</f>
        <v/>
      </c>
      <c r="H43" s="10">
        <f>G43-[41]Main!$C$7+[41]Main!$C$8</f>
        <v/>
      </c>
      <c r="J43" s="1">
        <f>[41]Main!$C$11</f>
        <v/>
      </c>
      <c r="K43" s="57">
        <f>IFERROR(J43/F43-1,"")</f>
        <v/>
      </c>
      <c r="L43" s="12">
        <f>"rNPV ("&amp;[41]Main!$C$14&amp;")"</f>
        <v/>
      </c>
      <c r="M43" s="58" t="n">
        <v>46353</v>
      </c>
      <c r="N43" s="59" t="inlineStr">
        <is>
          <t>PDUFA Nov 27: BBP-418 · Earnings Nov 4 (est.)</t>
        </is>
      </c>
    </row>
    <row r="44">
      <c r="B44" s="3" t="inlineStr">
        <is>
          <t>KNSA</t>
        </is>
      </c>
      <c r="C44" t="inlineStr">
        <is>
          <t>Kiniksa Pharmaceuticals International, PLC</t>
        </is>
      </c>
      <c r="D44" t="inlineStr">
        <is>
          <t>Biotechnology</t>
        </is>
      </c>
      <c r="E44" s="6" t="inlineStr">
        <is>
          <t>NASDAQ</t>
        </is>
      </c>
      <c r="F44" s="1" t="n">
        <v>83.17</v>
      </c>
      <c r="G44" s="8">
        <f>F44*[42]Main!$C$4</f>
        <v/>
      </c>
      <c r="H44" s="10">
        <f>G44-[42]Main!$C$7+[42]Main!$C$8</f>
        <v/>
      </c>
      <c r="J44" s="1">
        <f>IF(ISNUMBER([42]Main!$C$11),[42]Main!$C$11,"")</f>
        <v/>
      </c>
      <c r="K44" s="57">
        <f>IFERROR(J44/F44-1,"")</f>
        <v/>
      </c>
      <c r="L44" s="12">
        <f>[42]Main!$C$15&amp;" ("&amp;[42]Main!$C$14&amp;")"</f>
        <v/>
      </c>
      <c r="M44" s="58" t="n">
        <v>46322</v>
      </c>
      <c r="N44" s="17" t="inlineStr">
        <is>
          <t>Earnings Oct 27 (est.)</t>
        </is>
      </c>
    </row>
    <row r="45">
      <c r="B45" s="3" t="inlineStr">
        <is>
          <t>CORT</t>
        </is>
      </c>
      <c r="C45" t="inlineStr">
        <is>
          <t>Corcept Therapeutics Incorporated</t>
        </is>
      </c>
      <c r="D45" t="inlineStr">
        <is>
          <t>Pharmaceuticals</t>
        </is>
      </c>
      <c r="E45" s="6" t="inlineStr">
        <is>
          <t>NASDAQ</t>
        </is>
      </c>
      <c r="F45" s="1" t="n">
        <v>116.45</v>
      </c>
      <c r="G45" s="8">
        <f>F45*[43]Main!$C$4</f>
        <v/>
      </c>
      <c r="H45" s="10">
        <f>G45-[43]Main!$C$7+[43]Main!$C$8</f>
        <v/>
      </c>
      <c r="J45" s="1">
        <f>[43]Main!$C$11</f>
        <v/>
      </c>
      <c r="K45" s="57">
        <f>IFERROR(J45/F45-1,"")</f>
        <v/>
      </c>
      <c r="L45" s="12">
        <f>"rNPV ("&amp;[43]Main!$C$14&amp;")"</f>
        <v/>
      </c>
      <c r="M45" s="58" t="n">
        <v>46373</v>
      </c>
      <c r="N45" s="59" t="inlineStr">
        <is>
          <t>PDUFA Dec 17: relacorilant in hypercortisolism · Earnings Nov 3 (est.)</t>
        </is>
      </c>
    </row>
    <row r="46">
      <c r="B46" s="3" t="inlineStr">
        <is>
          <t>ELAN</t>
        </is>
      </c>
      <c r="C46" t="inlineStr">
        <is>
          <t>Elanco Animal Health Incorporated</t>
        </is>
      </c>
      <c r="D46" t="inlineStr">
        <is>
          <t>Pharmaceuticals</t>
        </is>
      </c>
      <c r="E46" s="6" t="inlineStr">
        <is>
          <t>NYSE</t>
        </is>
      </c>
      <c r="F46" s="1" t="n">
        <v>22.7</v>
      </c>
      <c r="G46" s="8">
        <f>F46*[44]Main!$C$4</f>
        <v/>
      </c>
      <c r="H46" s="10">
        <f>G46-[44]Main!$C$7+[44]Main!$C$8</f>
        <v/>
      </c>
      <c r="J46" s="1">
        <f>IF(ISNUMBER([44]Main!$C$11),[44]Main!$C$11,"")</f>
        <v/>
      </c>
      <c r="K46" s="57">
        <f>IFERROR(J46/F46-1,"")</f>
        <v/>
      </c>
      <c r="L46" s="12">
        <f>[44]Main!$C$15&amp;" ("&amp;[44]Main!$C$14&amp;")"</f>
        <v/>
      </c>
      <c r="M46" s="58" t="n">
        <v>46332</v>
      </c>
      <c r="N46" s="17" t="inlineStr">
        <is>
          <t>Earnings Nov 6 (before open)</t>
        </is>
      </c>
    </row>
    <row r="47">
      <c r="B47" s="3" t="inlineStr">
        <is>
          <t>RDY</t>
        </is>
      </c>
      <c r="C47" t="inlineStr">
        <is>
          <t>Dr. Reddy's Laboratories Limited</t>
        </is>
      </c>
      <c r="D47" t="inlineStr">
        <is>
          <t>Pharmaceuticals</t>
        </is>
      </c>
      <c r="E47" s="6" t="inlineStr">
        <is>
          <t>NYSE</t>
        </is>
      </c>
      <c r="F47" s="1" t="n">
        <v>13.26</v>
      </c>
      <c r="G47" s="8">
        <f>F47*[45]Main!$C$4</f>
        <v/>
      </c>
      <c r="H47" s="10">
        <f>G47-[45]Main!$C$7+[45]Main!$C$8</f>
        <v/>
      </c>
      <c r="J47" s="1">
        <f>IF(ISNUMBER([45]Main!$C$11),[45]Main!$C$11,"")</f>
        <v/>
      </c>
      <c r="K47" s="57">
        <f>IFERROR(J47/F47-1,"")</f>
        <v/>
      </c>
      <c r="L47" s="12">
        <f>[45]Main!$C$15&amp;" ("&amp;[45]Main!$C$14&amp;")"</f>
        <v/>
      </c>
      <c r="M47" s="58" t="n">
        <v>46318</v>
      </c>
      <c r="N47" s="17" t="inlineStr">
        <is>
          <t>Earnings Oct 23 (est.)</t>
        </is>
      </c>
    </row>
    <row r="48">
      <c r="B48" s="3" t="inlineStr">
        <is>
          <t>BMRN</t>
        </is>
      </c>
      <c r="C48" t="inlineStr">
        <is>
          <t>BioMarin Pharmaceutical Inc.</t>
        </is>
      </c>
      <c r="D48" t="inlineStr">
        <is>
          <t>Biotechnology</t>
        </is>
      </c>
      <c r="E48" s="6" t="inlineStr">
        <is>
          <t>NASDAQ</t>
        </is>
      </c>
      <c r="F48" s="1" t="n">
        <v>56.44</v>
      </c>
      <c r="G48" s="8">
        <f>F48*[46]Main!$C$4</f>
        <v/>
      </c>
      <c r="H48" s="10">
        <f>G48-[46]Main!$C$7+[46]Main!$C$8</f>
        <v/>
      </c>
      <c r="J48" s="1">
        <f>IF(ISNUMBER([46]Main!$C$11),[46]Main!$C$11,"")</f>
        <v/>
      </c>
      <c r="K48" s="57">
        <f>IFERROR(J48/F48-1,"")</f>
        <v/>
      </c>
      <c r="L48" s="12">
        <f>[46]Main!$C$15&amp;" ("&amp;[46]Main!$C$14&amp;")"</f>
        <v/>
      </c>
      <c r="M48" s="58" t="n">
        <v>46321</v>
      </c>
      <c r="N48" s="17" t="inlineStr">
        <is>
          <t>Earnings Oct 26 (est.)</t>
        </is>
      </c>
    </row>
    <row r="49">
      <c r="B49" s="3" t="inlineStr">
        <is>
          <t>MDGL</t>
        </is>
      </c>
      <c r="C49" t="inlineStr">
        <is>
          <t>Madrigal Pharmaceuticals, Inc.</t>
        </is>
      </c>
      <c r="D49" t="inlineStr">
        <is>
          <t>Biotechnology</t>
        </is>
      </c>
      <c r="E49" s="6" t="inlineStr">
        <is>
          <t>NASDAQ</t>
        </is>
      </c>
      <c r="F49" s="1" t="n">
        <v>467.54</v>
      </c>
      <c r="G49" s="8">
        <f>F49*[47]Main!$C$4</f>
        <v/>
      </c>
      <c r="H49" s="10">
        <f>G49-[47]Main!$C$7+[47]Main!$C$8</f>
        <v/>
      </c>
      <c r="J49" s="1">
        <f>IF(ISNUMBER([47]Main!$C$11),[47]Main!$C$11,"")</f>
        <v/>
      </c>
      <c r="K49" s="57">
        <f>IFERROR(J49/F49-1,"")</f>
        <v/>
      </c>
      <c r="L49" s="12">
        <f>[47]Main!$C$15&amp;" ("&amp;[47]Main!$C$14&amp;")"</f>
        <v/>
      </c>
      <c r="M49" s="58" t="n">
        <v>46329</v>
      </c>
      <c r="N49" s="17" t="inlineStr">
        <is>
          <t>Earnings Nov 3 (est.)</t>
        </is>
      </c>
    </row>
    <row r="50">
      <c r="B50" s="3" t="inlineStr">
        <is>
          <t>IBRX</t>
        </is>
      </c>
      <c r="C50" t="inlineStr">
        <is>
          <t>ImmunityBio, Inc.</t>
        </is>
      </c>
      <c r="D50" t="inlineStr">
        <is>
          <t>Biotechnology</t>
        </is>
      </c>
      <c r="E50" s="6" t="inlineStr">
        <is>
          <t>NASDAQ</t>
        </is>
      </c>
      <c r="F50" s="1" t="n">
        <v>8.77</v>
      </c>
      <c r="G50" s="8">
        <f>F50*[48]Main!$C$4</f>
        <v/>
      </c>
      <c r="H50" s="10">
        <f>G50-[48]Main!$C$7+[48]Main!$C$8</f>
        <v/>
      </c>
      <c r="J50" s="1">
        <f>IF(ISNUMBER([48]Main!$C$11),[48]Main!$C$11,"")</f>
        <v/>
      </c>
      <c r="K50" s="57">
        <f>IFERROR(J50/F50-1,"")</f>
        <v/>
      </c>
      <c r="L50" s="12">
        <f>[48]Main!$C$15&amp;" ("&amp;[48]Main!$C$14&amp;")"</f>
        <v/>
      </c>
      <c r="M50" s="58" t="n">
        <v>46329</v>
      </c>
      <c r="N50" s="17" t="inlineStr">
        <is>
          <t>Earnings Nov 3 (est.)</t>
        </is>
      </c>
    </row>
    <row r="51">
      <c r="B51" s="3" t="inlineStr">
        <is>
          <t>PCVX</t>
        </is>
      </c>
      <c r="C51" t="inlineStr">
        <is>
          <t>Vaxcyte, Inc.</t>
        </is>
      </c>
      <c r="D51" t="inlineStr">
        <is>
          <t>Biotechnology</t>
        </is>
      </c>
      <c r="E51" s="6" t="inlineStr">
        <is>
          <t>NASDAQ</t>
        </is>
      </c>
      <c r="F51" s="1" t="n">
        <v>66.23</v>
      </c>
      <c r="G51" s="8">
        <f>F51*[49]Main!$C$4</f>
        <v/>
      </c>
      <c r="H51" s="10">
        <f>G51-[49]Main!$C$7+[49]Main!$C$8</f>
        <v/>
      </c>
      <c r="J51" s="1">
        <f>IF(ISNUMBER([49]Main!$C$11),[49]Main!$C$11,"")</f>
        <v/>
      </c>
      <c r="K51" s="57">
        <f>IFERROR(J51/F51-1,"")</f>
        <v/>
      </c>
      <c r="L51" s="12">
        <f>[49]Main!$C$15&amp;" ("&amp;[49]Main!$C$14&amp;")"</f>
        <v/>
      </c>
      <c r="M51" s="58" t="n">
        <v>46329</v>
      </c>
      <c r="N51" s="17" t="inlineStr">
        <is>
          <t>Earnings Nov 3 (est.) · Readout ~2027-03: Pneumococcal vaccine, Phase 3</t>
        </is>
      </c>
    </row>
    <row r="52">
      <c r="B52" s="3" t="inlineStr">
        <is>
          <t>KRYS</t>
        </is>
      </c>
      <c r="C52" t="inlineStr">
        <is>
          <t>Krystal Biotech, Inc.</t>
        </is>
      </c>
      <c r="D52" t="inlineStr">
        <is>
          <t>Biotechnology</t>
        </is>
      </c>
      <c r="E52" s="6" t="inlineStr">
        <is>
          <t>NASDAQ</t>
        </is>
      </c>
      <c r="F52" s="1" t="n">
        <v>325.42</v>
      </c>
      <c r="G52" s="8">
        <f>F52*[50]Main!$C$4</f>
        <v/>
      </c>
      <c r="H52" s="10">
        <f>G52-[50]Main!$C$7+[50]Main!$C$8</f>
        <v/>
      </c>
      <c r="J52" s="1">
        <f>IF(ISNUMBER([50]Main!$C$11),[50]Main!$C$11,"")</f>
        <v/>
      </c>
      <c r="K52" s="57">
        <f>IFERROR(J52/F52-1,"")</f>
        <v/>
      </c>
      <c r="L52" s="12">
        <f>[50]Main!$C$15&amp;" ("&amp;[50]Main!$C$14&amp;")"</f>
        <v/>
      </c>
      <c r="M52" s="58" t="n">
        <v>46328</v>
      </c>
      <c r="N52" s="17" t="inlineStr">
        <is>
          <t>Earnings Nov 2 (est.)</t>
        </is>
      </c>
    </row>
    <row r="53">
      <c r="B53" s="3" t="inlineStr">
        <is>
          <t>KYMR</t>
        </is>
      </c>
      <c r="C53" t="inlineStr">
        <is>
          <t>Kymera Therapeutics, Inc.</t>
        </is>
      </c>
      <c r="D53" t="inlineStr">
        <is>
          <t>Biotechnology</t>
        </is>
      </c>
      <c r="E53" s="6" t="inlineStr">
        <is>
          <t>NASDAQ</t>
        </is>
      </c>
      <c r="F53" s="1" t="n">
        <v>113.46</v>
      </c>
      <c r="G53" s="8">
        <f>F53*[51]Main!$C$4</f>
        <v/>
      </c>
      <c r="H53" s="10">
        <f>G53-[51]Main!$C$7+[51]Main!$C$8</f>
        <v/>
      </c>
      <c r="J53" s="1">
        <f>IF(ISNUMBER([51]Main!$C$11),[51]Main!$C$11,"")</f>
        <v/>
      </c>
      <c r="K53" s="57">
        <f>IFERROR(J53/F53-1,"")</f>
        <v/>
      </c>
      <c r="L53" s="12">
        <f>[51]Main!$C$15&amp;" ("&amp;[51]Main!$C$14&amp;")"</f>
        <v/>
      </c>
      <c r="M53" s="58" t="n">
        <v>46329</v>
      </c>
      <c r="N53" s="17" t="inlineStr">
        <is>
          <t>Earnings Nov 3 (est.)</t>
        </is>
      </c>
    </row>
    <row r="54">
      <c r="B54" s="3" t="inlineStr">
        <is>
          <t>CAI</t>
        </is>
      </c>
      <c r="C54" t="inlineStr">
        <is>
          <t>Caris Life Sciences, Inc.</t>
        </is>
      </c>
      <c r="D54" t="inlineStr">
        <is>
          <t>Biotechnology</t>
        </is>
      </c>
      <c r="E54" s="6" t="inlineStr">
        <is>
          <t>NASDAQ</t>
        </is>
      </c>
      <c r="F54" s="1" t="n">
        <v>31.11</v>
      </c>
      <c r="G54" s="8">
        <f>F54*[52]Main!$C$4</f>
        <v/>
      </c>
      <c r="H54" s="10">
        <f>G54-[52]Main!$C$7+[52]Main!$C$8</f>
        <v/>
      </c>
      <c r="J54" s="1">
        <f>IF(ISNUMBER([52]Main!$C$11),[52]Main!$C$11,"")</f>
        <v/>
      </c>
      <c r="K54" s="57">
        <f>IFERROR(J54/F54-1,"")</f>
        <v/>
      </c>
      <c r="L54" s="12">
        <f>[52]Main!$C$15&amp;" ("&amp;[52]Main!$C$14&amp;")"</f>
        <v/>
      </c>
      <c r="M54" s="58" t="n">
        <v>46330</v>
      </c>
      <c r="N54" s="17" t="inlineStr">
        <is>
          <t>Earnings Nov 4 (after close)</t>
        </is>
      </c>
    </row>
    <row r="55">
      <c r="B55" s="3" t="inlineStr">
        <is>
          <t>CYTK</t>
        </is>
      </c>
      <c r="C55" t="inlineStr">
        <is>
          <t>Cytokinetics, Incorporated</t>
        </is>
      </c>
      <c r="D55" t="inlineStr">
        <is>
          <t>Biotechnology</t>
        </is>
      </c>
      <c r="E55" s="6" t="inlineStr">
        <is>
          <t>NASDAQ</t>
        </is>
      </c>
      <c r="F55" s="1" t="n">
        <v>63.95</v>
      </c>
      <c r="G55" s="8">
        <f>F55*[53]Main!$C$4</f>
        <v/>
      </c>
      <c r="H55" s="10">
        <f>G55-[53]Main!$C$7+[53]Main!$C$8</f>
        <v/>
      </c>
      <c r="J55" s="1">
        <f>[53]Main!$C$11</f>
        <v/>
      </c>
      <c r="K55" s="57">
        <f>IFERROR(J55/F55-1,"")</f>
        <v/>
      </c>
      <c r="L55" s="12">
        <f>"rNPV ("&amp;[53]Main!$C$14&amp;")"</f>
        <v/>
      </c>
      <c r="M55" s="58" t="n">
        <v>46340</v>
      </c>
      <c r="N55" s="59" t="inlineStr">
        <is>
          <t>PDUFA Nov 14: MAPLE-HCM label · Earnings Nov 4 (est.)</t>
        </is>
      </c>
    </row>
    <row r="56">
      <c r="B56" s="3" t="inlineStr">
        <is>
          <t>AXSM</t>
        </is>
      </c>
      <c r="C56" t="inlineStr">
        <is>
          <t>Axsome Therapeutics, Inc.</t>
        </is>
      </c>
      <c r="D56" t="inlineStr">
        <is>
          <t>Pharmaceuticals</t>
        </is>
      </c>
      <c r="E56" s="6" t="inlineStr">
        <is>
          <t>NASDAQ</t>
        </is>
      </c>
      <c r="F56" s="1" t="n">
        <v>159.58</v>
      </c>
      <c r="G56" s="8">
        <f>F56*[54]Main!$C$4</f>
        <v/>
      </c>
      <c r="H56" s="10">
        <f>G56-[54]Main!$C$7+[54]Main!$C$8</f>
        <v/>
      </c>
      <c r="J56" s="1">
        <f>IF(ISNUMBER([54]Main!$C$11),[54]Main!$C$11,"")</f>
        <v/>
      </c>
      <c r="K56" s="57">
        <f>IFERROR(J56/F56-1,"")</f>
        <v/>
      </c>
      <c r="L56" s="12">
        <f>[54]Main!$C$15&amp;" ("&amp;[54]Main!$C$14&amp;")"</f>
        <v/>
      </c>
      <c r="M56" s="58" t="n">
        <v>46328</v>
      </c>
      <c r="N56" s="17" t="inlineStr">
        <is>
          <t>Earnings Nov 2 (before open)</t>
        </is>
      </c>
    </row>
    <row r="57">
      <c r="B57" s="3" t="inlineStr">
        <is>
          <t>PTGX</t>
        </is>
      </c>
      <c r="C57" t="inlineStr">
        <is>
          <t>Protagonist Therapeutics, Inc.</t>
        </is>
      </c>
      <c r="D57" t="inlineStr">
        <is>
          <t>Biotechnology</t>
        </is>
      </c>
      <c r="E57" s="6" t="inlineStr">
        <is>
          <t>NASDAQ</t>
        </is>
      </c>
      <c r="F57" s="1" t="n">
        <v>137.99</v>
      </c>
      <c r="G57" s="8">
        <f>F57*[55]Main!$C$4</f>
        <v/>
      </c>
      <c r="H57" s="10">
        <f>G57-[55]Main!$C$7+[55]Main!$C$8</f>
        <v/>
      </c>
      <c r="J57" s="1">
        <f>IF(ISNUMBER([55]Main!$C$11),[55]Main!$C$11,"")</f>
        <v/>
      </c>
      <c r="K57" s="57">
        <f>IFERROR(J57/F57-1,"")</f>
        <v/>
      </c>
      <c r="L57" s="12">
        <f>[55]Main!$C$15&amp;" ("&amp;[55]Main!$C$14&amp;")"</f>
        <v/>
      </c>
      <c r="M57" s="58" t="n">
        <v>46331</v>
      </c>
      <c r="N57" s="17" t="inlineStr">
        <is>
          <t>Earnings Nov 5 (est.)</t>
        </is>
      </c>
    </row>
    <row r="58">
      <c r="B58" s="3" t="inlineStr">
        <is>
          <t>TWST</t>
        </is>
      </c>
      <c r="C58" t="inlineStr">
        <is>
          <t>Twist Bioscience Corporation</t>
        </is>
      </c>
      <c r="D58" t="inlineStr">
        <is>
          <t>Biotechnology</t>
        </is>
      </c>
      <c r="E58" s="6" t="inlineStr">
        <is>
          <t>NASDAQ</t>
        </is>
      </c>
      <c r="F58" s="1" t="n">
        <v>142.7</v>
      </c>
      <c r="G58" s="8">
        <f>F58*[56]Main!$C$4</f>
        <v/>
      </c>
      <c r="H58" s="10">
        <f>G58-[56]Main!$C$7+[56]Main!$C$8</f>
        <v/>
      </c>
      <c r="J58" s="1">
        <f>IF(ISNUMBER([56]Main!$C$11),[56]Main!$C$11,"")</f>
        <v/>
      </c>
      <c r="K58" s="57">
        <f>IFERROR(J58/F58-1,"")</f>
        <v/>
      </c>
      <c r="L58" s="12">
        <f>[56]Main!$C$15&amp;" ("&amp;[56]Main!$C$14&amp;")"</f>
        <v/>
      </c>
      <c r="M58" s="58" t="n">
        <v>46339</v>
      </c>
      <c r="N58" s="17" t="inlineStr">
        <is>
          <t>Earnings Nov 13 (est.)</t>
        </is>
      </c>
    </row>
    <row r="59">
      <c r="B59" s="3" t="inlineStr">
        <is>
          <t>TGTX</t>
        </is>
      </c>
      <c r="C59" t="inlineStr">
        <is>
          <t>TG Therapeutics, Inc.</t>
        </is>
      </c>
      <c r="D59" t="inlineStr">
        <is>
          <t>Biotechnology</t>
        </is>
      </c>
      <c r="E59" s="6" t="inlineStr">
        <is>
          <t>NASDAQ</t>
        </is>
      </c>
      <c r="F59" s="1" t="n">
        <v>54.53</v>
      </c>
      <c r="G59" s="8">
        <f>F59*[57]Main!$C$4</f>
        <v/>
      </c>
      <c r="H59" s="10">
        <f>G59-[57]Main!$C$7+[57]Main!$C$8</f>
        <v/>
      </c>
      <c r="J59" s="1">
        <f>IF(ISNUMBER([57]Main!$C$11),[57]Main!$C$11,"")</f>
        <v/>
      </c>
      <c r="K59" s="57">
        <f>IFERROR(J59/F59-1,"")</f>
        <v/>
      </c>
      <c r="L59" s="12">
        <f>[57]Main!$C$15&amp;" ("&amp;[57]Main!$C$14&amp;")"</f>
        <v/>
      </c>
      <c r="M59" s="58" t="n">
        <v>46328</v>
      </c>
      <c r="N59" s="17" t="inlineStr">
        <is>
          <t>Earnings Nov 2 (est.)</t>
        </is>
      </c>
    </row>
    <row r="60">
      <c r="B60" s="3" t="inlineStr">
        <is>
          <t>ARWR</t>
        </is>
      </c>
      <c r="C60" t="inlineStr">
        <is>
          <t>Arrowhead Pharmaceuticals, Inc.</t>
        </is>
      </c>
      <c r="D60" t="inlineStr">
        <is>
          <t>Biotechnology</t>
        </is>
      </c>
      <c r="E60" s="6" t="inlineStr">
        <is>
          <t>NASDAQ</t>
        </is>
      </c>
      <c r="F60" s="1" t="n">
        <v>58.92</v>
      </c>
      <c r="G60" s="8">
        <f>F60*[58]Main!$C$4</f>
        <v/>
      </c>
      <c r="H60" s="10">
        <f>G60-[58]Main!$C$7+[58]Main!$C$8</f>
        <v/>
      </c>
      <c r="J60" s="1">
        <f>IF(ISNUMBER([58]Main!$C$11),[58]Main!$C$11,"")</f>
        <v/>
      </c>
      <c r="K60" s="57">
        <f>IFERROR(J60/F60-1,"")</f>
        <v/>
      </c>
      <c r="L60" s="12">
        <f>[58]Main!$C$15&amp;" ("&amp;[58]Main!$C$14&amp;")"</f>
        <v/>
      </c>
      <c r="M60" s="58" t="n">
        <v>46350</v>
      </c>
      <c r="N60" s="17" t="inlineStr">
        <is>
          <t>Earnings Nov 24 (est.)</t>
        </is>
      </c>
    </row>
    <row r="61">
      <c r="B61" s="3" t="inlineStr">
        <is>
          <t>IONS</t>
        </is>
      </c>
      <c r="C61" t="inlineStr">
        <is>
          <t>Ionis Pharmaceuticals, Inc.</t>
        </is>
      </c>
      <c r="D61" t="inlineStr">
        <is>
          <t>Biotechnology</t>
        </is>
      </c>
      <c r="E61" s="6" t="inlineStr">
        <is>
          <t>NASDAQ</t>
        </is>
      </c>
      <c r="F61" s="1" t="n">
        <v>45.4</v>
      </c>
      <c r="G61" s="8">
        <f>F61*[59]Main!$C$4</f>
        <v/>
      </c>
      <c r="H61" s="10">
        <f>G61-[59]Main!$C$7+[59]Main!$C$8</f>
        <v/>
      </c>
      <c r="J61" s="1">
        <f>IF(ISNUMBER([59]Main!$C$11),[59]Main!$C$11,"")</f>
        <v/>
      </c>
      <c r="K61" s="57">
        <f>IFERROR(J61/F61-1,"")</f>
        <v/>
      </c>
      <c r="L61" s="12">
        <f>[59]Main!$C$15&amp;" ("&amp;[59]Main!$C$14&amp;")"</f>
        <v/>
      </c>
      <c r="M61" s="58" t="n">
        <v>46330</v>
      </c>
      <c r="N61" s="17" t="inlineStr">
        <is>
          <t>Earnings Nov 4 (est.)</t>
        </is>
      </c>
    </row>
    <row r="62">
      <c r="B62" s="3" t="inlineStr">
        <is>
          <t>PRAX</t>
        </is>
      </c>
      <c r="C62" t="inlineStr">
        <is>
          <t>Praxis Precision Medicines, Inc.</t>
        </is>
      </c>
      <c r="D62" t="inlineStr">
        <is>
          <t>Biotechnology</t>
        </is>
      </c>
      <c r="E62" s="6" t="inlineStr">
        <is>
          <t>NASDAQ</t>
        </is>
      </c>
      <c r="F62" s="1" t="n">
        <v>264.49</v>
      </c>
      <c r="G62" s="8">
        <f>F62*[60]Main!$C$4</f>
        <v/>
      </c>
      <c r="H62" s="10">
        <f>G62-[60]Main!$C$7+[60]Main!$C$8</f>
        <v/>
      </c>
      <c r="J62" s="1">
        <f>[60]Main!$C$11</f>
        <v/>
      </c>
      <c r="K62" s="57">
        <f>IFERROR(J62/F62-1,"")</f>
        <v/>
      </c>
      <c r="L62" s="12">
        <f>"rNPV ("&amp;[60]Main!$C$14&amp;")"</f>
        <v/>
      </c>
      <c r="M62" s="58" t="n">
        <v>46383</v>
      </c>
      <c r="N62" s="59" t="inlineStr">
        <is>
          <t>PDUFA Dec 27: relutrigine · Earnings Nov 4 (est.)</t>
        </is>
      </c>
    </row>
    <row r="63">
      <c r="B63" s="3" t="inlineStr">
        <is>
          <t>SYRE</t>
        </is>
      </c>
      <c r="C63" t="inlineStr">
        <is>
          <t>Spyre Therapeutics Inc</t>
        </is>
      </c>
      <c r="D63" t="inlineStr">
        <is>
          <t>Biotechnology</t>
        </is>
      </c>
      <c r="E63" s="6" t="inlineStr">
        <is>
          <t>NASDAQ</t>
        </is>
      </c>
      <c r="F63" s="1" t="n">
        <v>91.40000000000001</v>
      </c>
      <c r="G63" s="8">
        <f>F63*[61]Main!$C$4</f>
        <v/>
      </c>
      <c r="H63" s="10">
        <f>G63-[61]Main!$C$7+[61]Main!$C$8</f>
        <v/>
      </c>
      <c r="J63" s="1">
        <f>IF(ISNUMBER([61]Main!$C$11),[61]Main!$C$11,"")</f>
        <v/>
      </c>
      <c r="K63" s="57">
        <f>IFERROR(J63/F63-1,"")</f>
        <v/>
      </c>
      <c r="L63" s="12">
        <f>[61]Main!$C$15&amp;" ("&amp;[61]Main!$C$14&amp;")"</f>
        <v/>
      </c>
      <c r="M63" s="58" t="n">
        <v>46329</v>
      </c>
      <c r="N63" s="17" t="inlineStr">
        <is>
          <t>Earnings Nov 3 (est.) · Readout ~2026-10-31: Rheumatoid / spondyloarthritis, Phase 2</t>
        </is>
      </c>
    </row>
    <row r="64">
      <c r="B64" s="3" t="inlineStr">
        <is>
          <t>ABVX</t>
        </is>
      </c>
      <c r="C64" t="inlineStr">
        <is>
          <t>Abivax SA</t>
        </is>
      </c>
      <c r="D64" t="inlineStr">
        <is>
          <t>Biotechnology</t>
        </is>
      </c>
      <c r="E64" s="6" t="inlineStr">
        <is>
          <t>NASDAQ</t>
        </is>
      </c>
      <c r="F64" s="1" t="n">
        <v>92.59</v>
      </c>
      <c r="G64" s="8">
        <f>F64*[62]Main!$C$4</f>
        <v/>
      </c>
      <c r="H64" s="10">
        <f>G64-[62]Main!$C$7+[62]Main!$C$8</f>
        <v/>
      </c>
      <c r="J64" s="1">
        <f>IF(ISNUMBER([62]Main!$C$11),[62]Main!$C$11,"")</f>
        <v/>
      </c>
      <c r="K64" s="57">
        <f>IFERROR(J64/F64-1,"")</f>
        <v/>
      </c>
      <c r="L64" s="12">
        <f>[62]Main!$C$15&amp;" ("&amp;[62]Main!$C$14&amp;")"</f>
        <v/>
      </c>
      <c r="M64" s="58" t="n"/>
      <c r="N64" s="17" t="inlineStr">
        <is>
          <t>Readout ~2026-12: IBD (UC / Crohn's), Phase 3</t>
        </is>
      </c>
    </row>
    <row r="65">
      <c r="B65" s="3" t="inlineStr">
        <is>
          <t>ALKS</t>
        </is>
      </c>
      <c r="C65" t="inlineStr">
        <is>
          <t>Alkermes Plc</t>
        </is>
      </c>
      <c r="D65" t="inlineStr">
        <is>
          <t>Biotechnology</t>
        </is>
      </c>
      <c r="E65" s="6" t="inlineStr">
        <is>
          <t>NASDAQ</t>
        </is>
      </c>
      <c r="F65" s="1" t="n">
        <v>44.11</v>
      </c>
      <c r="G65" s="8">
        <f>F65*[63]Main!$C$4</f>
        <v/>
      </c>
      <c r="H65" s="10">
        <f>G65-[63]Main!$C$7+[63]Main!$C$8</f>
        <v/>
      </c>
      <c r="J65" s="1">
        <f>IF(ISNUMBER([63]Main!$C$11),[63]Main!$C$11,"")</f>
        <v/>
      </c>
      <c r="K65" s="57">
        <f>IFERROR(J65/F65-1,"")</f>
        <v/>
      </c>
      <c r="L65" s="12">
        <f>[63]Main!$C$15&amp;" ("&amp;[63]Main!$C$14&amp;")"</f>
        <v/>
      </c>
      <c r="M65" s="58" t="n">
        <v>46322</v>
      </c>
      <c r="N65" s="17" t="inlineStr">
        <is>
          <t>Earnings Oct 27 (est.)</t>
        </is>
      </c>
    </row>
    <row r="66">
      <c r="B66" s="3" t="inlineStr">
        <is>
          <t>IOVA</t>
        </is>
      </c>
      <c r="C66" t="inlineStr">
        <is>
          <t>Iovance Biotherapeutics Inc</t>
        </is>
      </c>
      <c r="D66" t="inlineStr">
        <is>
          <t>Biotechnology</t>
        </is>
      </c>
      <c r="E66" s="6" t="inlineStr">
        <is>
          <t>NASDAQ</t>
        </is>
      </c>
      <c r="F66" s="1" t="n">
        <v>14.86</v>
      </c>
      <c r="G66" s="8">
        <f>F66*[64]Main!$C$4</f>
        <v/>
      </c>
      <c r="H66" s="10">
        <f>G66-[64]Main!$C$7+[64]Main!$C$8</f>
        <v/>
      </c>
      <c r="J66" s="1">
        <f>IF(ISNUMBER([64]Main!$C$11),[64]Main!$C$11,"")</f>
        <v/>
      </c>
      <c r="K66" s="57">
        <f>IFERROR(J66/F66-1,"")</f>
        <v/>
      </c>
      <c r="L66" s="12">
        <f>[64]Main!$C$15&amp;" ("&amp;[64]Main!$C$14&amp;")"</f>
        <v/>
      </c>
      <c r="M66" s="58" t="n">
        <v>46331</v>
      </c>
      <c r="N66" s="17" t="inlineStr">
        <is>
          <t>Earnings Nov 5 (est.)</t>
        </is>
      </c>
    </row>
    <row r="67">
      <c r="B67" s="3" t="inlineStr">
        <is>
          <t>AMRX</t>
        </is>
      </c>
      <c r="C67" t="inlineStr">
        <is>
          <t>Amneal Pharmaceuticals, Inc</t>
        </is>
      </c>
      <c r="D67" t="inlineStr">
        <is>
          <t>Pharmaceuticals</t>
        </is>
      </c>
      <c r="E67" s="6" t="inlineStr">
        <is>
          <t>NASDAQ</t>
        </is>
      </c>
      <c r="F67" s="1" t="n">
        <v>19.84</v>
      </c>
      <c r="G67" s="8">
        <f>F67*[65]Main!$C$4</f>
        <v/>
      </c>
      <c r="H67" s="10">
        <f>G67-[65]Main!$C$7+[65]Main!$C$8</f>
        <v/>
      </c>
      <c r="J67" s="1">
        <f>IF(ISNUMBER([65]Main!$C$11),[65]Main!$C$11,"")</f>
        <v/>
      </c>
      <c r="K67" s="57">
        <f>IFERROR(J67/F67-1,"")</f>
        <v/>
      </c>
      <c r="L67" s="12">
        <f>[65]Main!$C$15&amp;" ("&amp;[65]Main!$C$14&amp;")"</f>
        <v/>
      </c>
      <c r="M67" s="58" t="n">
        <v>46329</v>
      </c>
      <c r="N67" s="17" t="inlineStr">
        <is>
          <t>Earnings Nov 3 (before open)</t>
        </is>
      </c>
    </row>
    <row r="68">
      <c r="B68" s="3" t="inlineStr">
        <is>
          <t>RYTM</t>
        </is>
      </c>
      <c r="C68" t="inlineStr">
        <is>
          <t>Rhythm Pharmaceuticals, Inc.</t>
        </is>
      </c>
      <c r="D68" t="inlineStr">
        <is>
          <t>Biotechnology</t>
        </is>
      </c>
      <c r="E68" s="6" t="inlineStr">
        <is>
          <t>NASDAQ</t>
        </is>
      </c>
      <c r="F68" s="1" t="n">
        <v>90.2</v>
      </c>
      <c r="G68" s="8">
        <f>F68*[66]Main!$C$4</f>
        <v/>
      </c>
      <c r="H68" s="10">
        <f>G68-[66]Main!$C$7+[66]Main!$C$8</f>
        <v/>
      </c>
      <c r="J68" s="1">
        <f>IF(ISNUMBER([66]Main!$C$11),[66]Main!$C$11,"")</f>
        <v/>
      </c>
      <c r="K68" s="57">
        <f>IFERROR(J68/F68-1,"")</f>
        <v/>
      </c>
      <c r="L68" s="12">
        <f>[66]Main!$C$15&amp;" ("&amp;[66]Main!$C$14&amp;")"</f>
        <v/>
      </c>
      <c r="M68" s="58" t="n">
        <v>46329</v>
      </c>
      <c r="N68" s="17" t="inlineStr">
        <is>
          <t>Earnings Nov 3 (est.)</t>
        </is>
      </c>
    </row>
    <row r="69">
      <c r="B69" s="3" t="inlineStr">
        <is>
          <t>LGND</t>
        </is>
      </c>
      <c r="C69" t="inlineStr">
        <is>
          <t>Ligand Pharmaceuticals Incorporated</t>
        </is>
      </c>
      <c r="D69" t="inlineStr">
        <is>
          <t>Pharmaceuticals</t>
        </is>
      </c>
      <c r="E69" s="6" t="inlineStr">
        <is>
          <t>NASDAQ</t>
        </is>
      </c>
      <c r="F69" s="1" t="n">
        <v>306.4</v>
      </c>
      <c r="G69" s="8">
        <f>F69*[67]Main!$C$4</f>
        <v/>
      </c>
      <c r="H69" s="10">
        <f>G69-[67]Main!$C$7+[67]Main!$C$8</f>
        <v/>
      </c>
      <c r="J69" s="1">
        <f>IF(ISNUMBER([67]Main!$C$11),[67]Main!$C$11,"")</f>
        <v/>
      </c>
      <c r="K69" s="57">
        <f>IFERROR(J69/F69-1,"")</f>
        <v/>
      </c>
      <c r="L69" s="12">
        <f>[67]Main!$C$15&amp;" ("&amp;[67]Main!$C$14&amp;")"</f>
        <v/>
      </c>
      <c r="M69" s="58" t="n">
        <v>46324</v>
      </c>
      <c r="N69" s="17" t="inlineStr">
        <is>
          <t>Earnings Oct 29 (before open)</t>
        </is>
      </c>
    </row>
    <row r="70">
      <c r="B70" s="3" t="inlineStr">
        <is>
          <t>BLTE</t>
        </is>
      </c>
      <c r="C70" t="inlineStr">
        <is>
          <t>Belite Bio, Inc</t>
        </is>
      </c>
      <c r="D70" t="inlineStr">
        <is>
          <t>Pharmaceuticals</t>
        </is>
      </c>
      <c r="E70" s="6" t="inlineStr">
        <is>
          <t>NASDAQ</t>
        </is>
      </c>
      <c r="F70" s="1" t="n">
        <v>154.45</v>
      </c>
      <c r="G70" s="8">
        <f>F70*[68]Main!$C$4</f>
        <v/>
      </c>
      <c r="H70" s="10">
        <f>G70-[68]Main!$C$7+[68]Main!$C$8</f>
        <v/>
      </c>
      <c r="J70" s="1">
        <f>IF(ISNUMBER([68]Main!$C$11),[68]Main!$C$11,"")</f>
        <v/>
      </c>
      <c r="K70" s="57">
        <f>IFERROR(J70/F70-1,"")</f>
        <v/>
      </c>
      <c r="L70" s="12">
        <f>[68]Main!$C$15&amp;" ("&amp;[68]Main!$C$14&amp;")"</f>
        <v/>
      </c>
      <c r="M70" s="58" t="n">
        <v>46335</v>
      </c>
      <c r="N70" s="17" t="inlineStr">
        <is>
          <t>Earnings Nov 9 (est.) · Readout ~2027-06-30: Geographic atrophy, Phase 3</t>
        </is>
      </c>
    </row>
    <row r="71">
      <c r="B71" s="3" t="inlineStr">
        <is>
          <t>COGT</t>
        </is>
      </c>
      <c r="C71" t="inlineStr">
        <is>
          <t>Cogent Biosciences, Inc.</t>
        </is>
      </c>
      <c r="D71" t="inlineStr">
        <is>
          <t>Biotechnology</t>
        </is>
      </c>
      <c r="E71" s="6" t="inlineStr">
        <is>
          <t>NASDAQ</t>
        </is>
      </c>
      <c r="F71" s="1" t="n">
        <v>31.24</v>
      </c>
      <c r="G71" s="8">
        <f>F71*[69]Main!$C$4</f>
        <v/>
      </c>
      <c r="H71" s="10">
        <f>G71-[69]Main!$C$7+[69]Main!$C$8</f>
        <v/>
      </c>
      <c r="J71" s="1">
        <f>[69]Main!$C$11</f>
        <v/>
      </c>
      <c r="K71" s="57">
        <f>IFERROR(J71/F71-1,"")</f>
        <v/>
      </c>
      <c r="L71" s="12">
        <f>"rNPV ("&amp;[69]Main!$C$14&amp;")"</f>
        <v/>
      </c>
      <c r="M71" s="58" t="n">
        <v>46356</v>
      </c>
      <c r="N71" s="59" t="inlineStr">
        <is>
          <t>PDUFA Nov 30: bezuclastinib in GIST · Earnings Nov 6 (est.)</t>
        </is>
      </c>
    </row>
    <row r="72">
      <c r="B72" s="3" t="inlineStr">
        <is>
          <t>IMVT</t>
        </is>
      </c>
      <c r="C72" t="inlineStr">
        <is>
          <t>Immunovant, Inc.</t>
        </is>
      </c>
      <c r="D72" t="inlineStr">
        <is>
          <t>Biotechnology</t>
        </is>
      </c>
      <c r="E72" s="6" t="inlineStr">
        <is>
          <t>NASDAQ</t>
        </is>
      </c>
      <c r="F72" s="1" t="n">
        <v>28.59</v>
      </c>
      <c r="G72" s="8">
        <f>F72*[70]Main!$C$4</f>
        <v/>
      </c>
      <c r="H72" s="10">
        <f>G72-[70]Main!$C$7+[70]Main!$C$8</f>
        <v/>
      </c>
      <c r="J72" s="1">
        <f>IF(ISNUMBER([70]Main!$C$11),[70]Main!$C$11,"")</f>
        <v/>
      </c>
      <c r="K72" s="57">
        <f>IFERROR(J72/F72-1,"")</f>
        <v/>
      </c>
      <c r="L72" s="12">
        <f>[70]Main!$C$15&amp;" ("&amp;[70]Main!$C$14&amp;")"</f>
        <v/>
      </c>
      <c r="M72" s="58" t="n">
        <v>46335</v>
      </c>
      <c r="N72" s="17" t="inlineStr">
        <is>
          <t>Earnings Nov 9 (est.) · Readout ~2026-10: Lupus / Sjogren's, Phase 2</t>
        </is>
      </c>
    </row>
    <row r="73">
      <c r="B73" s="3" t="inlineStr">
        <is>
          <t>KOD</t>
        </is>
      </c>
      <c r="C73" t="inlineStr">
        <is>
          <t>Kodiak Sciences Inc.</t>
        </is>
      </c>
      <c r="D73" t="inlineStr">
        <is>
          <t>Biotechnology</t>
        </is>
      </c>
      <c r="E73" s="6" t="inlineStr">
        <is>
          <t>NASDAQ</t>
        </is>
      </c>
      <c r="F73" s="1" t="n">
        <v>92.97</v>
      </c>
      <c r="G73" s="8">
        <f>F73*[71]Main!$C$4</f>
        <v/>
      </c>
      <c r="H73" s="10">
        <f>G73-[71]Main!$C$7+[71]Main!$C$8</f>
        <v/>
      </c>
      <c r="J73" s="1">
        <f>IF(ISNUMBER([71]Main!$C$11),[71]Main!$C$11,"")</f>
        <v/>
      </c>
      <c r="K73" s="57">
        <f>IFERROR(J73/F73-1,"")</f>
        <v/>
      </c>
      <c r="L73" s="12">
        <f>[71]Main!$C$15&amp;" ("&amp;[71]Main!$C$14&amp;")"</f>
        <v/>
      </c>
      <c r="M73" s="58" t="n">
        <v>46338</v>
      </c>
      <c r="N73" s="17" t="inlineStr">
        <is>
          <t>Earnings Nov 12 (est.) · Readout ~2027-02: Retinal disease (AMD / DME), Phase 3</t>
        </is>
      </c>
    </row>
    <row r="74">
      <c r="B74" s="3" t="inlineStr">
        <is>
          <t>CGON</t>
        </is>
      </c>
      <c r="C74" t="inlineStr">
        <is>
          <t>CG Oncology, Inc.</t>
        </is>
      </c>
      <c r="D74" t="inlineStr">
        <is>
          <t>Biotechnology</t>
        </is>
      </c>
      <c r="E74" s="6" t="inlineStr">
        <is>
          <t>NASDAQ</t>
        </is>
      </c>
      <c r="F74" s="1" t="n">
        <v>61.93</v>
      </c>
      <c r="G74" s="8">
        <f>F74*[72]Main!$C$4</f>
        <v/>
      </c>
      <c r="H74" s="10">
        <f>G74-[72]Main!$C$7+[72]Main!$C$8</f>
        <v/>
      </c>
      <c r="J74" s="1">
        <f>IF(ISNUMBER([72]Main!$C$11),[72]Main!$C$11,"")</f>
        <v/>
      </c>
      <c r="K74" s="57">
        <f>IFERROR(J74/F74-1,"")</f>
        <v/>
      </c>
      <c r="L74" s="12">
        <f>[72]Main!$C$15&amp;" ("&amp;[72]Main!$C$14&amp;")"</f>
        <v/>
      </c>
      <c r="M74" s="58" t="n">
        <v>46339</v>
      </c>
      <c r="N74" s="17" t="inlineStr">
        <is>
          <t>Earnings Nov 13 (est.) · Readout ~2026-11: Bladder / urothelial cancer, Phase 3</t>
        </is>
      </c>
    </row>
    <row r="75">
      <c r="B75" s="3" t="inlineStr">
        <is>
          <t>GRAL</t>
        </is>
      </c>
      <c r="C75" t="inlineStr">
        <is>
          <t>Grail Inc</t>
        </is>
      </c>
      <c r="D75" t="inlineStr">
        <is>
          <t>Biotechnology</t>
        </is>
      </c>
      <c r="E75" s="6" t="inlineStr">
        <is>
          <t>NASDAQ</t>
        </is>
      </c>
      <c r="F75" s="1" t="n">
        <v>124.67</v>
      </c>
      <c r="G75" s="8">
        <f>F75*[73]Main!$C$4</f>
        <v/>
      </c>
      <c r="H75" s="10">
        <f>G75-[73]Main!$C$7+[73]Main!$C$8</f>
        <v/>
      </c>
      <c r="J75" s="1">
        <f>IF(ISNUMBER([73]Main!$C$11),[73]Main!$C$11,"")</f>
        <v/>
      </c>
      <c r="K75" s="57">
        <f>IFERROR(J75/F75-1,"")</f>
        <v/>
      </c>
      <c r="L75" s="12">
        <f>[73]Main!$C$15&amp;" ("&amp;[73]Main!$C$14&amp;")"</f>
        <v/>
      </c>
      <c r="M75" s="58" t="n">
        <v>46337</v>
      </c>
      <c r="N75" s="17" t="inlineStr">
        <is>
          <t>Earnings Nov 11 (est.)</t>
        </is>
      </c>
    </row>
    <row r="76">
      <c r="B76" s="3" t="inlineStr">
        <is>
          <t>BLRX</t>
        </is>
      </c>
      <c r="C76" t="inlineStr">
        <is>
          <t>BioLine RX Ltd</t>
        </is>
      </c>
      <c r="D76" t="inlineStr">
        <is>
          <t>Biotechnology</t>
        </is>
      </c>
      <c r="E76" s="6" t="inlineStr">
        <is>
          <t>NASDAQ</t>
        </is>
      </c>
      <c r="F76" s="1" t="n">
        <v>2.2145</v>
      </c>
      <c r="G76" s="8">
        <f>F76*[74]Main!$C$4</f>
        <v/>
      </c>
      <c r="H76" s="10">
        <f>G76-[74]Main!$C$7+[74]Main!$C$8</f>
        <v/>
      </c>
      <c r="J76" s="1">
        <f>IF(ISNUMBER([74]Main!$C$11),[74]Main!$C$11,"")</f>
        <v/>
      </c>
      <c r="K76" s="57">
        <f>IFERROR(J76/F76-1,"")</f>
        <v/>
      </c>
      <c r="L76" s="12">
        <f>[74]Main!$C$15&amp;" ("&amp;[74]Main!$C$14&amp;")"</f>
        <v/>
      </c>
      <c r="M76" s="58" t="n">
        <v>46349</v>
      </c>
      <c r="N76" s="17" t="inlineStr">
        <is>
          <t>Earnings Nov 23 (est.)</t>
        </is>
      </c>
    </row>
    <row r="77">
      <c r="B77" s="3" t="inlineStr">
        <is>
          <t>MIRM</t>
        </is>
      </c>
      <c r="C77" t="inlineStr">
        <is>
          <t>Mirum Pharmaceuticals, Inc.</t>
        </is>
      </c>
      <c r="D77" t="inlineStr">
        <is>
          <t>Biotechnology</t>
        </is>
      </c>
      <c r="E77" s="6" t="inlineStr">
        <is>
          <t>NASDAQ</t>
        </is>
      </c>
      <c r="F77" s="1" t="n">
        <v>85.06999999999999</v>
      </c>
      <c r="G77" s="8">
        <f>F77*[75]Main!$C$4</f>
        <v/>
      </c>
      <c r="H77" s="10">
        <f>G77-[75]Main!$C$7+[75]Main!$C$8</f>
        <v/>
      </c>
      <c r="J77" s="1">
        <f>IF(ISNUMBER([75]Main!$C$11),[75]Main!$C$11,"")</f>
        <v/>
      </c>
      <c r="K77" s="57">
        <f>IFERROR(J77/F77-1,"")</f>
        <v/>
      </c>
      <c r="L77" s="12">
        <f>[75]Main!$C$15&amp;" ("&amp;[75]Main!$C$14&amp;")"</f>
        <v/>
      </c>
      <c r="M77" s="58" t="n">
        <v>46329</v>
      </c>
      <c r="N77" s="17" t="inlineStr">
        <is>
          <t>Earnings Nov 3 (est.)</t>
        </is>
      </c>
    </row>
    <row r="78">
      <c r="B78" s="3" t="inlineStr">
        <is>
          <t>PTCT</t>
        </is>
      </c>
      <c r="C78" t="inlineStr">
        <is>
          <t>PTC Therapeutics, Inc.</t>
        </is>
      </c>
      <c r="D78" t="inlineStr">
        <is>
          <t>Biotechnology</t>
        </is>
      </c>
      <c r="E78" s="6" t="inlineStr">
        <is>
          <t>NASDAQ</t>
        </is>
      </c>
      <c r="F78" s="1" t="n">
        <v>62.92</v>
      </c>
      <c r="G78" s="8">
        <f>F78*[76]Main!$C$4</f>
        <v/>
      </c>
      <c r="H78" s="10">
        <f>G78-[76]Main!$C$7+[76]Main!$C$8</f>
        <v/>
      </c>
      <c r="J78" s="1">
        <f>IF(ISNUMBER([76]Main!$C$11),[76]Main!$C$11,"")</f>
        <v/>
      </c>
      <c r="K78" s="57">
        <f>IFERROR(J78/F78-1,"")</f>
        <v/>
      </c>
      <c r="L78" s="12">
        <f>[76]Main!$C$15&amp;" ("&amp;[76]Main!$C$14&amp;")"</f>
        <v/>
      </c>
      <c r="M78" s="58" t="n">
        <v>46324</v>
      </c>
      <c r="N78" s="17" t="inlineStr">
        <is>
          <t>Earnings Oct 29 (after close)</t>
        </is>
      </c>
    </row>
    <row r="79">
      <c r="B79" s="3" t="inlineStr">
        <is>
          <t>SRRK</t>
        </is>
      </c>
      <c r="C79" t="inlineStr">
        <is>
          <t>Scholar Rock Holding Corporation</t>
        </is>
      </c>
      <c r="D79" t="inlineStr">
        <is>
          <t>Biotechnology</t>
        </is>
      </c>
      <c r="E79" s="6" t="inlineStr">
        <is>
          <t>NASDAQ</t>
        </is>
      </c>
      <c r="F79" s="1" t="n">
        <v>41.36</v>
      </c>
      <c r="G79" s="8">
        <f>F79*[77]Main!$C$4</f>
        <v/>
      </c>
      <c r="H79" s="10">
        <f>G79-[77]Main!$C$7+[77]Main!$C$8</f>
        <v/>
      </c>
      <c r="J79" s="1">
        <f>IF(ISNUMBER([77]Main!$C$11),[77]Main!$C$11,"")</f>
        <v/>
      </c>
      <c r="K79" s="57">
        <f>IFERROR(J79/F79-1,"")</f>
        <v/>
      </c>
      <c r="L79" s="12">
        <f>[77]Main!$C$15&amp;" ("&amp;[77]Main!$C$14&amp;")"</f>
        <v/>
      </c>
      <c r="M79" s="58" t="n">
        <v>46339</v>
      </c>
      <c r="N79" s="17" t="inlineStr">
        <is>
          <t>Earnings Nov 13 (est.) · Readout ~2026-11-01: Muscular dystrophy / SMA, filed · PDUFA 2026-09-30: Muscular dystrophy / SMA</t>
        </is>
      </c>
    </row>
    <row r="80">
      <c r="B80" s="3" t="inlineStr">
        <is>
          <t>ORKA</t>
        </is>
      </c>
      <c r="C80" t="inlineStr">
        <is>
          <t>Oruka Therapeutics Inc</t>
        </is>
      </c>
      <c r="D80" t="inlineStr">
        <is>
          <t>Biotechnology</t>
        </is>
      </c>
      <c r="E80" s="6" t="inlineStr">
        <is>
          <t>NASDAQ</t>
        </is>
      </c>
      <c r="F80" s="1" t="n">
        <v>79.09</v>
      </c>
      <c r="G80" s="8">
        <f>F80*[78]Main!$C$4</f>
        <v/>
      </c>
      <c r="H80" s="10">
        <f>G80-[78]Main!$C$7+[78]Main!$C$8</f>
        <v/>
      </c>
      <c r="J80" s="1">
        <f>IF(ISNUMBER([78]Main!$C$11),[78]Main!$C$11,"")</f>
        <v/>
      </c>
      <c r="K80" s="57">
        <f>IFERROR(J80/F80-1,"")</f>
        <v/>
      </c>
      <c r="L80" s="12">
        <f>[78]Main!$C$15&amp;" ("&amp;[78]Main!$C$14&amp;")"</f>
        <v/>
      </c>
      <c r="M80" s="58" t="n">
        <v>46337</v>
      </c>
      <c r="N80" s="17" t="inlineStr">
        <is>
          <t>Earnings Nov 11 (est.) · Readout ~2027-06: Psoriasis, Phase 2</t>
        </is>
      </c>
    </row>
    <row r="81">
      <c r="B81" s="3" t="inlineStr">
        <is>
          <t>CRSP</t>
        </is>
      </c>
      <c r="C81" t="inlineStr">
        <is>
          <t>CRISPR Therapeutics AG</t>
        </is>
      </c>
      <c r="D81" t="inlineStr">
        <is>
          <t>Biotechnology</t>
        </is>
      </c>
      <c r="E81" s="6" t="inlineStr">
        <is>
          <t>NASDAQ</t>
        </is>
      </c>
      <c r="F81" s="1" t="n">
        <v>49.88</v>
      </c>
      <c r="G81" s="8">
        <f>F81*[79]Main!$C$4</f>
        <v/>
      </c>
      <c r="H81" s="10">
        <f>G81-[79]Main!$C$7+[79]Main!$C$8</f>
        <v/>
      </c>
      <c r="J81" s="1">
        <f>IF(ISNUMBER([79]Main!$C$11),[79]Main!$C$11,"")</f>
        <v/>
      </c>
      <c r="K81" s="57">
        <f>IFERROR(J81/F81-1,"")</f>
        <v/>
      </c>
      <c r="L81" s="12">
        <f>[79]Main!$C$15&amp;" ("&amp;[79]Main!$C$14&amp;")"</f>
        <v/>
      </c>
      <c r="M81" s="58" t="n">
        <v>46335</v>
      </c>
      <c r="N81" s="17" t="inlineStr">
        <is>
          <t>Earnings Nov 9 (est.) · Readout ~2027-06: Lipids / cardiometabolic, Phase 1</t>
        </is>
      </c>
    </row>
    <row r="82">
      <c r="B82" s="3" t="inlineStr">
        <is>
          <t>RGC</t>
        </is>
      </c>
      <c r="C82" t="inlineStr">
        <is>
          <t>Regencell Bioscience Holdings Ltd</t>
        </is>
      </c>
      <c r="D82" t="inlineStr">
        <is>
          <t>Pharmaceuticals</t>
        </is>
      </c>
      <c r="E82" s="6" t="inlineStr">
        <is>
          <t>NASDAQ</t>
        </is>
      </c>
      <c r="F82" s="1" t="n">
        <v>10.45</v>
      </c>
      <c r="G82" s="8">
        <f>F82*[80]Main!$C$4</f>
        <v/>
      </c>
      <c r="H82" s="10">
        <f>G82-[80]Main!$C$7+[80]Main!$C$8</f>
        <v/>
      </c>
      <c r="J82" s="1">
        <f>IF(ISNUMBER([80]Main!$C$11),[80]Main!$C$11,"")</f>
        <v/>
      </c>
      <c r="K82" s="57">
        <f>IFERROR(J82/F82-1,"")</f>
        <v/>
      </c>
      <c r="L82" s="12">
        <f>[80]Main!$C$15&amp;" ("&amp;[80]Main!$C$14&amp;")"</f>
        <v/>
      </c>
      <c r="M82" s="58" t="n"/>
      <c r="N82" s="17" t="n"/>
    </row>
    <row r="83">
      <c r="B83" s="3" t="inlineStr">
        <is>
          <t>ERAS</t>
        </is>
      </c>
      <c r="C83" t="inlineStr">
        <is>
          <t>Erasca, Inc.</t>
        </is>
      </c>
      <c r="D83" t="inlineStr">
        <is>
          <t>Biotechnology</t>
        </is>
      </c>
      <c r="E83" s="6" t="inlineStr">
        <is>
          <t>NASDAQ</t>
        </is>
      </c>
      <c r="F83" s="1" t="n">
        <v>14.62</v>
      </c>
      <c r="G83" s="8">
        <f>F83*[81]Main!$C$4</f>
        <v/>
      </c>
      <c r="H83" s="10">
        <f>G83-[81]Main!$C$7+[81]Main!$C$8</f>
        <v/>
      </c>
      <c r="J83" s="1">
        <f>IF(ISNUMBER([81]Main!$C$11),[81]Main!$C$11,"")</f>
        <v/>
      </c>
      <c r="K83" s="57">
        <f>IFERROR(J83/F83-1,"")</f>
        <v/>
      </c>
      <c r="L83" s="12">
        <f>[81]Main!$C$15&amp;" ("&amp;[81]Main!$C$14&amp;")"</f>
        <v/>
      </c>
      <c r="M83" s="58" t="n">
        <v>46337</v>
      </c>
      <c r="N83" s="17" t="inlineStr">
        <is>
          <t>Earnings Nov 11 (est.) · Readout ~2028-04: Melanoma, Phase 3</t>
        </is>
      </c>
    </row>
    <row r="84">
      <c r="B84" s="3" t="inlineStr">
        <is>
          <t>TVTX</t>
        </is>
      </c>
      <c r="C84" t="inlineStr">
        <is>
          <t>Travere Therapeutics, Inc.</t>
        </is>
      </c>
      <c r="D84" t="inlineStr">
        <is>
          <t>Biotechnology</t>
        </is>
      </c>
      <c r="E84" s="6" t="inlineStr">
        <is>
          <t>NASDAQ</t>
        </is>
      </c>
      <c r="F84" s="1" t="n">
        <v>52.3</v>
      </c>
      <c r="G84" s="8">
        <f>F84*[82]Main!$C$4</f>
        <v/>
      </c>
      <c r="H84" s="10">
        <f>G84-[82]Main!$C$7+[82]Main!$C$8</f>
        <v/>
      </c>
      <c r="J84" s="1">
        <f>IF(ISNUMBER([82]Main!$C$11),[82]Main!$C$11,"")</f>
        <v/>
      </c>
      <c r="K84" s="57">
        <f>IFERROR(J84/F84-1,"")</f>
        <v/>
      </c>
      <c r="L84" s="12">
        <f>[82]Main!$C$15&amp;" ("&amp;[82]Main!$C$14&amp;")"</f>
        <v/>
      </c>
      <c r="M84" s="58" t="n">
        <v>46324</v>
      </c>
      <c r="N84" s="17" t="inlineStr">
        <is>
          <t>Earnings Oct 29 (est.)</t>
        </is>
      </c>
    </row>
    <row r="85">
      <c r="B85" s="3" t="inlineStr">
        <is>
          <t>MANE</t>
        </is>
      </c>
      <c r="C85" t="inlineStr">
        <is>
          <t>Veradermics, Incorporated</t>
        </is>
      </c>
      <c r="D85" t="inlineStr">
        <is>
          <t>Pharmaceuticals</t>
        </is>
      </c>
      <c r="E85" s="6" t="inlineStr">
        <is>
          <t>NYSE</t>
        </is>
      </c>
      <c r="F85" s="1" t="n">
        <v>127.23</v>
      </c>
      <c r="G85" s="8">
        <f>F85*[83]Main!$C$4</f>
        <v/>
      </c>
      <c r="H85" s="10">
        <f>G85-[83]Main!$C$7+[83]Main!$C$8</f>
        <v/>
      </c>
      <c r="J85" s="1">
        <f>IF(ISNUMBER([83]Main!$C$11),[83]Main!$C$11,"")</f>
        <v/>
      </c>
      <c r="K85" s="57">
        <f>IFERROR(J85/F85-1,"")</f>
        <v/>
      </c>
      <c r="L85" s="12">
        <f>[83]Main!$C$15&amp;" ("&amp;[83]Main!$C$14&amp;")"</f>
        <v/>
      </c>
      <c r="M85" s="58" t="n">
        <v>46336</v>
      </c>
      <c r="N85" s="17" t="inlineStr">
        <is>
          <t>Earnings Nov 10 (est.) · Readout ~2026-12: Hidradenitis / alopecia / vitiligo, Phase 3</t>
        </is>
      </c>
    </row>
    <row r="86">
      <c r="B86" s="3" t="inlineStr">
        <is>
          <t>DFTX</t>
        </is>
      </c>
      <c r="C86" t="inlineStr">
        <is>
          <t>Definium Therapeutics Inc</t>
        </is>
      </c>
      <c r="D86" t="inlineStr">
        <is>
          <t>Pharmaceuticals</t>
        </is>
      </c>
      <c r="E86" s="6" t="inlineStr">
        <is>
          <t>NASDAQ</t>
        </is>
      </c>
      <c r="F86" s="1" t="n">
        <v>35.09</v>
      </c>
      <c r="G86" s="8">
        <f>F86*[84]Main!$C$4</f>
        <v/>
      </c>
      <c r="H86" s="10">
        <f>G86-[84]Main!$C$7+[84]Main!$C$8</f>
        <v/>
      </c>
      <c r="J86" s="1">
        <f>IF(ISNUMBER([84]Main!$C$11),[84]Main!$C$11,"")</f>
        <v/>
      </c>
      <c r="K86" s="57">
        <f>IFERROR(J86/F86-1,"")</f>
        <v/>
      </c>
      <c r="L86" s="12">
        <f>[84]Main!$C$15&amp;" ("&amp;[84]Main!$C$14&amp;")"</f>
        <v/>
      </c>
      <c r="M86" s="58" t="n">
        <v>46331</v>
      </c>
      <c r="N86" s="17" t="inlineStr">
        <is>
          <t>Earnings Nov 5 (est.) · Readout ~2027-08: Anxiety / PTSD / addiction, Phase 3</t>
        </is>
      </c>
    </row>
    <row r="87">
      <c r="B87" s="3" t="inlineStr">
        <is>
          <t>GOSS</t>
        </is>
      </c>
      <c r="C87" t="inlineStr">
        <is>
          <t>Gossamer Bio, Inc.</t>
        </is>
      </c>
      <c r="D87" t="inlineStr">
        <is>
          <t>Biotechnology</t>
        </is>
      </c>
      <c r="E87" s="6" t="inlineStr">
        <is>
          <t>NASDAQ</t>
        </is>
      </c>
      <c r="F87" s="1" t="n">
        <v>9.58</v>
      </c>
      <c r="G87" s="8">
        <f>F87*[85]Main!$C$4</f>
        <v/>
      </c>
      <c r="H87" s="10">
        <f>G87-[85]Main!$C$7+[85]Main!$C$8</f>
        <v/>
      </c>
      <c r="J87" s="1">
        <f>IF(ISNUMBER([85]Main!$C$11),[85]Main!$C$11,"")</f>
        <v/>
      </c>
      <c r="K87" s="57">
        <f>IFERROR(J87/F87-1,"")</f>
        <v/>
      </c>
      <c r="L87" s="12">
        <f>[85]Main!$C$15&amp;" ("&amp;[85]Main!$C$14&amp;")"</f>
        <v/>
      </c>
      <c r="M87" s="58" t="n">
        <v>46330</v>
      </c>
      <c r="N87" s="17" t="inlineStr">
        <is>
          <t>Earnings Nov 4 (est.)</t>
        </is>
      </c>
    </row>
    <row r="88">
      <c r="B88" s="3" t="inlineStr">
        <is>
          <t>EWTX</t>
        </is>
      </c>
      <c r="C88" t="inlineStr">
        <is>
          <t>Edgewise Therapeutics, Inc.</t>
        </is>
      </c>
      <c r="D88" t="inlineStr">
        <is>
          <t>Pharmaceuticals</t>
        </is>
      </c>
      <c r="E88" s="6" t="inlineStr">
        <is>
          <t>NASDAQ</t>
        </is>
      </c>
      <c r="F88" s="1" t="n">
        <v>39.75</v>
      </c>
      <c r="G88" s="8">
        <f>F88*[86]Main!$C$4</f>
        <v/>
      </c>
      <c r="H88" s="10">
        <f>G88-[86]Main!$C$7+[86]Main!$C$8</f>
        <v/>
      </c>
      <c r="J88" s="1">
        <f>IF(ISNUMBER([86]Main!$C$11),[86]Main!$C$11,"")</f>
        <v/>
      </c>
      <c r="K88" s="57">
        <f>IFERROR(J88/F88-1,"")</f>
        <v/>
      </c>
      <c r="L88" s="12">
        <f>[86]Main!$C$15&amp;" ("&amp;[86]Main!$C$14&amp;")"</f>
        <v/>
      </c>
      <c r="M88" s="58" t="n">
        <v>46331</v>
      </c>
      <c r="N88" s="17" t="inlineStr">
        <is>
          <t>Earnings Nov 5 (est.) · Readout ~2027-01: Muscular dystrophy / SMA, Phase 2</t>
        </is>
      </c>
    </row>
    <row r="89">
      <c r="B89" s="3" t="inlineStr">
        <is>
          <t>DNTH</t>
        </is>
      </c>
      <c r="C89" t="inlineStr">
        <is>
          <t>Dianthus Therapeutics Inc</t>
        </is>
      </c>
      <c r="D89" t="inlineStr">
        <is>
          <t>Biotechnology</t>
        </is>
      </c>
      <c r="E89" s="6" t="inlineStr">
        <is>
          <t>NASDAQ</t>
        </is>
      </c>
      <c r="F89" s="1" t="n">
        <v>78.75</v>
      </c>
      <c r="G89" s="8">
        <f>F89*[87]Main!$C$4</f>
        <v/>
      </c>
      <c r="H89" s="10">
        <f>G89-[87]Main!$C$7+[87]Main!$C$8</f>
        <v/>
      </c>
      <c r="J89" s="1">
        <f>IF(ISNUMBER([87]Main!$C$11),[87]Main!$C$11,"")</f>
        <v/>
      </c>
      <c r="K89" s="57">
        <f>IFERROR(J89/F89-1,"")</f>
        <v/>
      </c>
      <c r="L89" s="12">
        <f>[87]Main!$C$15&amp;" ("&amp;[87]Main!$C$14&amp;")"</f>
        <v/>
      </c>
      <c r="M89" s="58" t="n">
        <v>46330</v>
      </c>
      <c r="N89" s="17" t="inlineStr">
        <is>
          <t>Earnings Nov 4 (est.) · Readout ~2026-12: Migraine / pain, Phase 3</t>
        </is>
      </c>
    </row>
    <row r="90">
      <c r="B90" s="3" t="inlineStr">
        <is>
          <t>INDV</t>
        </is>
      </c>
      <c r="C90" t="inlineStr">
        <is>
          <t>Indivior Pharmaceuticals Inc</t>
        </is>
      </c>
      <c r="D90" t="inlineStr">
        <is>
          <t>Pharmaceuticals</t>
        </is>
      </c>
      <c r="E90" s="6" t="inlineStr">
        <is>
          <t>NASDAQ</t>
        </is>
      </c>
      <c r="F90" s="1" t="n">
        <v>34.77</v>
      </c>
      <c r="G90" s="8">
        <f>F90*[88]Main!$C$4</f>
        <v/>
      </c>
      <c r="H90" s="10">
        <f>G90-[88]Main!$C$7+[88]Main!$C$8</f>
        <v/>
      </c>
      <c r="J90" s="1">
        <f>IF(ISNUMBER([88]Main!$C$11),[88]Main!$C$11,"")</f>
        <v/>
      </c>
      <c r="K90" s="57">
        <f>IFERROR(J90/F90-1,"")</f>
        <v/>
      </c>
      <c r="L90" s="12">
        <f>[88]Main!$C$15&amp;" ("&amp;[88]Main!$C$14&amp;")"</f>
        <v/>
      </c>
      <c r="M90" s="58" t="n">
        <v>46324</v>
      </c>
      <c r="N90" s="17" t="inlineStr">
        <is>
          <t>Earnings Oct 29 (est.)</t>
        </is>
      </c>
    </row>
    <row r="91">
      <c r="B91" s="3" t="inlineStr">
        <is>
          <t>TNGX</t>
        </is>
      </c>
      <c r="C91" t="inlineStr">
        <is>
          <t>Tango Therapeutics, Inc.</t>
        </is>
      </c>
      <c r="D91" t="inlineStr">
        <is>
          <t>Biotechnology</t>
        </is>
      </c>
      <c r="E91" s="6" t="inlineStr">
        <is>
          <t>NASDAQ</t>
        </is>
      </c>
      <c r="F91" s="1" t="n">
        <v>25.255</v>
      </c>
      <c r="G91" s="8">
        <f>F91*[89]Main!$C$4</f>
        <v/>
      </c>
      <c r="H91" s="10">
        <f>G91-[89]Main!$C$7+[89]Main!$C$8</f>
        <v/>
      </c>
      <c r="J91" s="1">
        <f>IF(ISNUMBER([89]Main!$C$11),[89]Main!$C$11,"")</f>
        <v/>
      </c>
      <c r="K91" s="57">
        <f>IFERROR(J91/F91-1,"")</f>
        <v/>
      </c>
      <c r="L91" s="12">
        <f>[89]Main!$C$15&amp;" ("&amp;[89]Main!$C$14&amp;")"</f>
        <v/>
      </c>
      <c r="M91" s="58" t="n">
        <v>46329</v>
      </c>
      <c r="N91" s="17" t="inlineStr">
        <is>
          <t>Earnings Nov 3 (est.)</t>
        </is>
      </c>
    </row>
    <row r="92">
      <c r="B92" s="3" t="inlineStr">
        <is>
          <t>ARQT</t>
        </is>
      </c>
      <c r="C92" t="inlineStr">
        <is>
          <t>Arcutis Biotherapeutics, Inc.</t>
        </is>
      </c>
      <c r="D92" t="inlineStr">
        <is>
          <t>Biotechnology</t>
        </is>
      </c>
      <c r="E92" s="6" t="inlineStr">
        <is>
          <t>NASDAQ</t>
        </is>
      </c>
      <c r="F92" s="1" t="n">
        <v>32.82</v>
      </c>
      <c r="G92" s="8">
        <f>F92*[90]Main!$C$4</f>
        <v/>
      </c>
      <c r="H92" s="10">
        <f>G92-[90]Main!$C$7+[90]Main!$C$8</f>
        <v/>
      </c>
      <c r="J92" s="1">
        <f>IF(ISNUMBER([90]Main!$C$11),[90]Main!$C$11,"")</f>
        <v/>
      </c>
      <c r="K92" s="57">
        <f>IFERROR(J92/F92-1,"")</f>
        <v/>
      </c>
      <c r="L92" s="12">
        <f>[90]Main!$C$15&amp;" ("&amp;[90]Main!$C$14&amp;")"</f>
        <v/>
      </c>
      <c r="M92" s="58" t="n">
        <v>46322</v>
      </c>
      <c r="N92" s="17" t="inlineStr">
        <is>
          <t>Earnings Oct 27 (est.)</t>
        </is>
      </c>
    </row>
    <row r="93">
      <c r="B93" s="3" t="inlineStr">
        <is>
          <t>TLX</t>
        </is>
      </c>
      <c r="C93" t="inlineStr">
        <is>
          <t>Telix Pharmaceuticals Limited</t>
        </is>
      </c>
      <c r="D93" t="inlineStr">
        <is>
          <t>Biotechnology</t>
        </is>
      </c>
      <c r="E93" s="6" t="inlineStr">
        <is>
          <t>NASDAQ</t>
        </is>
      </c>
      <c r="F93" s="1" t="n">
        <v>11.16</v>
      </c>
      <c r="G93" s="8">
        <f>F93*[91]Main!$C$4</f>
        <v/>
      </c>
      <c r="H93" s="10">
        <f>G93-[91]Main!$C$7+[91]Main!$C$8</f>
        <v/>
      </c>
      <c r="J93" s="1">
        <f>IF(ISNUMBER([91]Main!$C$11),[91]Main!$C$11,"")</f>
        <v/>
      </c>
      <c r="K93" s="57">
        <f>IFERROR(J93/F93-1,"")</f>
        <v/>
      </c>
      <c r="L93" s="12">
        <f>[91]Main!$C$15&amp;" ("&amp;[91]Main!$C$14&amp;")"</f>
        <v/>
      </c>
      <c r="M93" s="58" t="n"/>
      <c r="N93" s="17" t="n"/>
    </row>
    <row r="94">
      <c r="B94" s="3" t="inlineStr">
        <is>
          <t>OGN</t>
        </is>
      </c>
      <c r="C94" t="inlineStr">
        <is>
          <t>Organon &amp; Co.</t>
        </is>
      </c>
      <c r="D94" t="inlineStr">
        <is>
          <t>Pharmaceuticals</t>
        </is>
      </c>
      <c r="E94" s="6" t="inlineStr">
        <is>
          <t>NYSE</t>
        </is>
      </c>
      <c r="F94" s="1" t="n">
        <v>13.755</v>
      </c>
      <c r="G94" s="8">
        <f>F94*[92]Main!$C$4</f>
        <v/>
      </c>
      <c r="H94" s="10">
        <f>G94-[92]Main!$C$7+[92]Main!$C$8</f>
        <v/>
      </c>
      <c r="J94" s="1">
        <f>IF(ISNUMBER([92]Main!$C$11),[92]Main!$C$11,"")</f>
        <v/>
      </c>
      <c r="K94" s="57">
        <f>IFERROR(J94/F94-1,"")</f>
        <v/>
      </c>
      <c r="L94" s="12">
        <f>[92]Main!$C$15&amp;" ("&amp;[92]Main!$C$14&amp;")"</f>
        <v/>
      </c>
      <c r="M94" s="58" t="n">
        <v>46335</v>
      </c>
      <c r="N94" s="17" t="inlineStr">
        <is>
          <t>Earnings Nov 9 (est.)</t>
        </is>
      </c>
    </row>
    <row r="95">
      <c r="B95" s="3" t="inlineStr">
        <is>
          <t>RLAY</t>
        </is>
      </c>
      <c r="C95" t="inlineStr">
        <is>
          <t>Relay Therapeutics, Inc.</t>
        </is>
      </c>
      <c r="D95" t="inlineStr">
        <is>
          <t>Biotechnology</t>
        </is>
      </c>
      <c r="E95" s="6" t="inlineStr">
        <is>
          <t>NASDAQ</t>
        </is>
      </c>
      <c r="F95" s="1" t="n">
        <v>18.45</v>
      </c>
      <c r="G95" s="8">
        <f>F95*[93]Main!$C$4</f>
        <v/>
      </c>
      <c r="H95" s="10">
        <f>G95-[93]Main!$C$7+[93]Main!$C$8</f>
        <v/>
      </c>
      <c r="J95" s="1">
        <f>IF(ISNUMBER([93]Main!$C$11),[93]Main!$C$11,"")</f>
        <v/>
      </c>
      <c r="K95" s="57">
        <f>IFERROR(J95/F95-1,"")</f>
        <v/>
      </c>
      <c r="L95" s="12">
        <f>[93]Main!$C$15&amp;" ("&amp;[93]Main!$C$14&amp;")"</f>
        <v/>
      </c>
      <c r="M95" s="58" t="n">
        <v>46331</v>
      </c>
      <c r="N95" s="17" t="inlineStr">
        <is>
          <t>Earnings Nov 5 (est.) · Readout ~2027-04-30: Breast cancer, Phase 3</t>
        </is>
      </c>
    </row>
    <row r="96">
      <c r="B96" s="3" t="inlineStr">
        <is>
          <t>VCYT</t>
        </is>
      </c>
      <c r="C96" t="inlineStr">
        <is>
          <t>Veracyte, Inc.</t>
        </is>
      </c>
      <c r="D96" t="inlineStr">
        <is>
          <t>Biotechnology</t>
        </is>
      </c>
      <c r="E96" s="6" t="inlineStr">
        <is>
          <t>NASDAQ</t>
        </is>
      </c>
      <c r="F96" s="1" t="n">
        <v>44.79</v>
      </c>
      <c r="G96" s="8">
        <f>F96*[94]Main!$C$4</f>
        <v/>
      </c>
      <c r="H96" s="10">
        <f>G96-[94]Main!$C$7+[94]Main!$C$8</f>
        <v/>
      </c>
      <c r="J96" s="1">
        <f>IF(ISNUMBER([94]Main!$C$11),[94]Main!$C$11,"")</f>
        <v/>
      </c>
      <c r="K96" s="57">
        <f>IFERROR(J96/F96-1,"")</f>
        <v/>
      </c>
      <c r="L96" s="12">
        <f>[94]Main!$C$15&amp;" ("&amp;[94]Main!$C$14&amp;")"</f>
        <v/>
      </c>
      <c r="M96" s="58" t="n">
        <v>46330</v>
      </c>
      <c r="N96" s="17" t="inlineStr">
        <is>
          <t>Earnings Nov 4 (after close)</t>
        </is>
      </c>
    </row>
    <row r="97">
      <c r="B97" s="3" t="inlineStr">
        <is>
          <t>LEGN</t>
        </is>
      </c>
      <c r="C97" t="inlineStr">
        <is>
          <t>Legend Biotech Corporation</t>
        </is>
      </c>
      <c r="D97" t="inlineStr">
        <is>
          <t>Biotechnology</t>
        </is>
      </c>
      <c r="E97" s="6" t="inlineStr">
        <is>
          <t>NASDAQ</t>
        </is>
      </c>
      <c r="F97" s="1" t="n">
        <v>19.01</v>
      </c>
      <c r="G97" s="8">
        <f>F97*[95]Main!$C$4</f>
        <v/>
      </c>
      <c r="H97" s="10">
        <f>G97-[95]Main!$C$7+[95]Main!$C$8</f>
        <v/>
      </c>
      <c r="J97" s="1">
        <f>IF(ISNUMBER([95]Main!$C$11),[95]Main!$C$11,"")</f>
        <v/>
      </c>
      <c r="K97" s="57">
        <f>IFERROR(J97/F97-1,"")</f>
        <v/>
      </c>
      <c r="L97" s="12">
        <f>[95]Main!$C$15&amp;" ("&amp;[95]Main!$C$14&amp;")"</f>
        <v/>
      </c>
      <c r="M97" s="58" t="n">
        <v>46337</v>
      </c>
      <c r="N97" s="17" t="inlineStr">
        <is>
          <t>Earnings Nov 11 (est.)</t>
        </is>
      </c>
    </row>
    <row r="98">
      <c r="B98" s="3" t="inlineStr">
        <is>
          <t>CDNA</t>
        </is>
      </c>
      <c r="C98" t="inlineStr">
        <is>
          <t>CareDx, Inc.</t>
        </is>
      </c>
      <c r="D98" t="inlineStr">
        <is>
          <t>Biotechnology</t>
        </is>
      </c>
      <c r="E98" s="6" t="inlineStr">
        <is>
          <t>NASDAQ</t>
        </is>
      </c>
      <c r="F98" s="1" t="n">
        <v>69.2</v>
      </c>
      <c r="G98" s="8">
        <f>F98*[96]Main!$C$4</f>
        <v/>
      </c>
      <c r="H98" s="10">
        <f>G98-[96]Main!$C$7+[96]Main!$C$8</f>
        <v/>
      </c>
      <c r="J98" s="1">
        <f>IF(ISNUMBER([96]Main!$C$11),[96]Main!$C$11,"")</f>
        <v/>
      </c>
      <c r="K98" s="57">
        <f>IFERROR(J98/F98-1,"")</f>
        <v/>
      </c>
      <c r="L98" s="12">
        <f>[96]Main!$C$15&amp;" ("&amp;[96]Main!$C$14&amp;")"</f>
        <v/>
      </c>
      <c r="M98" s="58" t="n">
        <v>46324</v>
      </c>
      <c r="N98" s="17" t="inlineStr">
        <is>
          <t>Earnings Oct 29 (after close)</t>
        </is>
      </c>
    </row>
    <row r="99">
      <c r="B99" s="3" t="inlineStr">
        <is>
          <t>ACAD</t>
        </is>
      </c>
      <c r="C99" t="inlineStr">
        <is>
          <t>Acadia Pharmaceuticals Inc.</t>
        </is>
      </c>
      <c r="D99" t="inlineStr">
        <is>
          <t>Biotechnology</t>
        </is>
      </c>
      <c r="E99" s="6" t="inlineStr">
        <is>
          <t>NASDAQ</t>
        </is>
      </c>
      <c r="F99" s="1" t="n">
        <v>20.44</v>
      </c>
      <c r="G99" s="8">
        <f>F99*[97]Main!$C$4</f>
        <v/>
      </c>
      <c r="H99" s="10">
        <f>G99-[97]Main!$C$7+[97]Main!$C$8</f>
        <v/>
      </c>
      <c r="J99" s="1">
        <f>IF(ISNUMBER([97]Main!$C$11),[97]Main!$C$11,"")</f>
        <v/>
      </c>
      <c r="K99" s="57">
        <f>IFERROR(J99/F99-1,"")</f>
        <v/>
      </c>
      <c r="L99" s="12">
        <f>[97]Main!$C$15&amp;" ("&amp;[97]Main!$C$14&amp;")"</f>
        <v/>
      </c>
      <c r="M99" s="58" t="n">
        <v>46330</v>
      </c>
      <c r="N99" s="17" t="inlineStr">
        <is>
          <t>Earnings Nov 4 (est.)</t>
        </is>
      </c>
    </row>
    <row r="100">
      <c r="B100" s="3" t="inlineStr">
        <is>
          <t>XENE</t>
        </is>
      </c>
      <c r="C100" t="inlineStr">
        <is>
          <t>Xenon Pharmaceuticals Inc.</t>
        </is>
      </c>
      <c r="D100" t="inlineStr">
        <is>
          <t>Biotechnology</t>
        </is>
      </c>
      <c r="E100" s="6" t="inlineStr">
        <is>
          <t>NASDAQ</t>
        </is>
      </c>
      <c r="F100" s="1" t="n">
        <v>36.27</v>
      </c>
      <c r="G100" s="8">
        <f>F100*[98]Main!$C$4</f>
        <v/>
      </c>
      <c r="H100" s="10">
        <f>G100-[98]Main!$C$7+[98]Main!$C$8</f>
        <v/>
      </c>
      <c r="J100" s="1">
        <f>IF(ISNUMBER([98]Main!$C$11),[98]Main!$C$11,"")</f>
        <v/>
      </c>
      <c r="K100" s="57">
        <f>IFERROR(J100/F100-1,"")</f>
        <v/>
      </c>
      <c r="L100" s="12">
        <f>[98]Main!$C$15&amp;" ("&amp;[98]Main!$C$14&amp;")"</f>
        <v/>
      </c>
      <c r="M100" s="58" t="n">
        <v>46328</v>
      </c>
      <c r="N100" s="17" t="inlineStr">
        <is>
          <t>Earnings Nov 2 (est.) · Readout ~2026-10: Depression / mood, Phase 3</t>
        </is>
      </c>
    </row>
    <row r="101">
      <c r="B101" s="3" t="inlineStr">
        <is>
          <t>IDYA</t>
        </is>
      </c>
      <c r="C101" t="inlineStr">
        <is>
          <t>IDEAYA Biosciences, Inc.</t>
        </is>
      </c>
      <c r="D101" t="inlineStr">
        <is>
          <t>Biotechnology</t>
        </is>
      </c>
      <c r="E101" s="6" t="inlineStr">
        <is>
          <t>NASDAQ</t>
        </is>
      </c>
      <c r="F101" s="1" t="n">
        <v>35.36</v>
      </c>
      <c r="G101" s="8">
        <f>F101*[99]Main!$C$4</f>
        <v/>
      </c>
      <c r="H101" s="10">
        <f>G101-[99]Main!$C$7+[99]Main!$C$8</f>
        <v/>
      </c>
      <c r="J101" s="1">
        <f>IF(ISNUMBER([99]Main!$C$11),[99]Main!$C$11,"")</f>
        <v/>
      </c>
      <c r="K101" s="57">
        <f>IFERROR(J101/F101-1,"")</f>
        <v/>
      </c>
      <c r="L101" s="12">
        <f>[99]Main!$C$15&amp;" ("&amp;[99]Main!$C$14&amp;")"</f>
        <v/>
      </c>
      <c r="M101" s="58" t="n">
        <v>46329</v>
      </c>
      <c r="N101" s="17" t="inlineStr">
        <is>
          <t>Earnings Nov 3 (est.)</t>
        </is>
      </c>
    </row>
    <row r="102">
      <c r="B102" s="3" t="inlineStr">
        <is>
          <t>LQDA</t>
        </is>
      </c>
      <c r="C102" t="inlineStr">
        <is>
          <t>Liquidia Corporation</t>
        </is>
      </c>
      <c r="D102" t="inlineStr">
        <is>
          <t>Pharmaceuticals</t>
        </is>
      </c>
      <c r="E102" s="6" t="inlineStr">
        <is>
          <t>NASDAQ</t>
        </is>
      </c>
      <c r="F102" s="1" t="n">
        <v>36.35</v>
      </c>
      <c r="G102" s="8">
        <f>F102*[100]Main!$C$4</f>
        <v/>
      </c>
      <c r="H102" s="10">
        <f>G102-[100]Main!$C$7+[100]Main!$C$8</f>
        <v/>
      </c>
      <c r="J102" s="1">
        <f>IF(ISNUMBER([100]Main!$C$11),[100]Main!$C$11,"")</f>
        <v/>
      </c>
      <c r="K102" s="57">
        <f>IFERROR(J102/F102-1,"")</f>
        <v/>
      </c>
      <c r="L102" s="12">
        <f>[100]Main!$C$15&amp;" ("&amp;[100]Main!$C$14&amp;")"</f>
        <v/>
      </c>
      <c r="M102" s="58" t="n">
        <v>46328</v>
      </c>
      <c r="N102" s="17" t="inlineStr">
        <is>
          <t>Earnings Nov 2 (est.)</t>
        </is>
      </c>
    </row>
    <row r="103">
      <c r="B103" s="3" t="inlineStr">
        <is>
          <t>TARS</t>
        </is>
      </c>
      <c r="C103" t="inlineStr">
        <is>
          <t>Tarsus Pharmaceuticals, Inc.</t>
        </is>
      </c>
      <c r="D103" t="inlineStr">
        <is>
          <t>Pharmaceuticals</t>
        </is>
      </c>
      <c r="E103" s="6" t="inlineStr">
        <is>
          <t>NASDAQ</t>
        </is>
      </c>
      <c r="F103" s="1" t="n">
        <v>71.22499999999999</v>
      </c>
      <c r="G103" s="8">
        <f>F103*[101]Main!$C$4</f>
        <v/>
      </c>
      <c r="H103" s="10">
        <f>G103-[101]Main!$C$7+[101]Main!$C$8</f>
        <v/>
      </c>
      <c r="J103" s="1">
        <f>IF(ISNUMBER([101]Main!$C$11),[101]Main!$C$11,"")</f>
        <v/>
      </c>
      <c r="K103" s="57">
        <f>IFERROR(J103/F103-1,"")</f>
        <v/>
      </c>
      <c r="L103" s="12">
        <f>[101]Main!$C$15&amp;" ("&amp;[101]Main!$C$14&amp;")"</f>
        <v/>
      </c>
      <c r="M103" s="58" t="n">
        <v>46329</v>
      </c>
      <c r="N103" s="17" t="inlineStr">
        <is>
          <t>Earnings Nov 3 (est.)</t>
        </is>
      </c>
    </row>
    <row r="104">
      <c r="B104" s="3" t="inlineStr">
        <is>
          <t>VKTX</t>
        </is>
      </c>
      <c r="C104" t="inlineStr">
        <is>
          <t>Viking Therapeutics, Inc.</t>
        </is>
      </c>
      <c r="D104" t="inlineStr">
        <is>
          <t>Biotechnology</t>
        </is>
      </c>
      <c r="E104" s="6" t="inlineStr">
        <is>
          <t>NASDAQ</t>
        </is>
      </c>
      <c r="F104" s="1" t="n">
        <v>26.71</v>
      </c>
      <c r="G104" s="8">
        <f>F104*[102]Main!$C$4</f>
        <v/>
      </c>
      <c r="H104" s="10">
        <f>G104-[102]Main!$C$7+[102]Main!$C$8</f>
        <v/>
      </c>
      <c r="J104" s="1">
        <f>IF(ISNUMBER([102]Main!$C$11),[102]Main!$C$11,"")</f>
        <v/>
      </c>
      <c r="K104" s="57">
        <f>IFERROR(J104/F104-1,"")</f>
        <v/>
      </c>
      <c r="L104" s="12">
        <f>[102]Main!$C$15&amp;" ("&amp;[102]Main!$C$14&amp;")"</f>
        <v/>
      </c>
      <c r="M104" s="58" t="n">
        <v>46323</v>
      </c>
      <c r="N104" s="17" t="inlineStr">
        <is>
          <t>Earnings Oct 28 (est.) · Readout ~2027-07-01: Obesity, Phase 3</t>
        </is>
      </c>
    </row>
    <row r="105">
      <c r="B105" s="3" t="inlineStr">
        <is>
          <t>AMLX</t>
        </is>
      </c>
      <c r="C105" t="inlineStr">
        <is>
          <t>Amylyx Pharmaceuticals, Inc.</t>
        </is>
      </c>
      <c r="D105" t="inlineStr">
        <is>
          <t>Pharmaceuticals</t>
        </is>
      </c>
      <c r="E105" s="6" t="inlineStr">
        <is>
          <t>NASDAQ</t>
        </is>
      </c>
      <c r="F105" s="1" t="n">
        <v>28.77</v>
      </c>
      <c r="G105" s="8">
        <f>F105*[103]Main!$C$4</f>
        <v/>
      </c>
      <c r="H105" s="10">
        <f>G105-[103]Main!$C$7+[103]Main!$C$8</f>
        <v/>
      </c>
      <c r="J105" s="1">
        <f>IF(ISNUMBER([103]Main!$C$11),[103]Main!$C$11,"")</f>
        <v/>
      </c>
      <c r="K105" s="57">
        <f>IFERROR(J105/F105-1,"")</f>
        <v/>
      </c>
      <c r="L105" s="12">
        <f>[103]Main!$C$15&amp;" ("&amp;[103]Main!$C$14&amp;")"</f>
        <v/>
      </c>
      <c r="M105" s="58" t="n">
        <v>46331</v>
      </c>
      <c r="N105" s="17" t="inlineStr">
        <is>
          <t>Earnings Nov 5 (est.) · Readout ~2027-02: ALS, Phase 3</t>
        </is>
      </c>
    </row>
    <row r="106">
      <c r="B106" s="3" t="inlineStr">
        <is>
          <t>RCUS</t>
        </is>
      </c>
      <c r="C106" t="inlineStr">
        <is>
          <t>Arcus Biosciences, Inc.</t>
        </is>
      </c>
      <c r="D106" t="inlineStr">
        <is>
          <t>Biotechnology</t>
        </is>
      </c>
      <c r="E106" s="6" t="inlineStr">
        <is>
          <t>NYSE</t>
        </is>
      </c>
      <c r="F106" s="1" t="n">
        <v>23.75</v>
      </c>
      <c r="G106" s="8">
        <f>F106*[104]Main!$C$4</f>
        <v/>
      </c>
      <c r="H106" s="10">
        <f>G106-[104]Main!$C$7+[104]Main!$C$8</f>
        <v/>
      </c>
      <c r="J106" s="1">
        <f>IF(ISNUMBER([104]Main!$C$11),[104]Main!$C$11,"")</f>
        <v/>
      </c>
      <c r="K106" s="57">
        <f>IFERROR(J106/F106-1,"")</f>
        <v/>
      </c>
      <c r="L106" s="12">
        <f>[104]Main!$C$15&amp;" ("&amp;[104]Main!$C$14&amp;")"</f>
        <v/>
      </c>
      <c r="M106" s="58" t="n">
        <v>46322</v>
      </c>
      <c r="N106" s="17" t="inlineStr">
        <is>
          <t>Earnings Oct 27 (est.)</t>
        </is>
      </c>
    </row>
    <row r="107">
      <c r="B107" s="3" t="inlineStr">
        <is>
          <t>DNLI</t>
        </is>
      </c>
      <c r="C107" t="inlineStr">
        <is>
          <t>Denali Therapeutics Inc.</t>
        </is>
      </c>
      <c r="D107" t="inlineStr">
        <is>
          <t>Biotechnology</t>
        </is>
      </c>
      <c r="E107" s="6" t="inlineStr">
        <is>
          <t>NASDAQ</t>
        </is>
      </c>
      <c r="F107" s="1" t="n">
        <v>18.93</v>
      </c>
      <c r="G107" s="8">
        <f>F107*[105]Main!$C$4</f>
        <v/>
      </c>
      <c r="H107" s="10">
        <f>G107-[105]Main!$C$7+[105]Main!$C$8</f>
        <v/>
      </c>
      <c r="J107" s="1">
        <f>IF(ISNUMBER([105]Main!$C$11),[105]Main!$C$11,"")</f>
        <v/>
      </c>
      <c r="K107" s="57">
        <f>IFERROR(J107/F107-1,"")</f>
        <v/>
      </c>
      <c r="L107" s="12">
        <f>[105]Main!$C$15&amp;" ("&amp;[105]Main!$C$14&amp;")"</f>
        <v/>
      </c>
      <c r="M107" s="58" t="n">
        <v>46331</v>
      </c>
      <c r="N107" s="17" t="inlineStr">
        <is>
          <t>Earnings Nov 5 (est.) · Readout ~2026-12: Alzheimer's disease, Phase 1/2</t>
        </is>
      </c>
    </row>
    <row r="108">
      <c r="B108" s="3" t="inlineStr">
        <is>
          <t>PBLS</t>
        </is>
      </c>
      <c r="C108" t="inlineStr">
        <is>
          <t>Parabilis Medicines Inc</t>
        </is>
      </c>
      <c r="D108" t="inlineStr">
        <is>
          <t>Biotechnology</t>
        </is>
      </c>
      <c r="E108" s="6" t="inlineStr">
        <is>
          <t>NASDAQ</t>
        </is>
      </c>
      <c r="F108" s="1" t="n">
        <v>27.08</v>
      </c>
      <c r="G108" s="8">
        <f>F108*[106]Main!$C$4</f>
        <v/>
      </c>
      <c r="H108" s="10">
        <f>G108-[106]Main!$C$7+[106]Main!$C$8</f>
        <v/>
      </c>
      <c r="J108" s="1">
        <f>IF(ISNUMBER([106]Main!$C$11),[106]Main!$C$11,"")</f>
        <v/>
      </c>
      <c r="K108" s="57">
        <f>IFERROR(J108/F108-1,"")</f>
        <v/>
      </c>
      <c r="L108" s="12">
        <f>[106]Main!$C$15&amp;" ("&amp;[106]Main!$C$14&amp;")"</f>
        <v/>
      </c>
      <c r="M108" s="58" t="n">
        <v>46338</v>
      </c>
      <c r="N108" s="17" t="inlineStr">
        <is>
          <t>Earnings Nov 12 (est.) · Readout ~2027-04-01: Solid tumors (basket), Phase 1/2</t>
        </is>
      </c>
    </row>
    <row r="109">
      <c r="B109" s="3" t="inlineStr">
        <is>
          <t>CELC</t>
        </is>
      </c>
      <c r="C109" t="inlineStr">
        <is>
          <t>Celcuity Inc.</t>
        </is>
      </c>
      <c r="D109" t="inlineStr">
        <is>
          <t>Biotechnology</t>
        </is>
      </c>
      <c r="E109" s="6" t="inlineStr">
        <is>
          <t>NASDAQ</t>
        </is>
      </c>
      <c r="F109" s="1" t="n">
        <v>60</v>
      </c>
      <c r="G109" s="8">
        <f>F109*[107]Main!$C$4</f>
        <v/>
      </c>
      <c r="H109" s="10">
        <f>G109-[107]Main!$C$7+[107]Main!$C$8</f>
        <v/>
      </c>
      <c r="J109" s="1">
        <f>IF(ISNUMBER([107]Main!$C$11),[107]Main!$C$11,"")</f>
        <v/>
      </c>
      <c r="K109" s="57">
        <f>IFERROR(J109/F109-1,"")</f>
        <v/>
      </c>
      <c r="L109" s="12">
        <f>[107]Main!$C$15&amp;" ("&amp;[107]Main!$C$14&amp;")"</f>
        <v/>
      </c>
      <c r="M109" s="58" t="n">
        <v>46337</v>
      </c>
      <c r="N109" s="17" t="inlineStr">
        <is>
          <t>Earnings Nov 11 (est.) · Readout ~2028-01: Prostate cancer, Phase 1/2</t>
        </is>
      </c>
    </row>
    <row r="110">
      <c r="B110" s="3" t="inlineStr">
        <is>
          <t>ELVN</t>
        </is>
      </c>
      <c r="C110" t="inlineStr">
        <is>
          <t>Enliven Therapeutics, Inc.</t>
        </is>
      </c>
      <c r="D110" t="inlineStr">
        <is>
          <t>Pharmaceuticals</t>
        </is>
      </c>
      <c r="E110" s="6" t="inlineStr">
        <is>
          <t>NASDAQ</t>
        </is>
      </c>
      <c r="F110" s="1" t="n">
        <v>41.25</v>
      </c>
      <c r="G110" s="8">
        <f>F110*[108]Main!$C$4</f>
        <v/>
      </c>
      <c r="H110" s="10">
        <f>G110-[108]Main!$C$7+[108]Main!$C$8</f>
        <v/>
      </c>
      <c r="J110" s="1">
        <f>IF(ISNUMBER([108]Main!$C$11),[108]Main!$C$11,"")</f>
        <v/>
      </c>
      <c r="K110" s="57">
        <f>IFERROR(J110/F110-1,"")</f>
        <v/>
      </c>
      <c r="L110" s="12">
        <f>[108]Main!$C$15&amp;" ("&amp;[108]Main!$C$14&amp;")"</f>
        <v/>
      </c>
      <c r="M110" s="58" t="n">
        <v>46337</v>
      </c>
      <c r="N110" s="17" t="inlineStr">
        <is>
          <t>Earnings Nov 11 (est.) · Readout ~2027-01: Breast cancer, Phase 1</t>
        </is>
      </c>
    </row>
    <row r="111">
      <c r="B111" s="3" t="inlineStr">
        <is>
          <t>DYN</t>
        </is>
      </c>
      <c r="C111" t="inlineStr">
        <is>
          <t>Dyne Therapeutics, Inc.</t>
        </is>
      </c>
      <c r="D111" t="inlineStr">
        <is>
          <t>Biotechnology</t>
        </is>
      </c>
      <c r="E111" s="6" t="inlineStr">
        <is>
          <t>NASDAQ</t>
        </is>
      </c>
      <c r="F111" s="1" t="n">
        <v>16.27</v>
      </c>
      <c r="G111" s="8">
        <f>F111*[109]Main!$C$4</f>
        <v/>
      </c>
      <c r="H111" s="10">
        <f>G111-[109]Main!$C$7+[109]Main!$C$8</f>
        <v/>
      </c>
      <c r="J111" s="1">
        <f>IF(ISNUMBER([109]Main!$C$11),[109]Main!$C$11,"")</f>
        <v/>
      </c>
      <c r="K111" s="57">
        <f>IFERROR(J111/F111-1,"")</f>
        <v/>
      </c>
      <c r="L111" s="12">
        <f>[109]Main!$C$15&amp;" ("&amp;[109]Main!$C$14&amp;")"</f>
        <v/>
      </c>
      <c r="M111" s="58" t="n">
        <v>46330</v>
      </c>
      <c r="N111" s="17" t="inlineStr">
        <is>
          <t>Earnings Nov 4 (est.) · Readout ~2028-07: Muscular dystrophy / SMA, filed · PDUFA 2027-01-21: Muscular dystrophy / SMA</t>
        </is>
      </c>
    </row>
    <row r="112">
      <c r="B112" s="3" t="inlineStr">
        <is>
          <t>ZLAB</t>
        </is>
      </c>
      <c r="C112" t="inlineStr">
        <is>
          <t>Zai Lab Ltd</t>
        </is>
      </c>
      <c r="D112" t="inlineStr">
        <is>
          <t>Biotechnology</t>
        </is>
      </c>
      <c r="E112" s="6" t="inlineStr">
        <is>
          <t>NASDAQ</t>
        </is>
      </c>
      <c r="F112" s="1" t="n">
        <v>25.08</v>
      </c>
      <c r="G112" s="8">
        <f>F112*[110]Main!$C$4</f>
        <v/>
      </c>
      <c r="H112" s="10">
        <f>G112-[110]Main!$C$7+[110]Main!$C$8</f>
        <v/>
      </c>
      <c r="J112" s="1">
        <f>IF(ISNUMBER([110]Main!$C$11),[110]Main!$C$11,"")</f>
        <v/>
      </c>
      <c r="K112" s="57">
        <f>IFERROR(J112/F112-1,"")</f>
        <v/>
      </c>
      <c r="L112" s="12">
        <f>[110]Main!$C$15&amp;" ("&amp;[110]Main!$C$14&amp;")"</f>
        <v/>
      </c>
      <c r="M112" s="58" t="n">
        <v>46331</v>
      </c>
      <c r="N112" s="17" t="inlineStr">
        <is>
          <t>Earnings Nov 5 (est.)</t>
        </is>
      </c>
    </row>
    <row r="113">
      <c r="B113" s="3" t="inlineStr">
        <is>
          <t>NRIX</t>
        </is>
      </c>
      <c r="C113" t="inlineStr">
        <is>
          <t>Nurix Therapeutics, Inc.</t>
        </is>
      </c>
      <c r="D113" t="inlineStr">
        <is>
          <t>Biotechnology</t>
        </is>
      </c>
      <c r="E113" s="6" t="inlineStr">
        <is>
          <t>NASDAQ</t>
        </is>
      </c>
      <c r="F113" s="1" t="n">
        <v>26.1</v>
      </c>
      <c r="G113" s="8">
        <f>F113*[111]Main!$C$4</f>
        <v/>
      </c>
      <c r="H113" s="10">
        <f>G113-[111]Main!$C$7+[111]Main!$C$8</f>
        <v/>
      </c>
      <c r="J113" s="1">
        <f>IF(ISNUMBER([111]Main!$C$11),[111]Main!$C$11,"")</f>
        <v/>
      </c>
      <c r="K113" s="57">
        <f>IFERROR(J113/F113-1,"")</f>
        <v/>
      </c>
      <c r="L113" s="12">
        <f>[111]Main!$C$15&amp;" ("&amp;[111]Main!$C$14&amp;")"</f>
        <v/>
      </c>
      <c r="M113" s="58" t="n"/>
      <c r="N113" s="17" t="n"/>
    </row>
    <row r="114">
      <c r="B114" s="3" t="inlineStr">
        <is>
          <t>HCM</t>
        </is>
      </c>
      <c r="C114" t="inlineStr">
        <is>
          <t>HUTCHMED (China) Ltd</t>
        </is>
      </c>
      <c r="D114" t="inlineStr">
        <is>
          <t>Pharmaceuticals</t>
        </is>
      </c>
      <c r="E114" s="6" t="inlineStr">
        <is>
          <t>NASDAQ</t>
        </is>
      </c>
      <c r="F114" s="1" t="n">
        <v>14.74</v>
      </c>
      <c r="G114" s="8">
        <f>F114*[112]Main!$C$4</f>
        <v/>
      </c>
      <c r="H114" s="10">
        <f>G114-[112]Main!$C$7+[112]Main!$C$8</f>
        <v/>
      </c>
      <c r="J114" s="1">
        <f>IF(ISNUMBER([112]Main!$C$11),[112]Main!$C$11,"")</f>
        <v/>
      </c>
      <c r="K114" s="57">
        <f>IFERROR(J114/F114-1,"")</f>
        <v/>
      </c>
      <c r="L114" s="12">
        <f>[112]Main!$C$15&amp;" ("&amp;[112]Main!$C$14&amp;")"</f>
        <v/>
      </c>
      <c r="M114" s="58" t="n"/>
      <c r="N114" s="17" t="n"/>
    </row>
    <row r="115">
      <c r="B115" s="3" t="inlineStr">
        <is>
          <t>BEAM</t>
        </is>
      </c>
      <c r="C115" t="inlineStr">
        <is>
          <t>Beam Therapeutics Inc.</t>
        </is>
      </c>
      <c r="D115" t="inlineStr">
        <is>
          <t>Biotechnology</t>
        </is>
      </c>
      <c r="E115" s="6" t="inlineStr">
        <is>
          <t>NASDAQ</t>
        </is>
      </c>
      <c r="F115" s="1" t="n">
        <v>24.93</v>
      </c>
      <c r="G115" s="8">
        <f>F115*[113]Main!$C$4</f>
        <v/>
      </c>
      <c r="H115" s="10">
        <f>G115-[113]Main!$C$7+[113]Main!$C$8</f>
        <v/>
      </c>
      <c r="J115" s="1">
        <f>IF(ISNUMBER([113]Main!$C$11),[113]Main!$C$11,"")</f>
        <v/>
      </c>
      <c r="K115" s="57">
        <f>IFERROR(J115/F115-1,"")</f>
        <v/>
      </c>
      <c r="L115" s="12">
        <f>[113]Main!$C$15&amp;" ("&amp;[113]Main!$C$14&amp;")"</f>
        <v/>
      </c>
      <c r="M115" s="58" t="n">
        <v>46329</v>
      </c>
      <c r="N115" s="17" t="inlineStr">
        <is>
          <t>Earnings Nov 3 (est.)</t>
        </is>
      </c>
    </row>
    <row r="116">
      <c r="B116" s="3" t="inlineStr">
        <is>
          <t>ADMA</t>
        </is>
      </c>
      <c r="C116" t="inlineStr">
        <is>
          <t>ADMA Biologics, Inc.</t>
        </is>
      </c>
      <c r="D116" t="inlineStr">
        <is>
          <t>Biotechnology</t>
        </is>
      </c>
      <c r="E116" s="6" t="inlineStr">
        <is>
          <t>NASDAQ</t>
        </is>
      </c>
      <c r="F116" s="1" t="n">
        <v>11.23</v>
      </c>
      <c r="G116" s="8">
        <f>F116*[114]Main!$C$4</f>
        <v/>
      </c>
      <c r="H116" s="10">
        <f>G116-[114]Main!$C$7+[114]Main!$C$8</f>
        <v/>
      </c>
      <c r="J116" s="1">
        <f>IF(ISNUMBER([114]Main!$C$11),[114]Main!$C$11,"")</f>
        <v/>
      </c>
      <c r="K116" s="57">
        <f>IFERROR(J116/F116-1,"")</f>
        <v/>
      </c>
      <c r="L116" s="12">
        <f>[114]Main!$C$15&amp;" ("&amp;[114]Main!$C$14&amp;")"</f>
        <v/>
      </c>
      <c r="M116" s="58" t="n">
        <v>46330</v>
      </c>
      <c r="N116" s="17" t="inlineStr">
        <is>
          <t>Earnings Nov 4 (est.)</t>
        </is>
      </c>
    </row>
    <row r="117">
      <c r="B117" s="3" t="inlineStr">
        <is>
          <t>MBX</t>
        </is>
      </c>
      <c r="C117" t="inlineStr">
        <is>
          <t>MBX Biosciences, Inc.</t>
        </is>
      </c>
      <c r="D117" t="inlineStr">
        <is>
          <t>Pharmaceuticals</t>
        </is>
      </c>
      <c r="E117" s="6" t="inlineStr">
        <is>
          <t>NASDAQ</t>
        </is>
      </c>
      <c r="F117" s="1" t="n">
        <v>53.5</v>
      </c>
      <c r="G117" s="8">
        <f>F117*[115]Main!$C$4</f>
        <v/>
      </c>
      <c r="H117" s="10">
        <f>G117-[115]Main!$C$7+[115]Main!$C$8</f>
        <v/>
      </c>
      <c r="J117" s="1">
        <f>IF(ISNUMBER([115]Main!$C$11),[115]Main!$C$11,"")</f>
        <v/>
      </c>
      <c r="K117" s="57">
        <f>IFERROR(J117/F117-1,"")</f>
        <v/>
      </c>
      <c r="L117" s="12">
        <f>[115]Main!$C$15&amp;" ("&amp;[115]Main!$C$14&amp;")"</f>
        <v/>
      </c>
      <c r="M117" s="58" t="n">
        <v>46331</v>
      </c>
      <c r="N117" s="17" t="inlineStr">
        <is>
          <t>Earnings Nov 5 (est.) · Readout ~2026-10-30: Obesity, Phase 1</t>
        </is>
      </c>
    </row>
    <row r="118">
      <c r="B118" s="3" t="inlineStr">
        <is>
          <t>NAMS</t>
        </is>
      </c>
      <c r="C118" t="inlineStr">
        <is>
          <t>NewAmsterdam Pharma Company N.V.</t>
        </is>
      </c>
      <c r="D118" t="inlineStr">
        <is>
          <t>Biotechnology</t>
        </is>
      </c>
      <c r="E118" s="6" t="inlineStr">
        <is>
          <t>NASDAQ</t>
        </is>
      </c>
      <c r="F118" s="1" t="n">
        <v>21.5</v>
      </c>
      <c r="G118" s="8">
        <f>F118*[116]Main!$C$4</f>
        <v/>
      </c>
      <c r="H118" s="10">
        <f>G118-[116]Main!$C$7+[116]Main!$C$8</f>
        <v/>
      </c>
      <c r="J118" s="1">
        <f>IF(ISNUMBER([116]Main!$C$11),[116]Main!$C$11,"")</f>
        <v/>
      </c>
      <c r="K118" s="57">
        <f>IFERROR(J118/F118-1,"")</f>
        <v/>
      </c>
      <c r="L118" s="12">
        <f>[116]Main!$C$15&amp;" ("&amp;[116]Main!$C$14&amp;")"</f>
        <v/>
      </c>
      <c r="M118" s="58" t="n">
        <v>46330</v>
      </c>
      <c r="N118" s="17" t="inlineStr">
        <is>
          <t>Earnings Nov 4 (est.) · Readout ~2026-11: Lipids / cardiometabolic, Phase 3</t>
        </is>
      </c>
    </row>
    <row r="119">
      <c r="B119" s="3" t="inlineStr">
        <is>
          <t>PBH</t>
        </is>
      </c>
      <c r="C119" t="inlineStr">
        <is>
          <t>Prestige Consumer Healthcare Inc.</t>
        </is>
      </c>
      <c r="D119" t="inlineStr">
        <is>
          <t>Pharmaceuticals</t>
        </is>
      </c>
      <c r="E119" s="6" t="inlineStr">
        <is>
          <t>NYSE</t>
        </is>
      </c>
      <c r="F119" s="1" t="n">
        <v>49.35</v>
      </c>
      <c r="G119" s="8">
        <f>F119*[117]Main!$C$4</f>
        <v/>
      </c>
      <c r="H119" s="10">
        <f>G119-[117]Main!$C$7+[117]Main!$C$8</f>
        <v/>
      </c>
      <c r="J119" s="1">
        <f>IF(ISNUMBER([117]Main!$C$11),[117]Main!$C$11,"")</f>
        <v/>
      </c>
      <c r="K119" s="57">
        <f>IFERROR(J119/F119-1,"")</f>
        <v/>
      </c>
      <c r="L119" s="12">
        <f>[117]Main!$C$15&amp;" ("&amp;[117]Main!$C$14&amp;")"</f>
        <v/>
      </c>
      <c r="M119" s="58" t="n">
        <v>46331</v>
      </c>
      <c r="N119" s="17" t="inlineStr">
        <is>
          <t>Earnings Nov 5 (before open)</t>
        </is>
      </c>
    </row>
    <row r="120">
      <c r="B120" s="3" t="inlineStr">
        <is>
          <t>BHC</t>
        </is>
      </c>
      <c r="C120" t="inlineStr">
        <is>
          <t>Bausch Health Companies Inc.</t>
        </is>
      </c>
      <c r="D120" t="inlineStr">
        <is>
          <t>Pharmaceuticals</t>
        </is>
      </c>
      <c r="E120" s="6" t="inlineStr">
        <is>
          <t>NYSE</t>
        </is>
      </c>
      <c r="F120" s="1" t="n">
        <v>6.415</v>
      </c>
      <c r="G120" s="8">
        <f>F120*[118]Main!$C$4</f>
        <v/>
      </c>
      <c r="H120" s="10">
        <f>G120-[118]Main!$C$7+[118]Main!$C$8</f>
        <v/>
      </c>
      <c r="J120" s="1">
        <f>IF(ISNUMBER([118]Main!$C$11),[118]Main!$C$11,"")</f>
        <v/>
      </c>
      <c r="K120" s="57">
        <f>IFERROR(J120/F120-1,"")</f>
        <v/>
      </c>
      <c r="L120" s="12">
        <f>[118]Main!$C$15&amp;" ("&amp;[118]Main!$C$14&amp;")"</f>
        <v/>
      </c>
      <c r="M120" s="58" t="n">
        <v>46323</v>
      </c>
      <c r="N120" s="17" t="inlineStr">
        <is>
          <t>Earnings Oct 28 (after close)</t>
        </is>
      </c>
    </row>
    <row r="121">
      <c r="B121" s="3" t="inlineStr">
        <is>
          <t>PRGO</t>
        </is>
      </c>
      <c r="C121" t="inlineStr">
        <is>
          <t>Perrigo Company PLC</t>
        </is>
      </c>
      <c r="D121" t="inlineStr">
        <is>
          <t>Pharmaceuticals</t>
        </is>
      </c>
      <c r="E121" s="6" t="inlineStr">
        <is>
          <t>NYSE</t>
        </is>
      </c>
      <c r="F121" s="1" t="n">
        <v>16.17</v>
      </c>
      <c r="G121" s="8">
        <f>F121*[119]Main!$C$4</f>
        <v/>
      </c>
      <c r="H121" s="10">
        <f>G121-[119]Main!$C$7+[119]Main!$C$8</f>
        <v/>
      </c>
      <c r="J121" s="1">
        <f>IF(ISNUMBER([119]Main!$C$11),[119]Main!$C$11,"")</f>
        <v/>
      </c>
      <c r="K121" s="57">
        <f>IFERROR(J121/F121-1,"")</f>
        <v/>
      </c>
      <c r="L121" s="12">
        <f>[119]Main!$C$15&amp;" ("&amp;[119]Main!$C$14&amp;")"</f>
        <v/>
      </c>
      <c r="M121" s="58" t="n">
        <v>46330</v>
      </c>
      <c r="N121" s="17" t="inlineStr">
        <is>
          <t>Earnings Nov 4 (est.)</t>
        </is>
      </c>
    </row>
    <row r="122">
      <c r="B122" s="3" t="inlineStr">
        <is>
          <t>PGEN</t>
        </is>
      </c>
      <c r="C122" t="inlineStr">
        <is>
          <t>Precigen, Inc.</t>
        </is>
      </c>
      <c r="D122" t="inlineStr">
        <is>
          <t>Biotechnology</t>
        </is>
      </c>
      <c r="E122" s="6" t="inlineStr">
        <is>
          <t>NASDAQ</t>
        </is>
      </c>
      <c r="F122" s="1" t="n">
        <v>6.83</v>
      </c>
      <c r="G122" s="8">
        <f>F122*[120]Main!$C$4</f>
        <v/>
      </c>
      <c r="H122" s="10">
        <f>G122-[120]Main!$C$7+[120]Main!$C$8</f>
        <v/>
      </c>
      <c r="J122" s="1">
        <f>IF(ISNUMBER([120]Main!$C$11),[120]Main!$C$11,"")</f>
        <v/>
      </c>
      <c r="K122" s="57">
        <f>IFERROR(J122/F122-1,"")</f>
        <v/>
      </c>
      <c r="L122" s="12">
        <f>[120]Main!$C$15&amp;" ("&amp;[120]Main!$C$14&amp;")"</f>
        <v/>
      </c>
      <c r="M122" s="58" t="n">
        <v>46338</v>
      </c>
      <c r="N122" s="17" t="inlineStr">
        <is>
          <t>Earnings Nov 12 (est.)</t>
        </is>
      </c>
    </row>
    <row r="123">
      <c r="B123" s="3" t="inlineStr">
        <is>
          <t>HRMY</t>
        </is>
      </c>
      <c r="C123" t="inlineStr">
        <is>
          <t>Harmony Biosciences Holdings, Inc.</t>
        </is>
      </c>
      <c r="D123" t="inlineStr">
        <is>
          <t>Pharmaceuticals</t>
        </is>
      </c>
      <c r="E123" s="6" t="inlineStr">
        <is>
          <t>NASDAQ</t>
        </is>
      </c>
      <c r="F123" s="1" t="n">
        <v>38.7</v>
      </c>
      <c r="G123" s="8">
        <f>F123*[121]Main!$C$4</f>
        <v/>
      </c>
      <c r="H123" s="10">
        <f>G123-[121]Main!$C$7+[121]Main!$C$8</f>
        <v/>
      </c>
      <c r="J123" s="1">
        <f>IF(ISNUMBER([121]Main!$C$11),[121]Main!$C$11,"")</f>
        <v/>
      </c>
      <c r="K123" s="57">
        <f>IFERROR(J123/F123-1,"")</f>
        <v/>
      </c>
      <c r="L123" s="12">
        <f>[121]Main!$C$15&amp;" ("&amp;[121]Main!$C$14&amp;")"</f>
        <v/>
      </c>
      <c r="M123" s="58" t="n">
        <v>46329</v>
      </c>
      <c r="N123" s="17" t="inlineStr">
        <is>
          <t>Earnings Nov 3 (est.)</t>
        </is>
      </c>
    </row>
    <row r="124">
      <c r="B124" s="3" t="inlineStr">
        <is>
          <t>SUPN</t>
        </is>
      </c>
      <c r="C124" t="inlineStr">
        <is>
          <t>Supernus Pharmaceuticals, Inc.</t>
        </is>
      </c>
      <c r="D124" t="inlineStr">
        <is>
          <t>Pharmaceuticals</t>
        </is>
      </c>
      <c r="E124" s="6" t="inlineStr">
        <is>
          <t>NASDAQ</t>
        </is>
      </c>
      <c r="F124" s="1" t="n">
        <v>41.23</v>
      </c>
      <c r="G124" s="8">
        <f>F124*[122]Main!$C$4</f>
        <v/>
      </c>
      <c r="H124" s="10">
        <f>G124-[122]Main!$C$7+[122]Main!$C$8</f>
        <v/>
      </c>
      <c r="J124" s="1">
        <f>IF(ISNUMBER([122]Main!$C$11),[122]Main!$C$11,"")</f>
        <v/>
      </c>
      <c r="K124" s="57">
        <f>IFERROR(J124/F124-1,"")</f>
        <v/>
      </c>
      <c r="L124" s="12">
        <f>[122]Main!$C$15&amp;" ("&amp;[122]Main!$C$14&amp;")"</f>
        <v/>
      </c>
      <c r="M124" s="58" t="n">
        <v>46329</v>
      </c>
      <c r="N124" s="17" t="inlineStr">
        <is>
          <t>Earnings Nov 3 (est.)</t>
        </is>
      </c>
    </row>
    <row r="125">
      <c r="B125" s="3" t="inlineStr">
        <is>
          <t>AUPH</t>
        </is>
      </c>
      <c r="C125" t="inlineStr">
        <is>
          <t>Aurinia Pharmaceuticals Inc.</t>
        </is>
      </c>
      <c r="D125" t="inlineStr">
        <is>
          <t>Biotechnology</t>
        </is>
      </c>
      <c r="E125" s="6" t="inlineStr">
        <is>
          <t>NASDAQ</t>
        </is>
      </c>
      <c r="F125" s="1" t="n">
        <v>16.74</v>
      </c>
      <c r="G125" s="8">
        <f>F125*[123]Main!$C$4</f>
        <v/>
      </c>
      <c r="H125" s="10">
        <f>G125-[123]Main!$C$7+[123]Main!$C$8</f>
        <v/>
      </c>
      <c r="J125" s="1">
        <f>IF(ISNUMBER([123]Main!$C$11),[123]Main!$C$11,"")</f>
        <v/>
      </c>
      <c r="K125" s="57">
        <f>IFERROR(J125/F125-1,"")</f>
        <v/>
      </c>
      <c r="L125" s="12">
        <f>[123]Main!$C$15&amp;" ("&amp;[123]Main!$C$14&amp;")"</f>
        <v/>
      </c>
      <c r="M125" s="58" t="n">
        <v>46329</v>
      </c>
      <c r="N125" s="17" t="inlineStr">
        <is>
          <t>Earnings Nov 3 (est.)</t>
        </is>
      </c>
    </row>
    <row r="126">
      <c r="B126" s="3" t="inlineStr">
        <is>
          <t>IRON</t>
        </is>
      </c>
      <c r="C126" t="inlineStr">
        <is>
          <t>Disc Medicine, Inc.</t>
        </is>
      </c>
      <c r="D126" t="inlineStr">
        <is>
          <t>Biotechnology</t>
        </is>
      </c>
      <c r="E126" s="6" t="inlineStr">
        <is>
          <t>NASDAQ</t>
        </is>
      </c>
      <c r="F126" s="1" t="n">
        <v>79.48</v>
      </c>
      <c r="G126" s="8">
        <f>F126*[124]Main!$C$4</f>
        <v/>
      </c>
      <c r="H126" s="10">
        <f>G126-[124]Main!$C$7+[124]Main!$C$8</f>
        <v/>
      </c>
      <c r="J126" s="1">
        <f>IF(ISNUMBER([124]Main!$C$11),[124]Main!$C$11,"")</f>
        <v/>
      </c>
      <c r="K126" s="57">
        <f>IFERROR(J126/F126-1,"")</f>
        <v/>
      </c>
      <c r="L126" s="12">
        <f>[124]Main!$C$15&amp;" ("&amp;[124]Main!$C$14&amp;")"</f>
        <v/>
      </c>
      <c r="M126" s="58" t="n">
        <v>46331</v>
      </c>
      <c r="N126" s="17" t="inlineStr">
        <is>
          <t>Earnings Nov 5 (est.) · Readout ~2026-10: IBD (UC / Crohn's), Phase 2</t>
        </is>
      </c>
    </row>
    <row r="127">
      <c r="B127" s="3" t="inlineStr">
        <is>
          <t>CLDX</t>
        </is>
      </c>
      <c r="C127" t="inlineStr">
        <is>
          <t>Celldex Therapeutics, Inc.</t>
        </is>
      </c>
      <c r="D127" t="inlineStr">
        <is>
          <t>Biotechnology</t>
        </is>
      </c>
      <c r="E127" s="6" t="inlineStr">
        <is>
          <t>NASDAQ</t>
        </is>
      </c>
      <c r="F127" s="1" t="n">
        <v>30.29</v>
      </c>
      <c r="G127" s="8">
        <f>F127*[125]Main!$C$4</f>
        <v/>
      </c>
      <c r="H127" s="10">
        <f>G127-[125]Main!$C$7+[125]Main!$C$8</f>
        <v/>
      </c>
      <c r="J127" s="1">
        <f>IF(ISNUMBER([125]Main!$C$11),[125]Main!$C$11,"")</f>
        <v/>
      </c>
      <c r="K127" s="57">
        <f>IFERROR(J127/F127-1,"")</f>
        <v/>
      </c>
      <c r="L127" s="12">
        <f>[125]Main!$C$15&amp;" ("&amp;[125]Main!$C$14&amp;")"</f>
        <v/>
      </c>
      <c r="M127" s="58" t="n">
        <v>46335</v>
      </c>
      <c r="N127" s="17" t="inlineStr">
        <is>
          <t>Earnings Nov 9 (est.) · Readout ~2026-10: Hidradenitis / alopecia / vitiligo, Phase 3</t>
        </is>
      </c>
    </row>
    <row r="128">
      <c r="B128" s="3" t="inlineStr">
        <is>
          <t>VRDN</t>
        </is>
      </c>
      <c r="C128" t="inlineStr">
        <is>
          <t>Viridian Therapeutics, Inc.</t>
        </is>
      </c>
      <c r="D128" t="inlineStr">
        <is>
          <t>Biotechnology</t>
        </is>
      </c>
      <c r="E128" s="6" t="inlineStr">
        <is>
          <t>NASDAQ</t>
        </is>
      </c>
      <c r="F128" s="1" t="n">
        <v>22.43</v>
      </c>
      <c r="G128" s="8">
        <f>F128*[126]Main!$C$4</f>
        <v/>
      </c>
      <c r="H128" s="10">
        <f>G128-[126]Main!$C$7+[126]Main!$C$8</f>
        <v/>
      </c>
      <c r="J128" s="1">
        <f>IF(ISNUMBER([126]Main!$C$11),[126]Main!$C$11,"")</f>
        <v/>
      </c>
      <c r="K128" s="57">
        <f>IFERROR(J128/F128-1,"")</f>
        <v/>
      </c>
      <c r="L128" s="12">
        <f>[126]Main!$C$15&amp;" ("&amp;[126]Main!$C$14&amp;")"</f>
        <v/>
      </c>
      <c r="M128" s="58" t="n">
        <v>46330</v>
      </c>
      <c r="N128" s="17" t="inlineStr">
        <is>
          <t>Earnings Nov 4 (est.)</t>
        </is>
      </c>
    </row>
    <row r="129">
      <c r="B129" s="3" t="inlineStr">
        <is>
          <t>VCEL</t>
        </is>
      </c>
      <c r="C129" t="inlineStr">
        <is>
          <t>Vericel Corporation</t>
        </is>
      </c>
      <c r="D129" t="inlineStr">
        <is>
          <t>Biotechnology</t>
        </is>
      </c>
      <c r="E129" s="6" t="inlineStr">
        <is>
          <t>NASDAQ</t>
        </is>
      </c>
      <c r="F129" s="1" t="n">
        <v>40.58</v>
      </c>
      <c r="G129" s="8">
        <f>F129*[127]Main!$C$4</f>
        <v/>
      </c>
      <c r="H129" s="10">
        <f>G129-[127]Main!$C$7+[127]Main!$C$8</f>
        <v/>
      </c>
      <c r="J129" s="1">
        <f>IF(ISNUMBER([127]Main!$C$11),[127]Main!$C$11,"")</f>
        <v/>
      </c>
      <c r="K129" s="57">
        <f>IFERROR(J129/F129-1,"")</f>
        <v/>
      </c>
      <c r="L129" s="12">
        <f>[127]Main!$C$15&amp;" ("&amp;[127]Main!$C$14&amp;")"</f>
        <v/>
      </c>
      <c r="M129" s="58" t="n">
        <v>46331</v>
      </c>
      <c r="N129" s="17" t="inlineStr">
        <is>
          <t>Earnings Nov 5 (est.)</t>
        </is>
      </c>
    </row>
    <row r="130">
      <c r="B130" s="3" t="inlineStr">
        <is>
          <t>SLS</t>
        </is>
      </c>
      <c r="C130" t="inlineStr">
        <is>
          <t>Sellas Life Sciences Group Inc</t>
        </is>
      </c>
      <c r="D130" t="inlineStr">
        <is>
          <t>Biotechnology</t>
        </is>
      </c>
      <c r="E130" s="6" t="inlineStr">
        <is>
          <t>NASDAQ</t>
        </is>
      </c>
      <c r="F130" s="1" t="n">
        <v>11.98</v>
      </c>
      <c r="G130" s="8">
        <f>F130*[128]Main!$C$4</f>
        <v/>
      </c>
      <c r="H130" s="10">
        <f>G130-[128]Main!$C$7+[128]Main!$C$8</f>
        <v/>
      </c>
      <c r="J130" s="1">
        <f>IF(ISNUMBER([128]Main!$C$11),[128]Main!$C$11,"")</f>
        <v/>
      </c>
      <c r="K130" s="57">
        <f>IFERROR(J130/F130-1,"")</f>
        <v/>
      </c>
      <c r="L130" s="12">
        <f>[128]Main!$C$15&amp;" ("&amp;[128]Main!$C$14&amp;")"</f>
        <v/>
      </c>
      <c r="M130" s="58" t="n">
        <v>46337</v>
      </c>
      <c r="N130" s="17" t="inlineStr">
        <is>
          <t>Earnings Nov 11 (est.) · Readout ~2026-12-30: Solid tumors (basket), Phase 1/2</t>
        </is>
      </c>
    </row>
    <row r="131">
      <c r="B131" s="3" t="inlineStr">
        <is>
          <t>VERA</t>
        </is>
      </c>
      <c r="C131" t="inlineStr">
        <is>
          <t>Vera Therapeutics, Inc.</t>
        </is>
      </c>
      <c r="D131" t="inlineStr">
        <is>
          <t>Biotechnology</t>
        </is>
      </c>
      <c r="E131" s="6" t="inlineStr">
        <is>
          <t>NASDAQ</t>
        </is>
      </c>
      <c r="F131" s="1" t="n">
        <v>30.06</v>
      </c>
      <c r="G131" s="8">
        <f>F131*[129]Main!$C$4</f>
        <v/>
      </c>
      <c r="H131" s="10">
        <f>G131-[129]Main!$C$7+[129]Main!$C$8</f>
        <v/>
      </c>
      <c r="J131" s="1">
        <f>IF(ISNUMBER([129]Main!$C$11),[129]Main!$C$11,"")</f>
        <v/>
      </c>
      <c r="K131" s="57">
        <f>IFERROR(J131/F131-1,"")</f>
        <v/>
      </c>
      <c r="L131" s="12">
        <f>[129]Main!$C$15&amp;" ("&amp;[129]Main!$C$14&amp;")"</f>
        <v/>
      </c>
      <c r="M131" s="58" t="n">
        <v>46330</v>
      </c>
      <c r="N131" s="17" t="inlineStr">
        <is>
          <t>Earnings Nov 4 (est.) · Readout ~2027-11: Kidney disease, Phase 2</t>
        </is>
      </c>
    </row>
    <row r="132">
      <c r="B132" s="3" t="inlineStr">
        <is>
          <t>BCRX</t>
        </is>
      </c>
      <c r="C132" t="inlineStr">
        <is>
          <t>BioCryst Pharmaceuticals, Inc.</t>
        </is>
      </c>
      <c r="D132" t="inlineStr">
        <is>
          <t>Biotechnology</t>
        </is>
      </c>
      <c r="E132" s="6" t="inlineStr">
        <is>
          <t>NASDAQ</t>
        </is>
      </c>
      <c r="F132" s="1" t="n">
        <v>7.94</v>
      </c>
      <c r="G132" s="8">
        <f>F132*[130]Main!$C$4</f>
        <v/>
      </c>
      <c r="H132" s="10">
        <f>G132-[130]Main!$C$7+[130]Main!$C$8</f>
        <v/>
      </c>
      <c r="J132" s="1">
        <f>IF(ISNUMBER([130]Main!$C$11),[130]Main!$C$11,"")</f>
        <v/>
      </c>
      <c r="K132" s="57">
        <f>IFERROR(J132/F132-1,"")</f>
        <v/>
      </c>
      <c r="L132" s="12">
        <f>[130]Main!$C$15&amp;" ("&amp;[130]Main!$C$14&amp;")"</f>
        <v/>
      </c>
      <c r="M132" s="58" t="n">
        <v>46328</v>
      </c>
      <c r="N132" s="17" t="inlineStr">
        <is>
          <t>Earnings Nov 2 (est.)</t>
        </is>
      </c>
    </row>
    <row r="133">
      <c r="B133" s="3" t="inlineStr">
        <is>
          <t>LKFT</t>
        </is>
      </c>
      <c r="C133" t="inlineStr">
        <is>
          <t>Lakefront Biotherapeutics NV</t>
        </is>
      </c>
      <c r="D133" t="inlineStr">
        <is>
          <t>Biotechnology</t>
        </is>
      </c>
      <c r="E133" s="6" t="inlineStr">
        <is>
          <t>NASDAQ</t>
        </is>
      </c>
      <c r="F133" s="1" t="n">
        <v>30.75</v>
      </c>
      <c r="G133" s="8">
        <f>F133*[131]Main!$C$4</f>
        <v/>
      </c>
      <c r="H133" s="10">
        <f>G133-[131]Main!$C$7+[131]Main!$C$8</f>
        <v/>
      </c>
      <c r="J133" s="1">
        <f>IF(ISNUMBER([131]Main!$C$11),[131]Main!$C$11,"")</f>
        <v/>
      </c>
      <c r="K133" s="57">
        <f>IFERROR(J133/F133-1,"")</f>
        <v/>
      </c>
      <c r="L133" s="12">
        <f>[131]Main!$C$15&amp;" ("&amp;[131]Main!$C$14&amp;")"</f>
        <v/>
      </c>
      <c r="M133" s="58" t="n"/>
      <c r="N133" s="17" t="n"/>
    </row>
    <row r="134">
      <c r="B134" s="3" t="inlineStr">
        <is>
          <t>TRLV</t>
        </is>
      </c>
      <c r="C134" t="inlineStr">
        <is>
          <t>Trulieve Cannabis Corp ( Delaware )</t>
        </is>
      </c>
      <c r="D134" t="inlineStr">
        <is>
          <t>Pharmaceuticals</t>
        </is>
      </c>
      <c r="E134" s="6" t="inlineStr">
        <is>
          <t>NYSE</t>
        </is>
      </c>
      <c r="F134" s="1" t="n">
        <v>10.78</v>
      </c>
      <c r="G134" s="8">
        <f>F134*[132]Main!$C$4</f>
        <v/>
      </c>
      <c r="H134" s="10">
        <f>G134-[132]Main!$C$7+[132]Main!$C$8</f>
        <v/>
      </c>
      <c r="J134" s="1">
        <f>IF(ISNUMBER([132]Main!$C$11),[132]Main!$C$11,"")</f>
        <v/>
      </c>
      <c r="K134" s="57">
        <f>IFERROR(J134/F134-1,"")</f>
        <v/>
      </c>
      <c r="L134" s="12">
        <f>[132]Main!$C$15&amp;" ("&amp;[132]Main!$C$14&amp;")"</f>
        <v/>
      </c>
      <c r="M134" s="58" t="n">
        <v>46331</v>
      </c>
      <c r="N134" s="17" t="inlineStr">
        <is>
          <t>Earnings Nov 5 (before open)</t>
        </is>
      </c>
    </row>
    <row r="135">
      <c r="B135" s="3" t="inlineStr">
        <is>
          <t>XERS</t>
        </is>
      </c>
      <c r="C135" t="inlineStr">
        <is>
          <t>Xeris Biopharma Holdings, Inc.</t>
        </is>
      </c>
      <c r="D135" t="inlineStr">
        <is>
          <t>Pharmaceuticals</t>
        </is>
      </c>
      <c r="E135" s="6" t="inlineStr">
        <is>
          <t>NASDAQ</t>
        </is>
      </c>
      <c r="F135" s="1" t="n">
        <v>11.13</v>
      </c>
      <c r="G135" s="8">
        <f>F135*[133]Main!$C$4</f>
        <v/>
      </c>
      <c r="H135" s="10">
        <f>G135-[133]Main!$C$7+[133]Main!$C$8</f>
        <v/>
      </c>
      <c r="J135" s="1">
        <f>IF(ISNUMBER([133]Main!$C$11),[133]Main!$C$11,"")</f>
        <v/>
      </c>
      <c r="K135" s="57">
        <f>IFERROR(J135/F135-1,"")</f>
        <v/>
      </c>
      <c r="L135" s="12">
        <f>[133]Main!$C$15&amp;" ("&amp;[133]Main!$C$14&amp;")"</f>
        <v/>
      </c>
      <c r="M135" s="58" t="n">
        <v>46331</v>
      </c>
      <c r="N135" s="17" t="inlineStr">
        <is>
          <t>Earnings Nov 5 (est.)</t>
        </is>
      </c>
    </row>
    <row r="136">
      <c r="B136" s="3" t="inlineStr">
        <is>
          <t>IMNM</t>
        </is>
      </c>
      <c r="C136" t="inlineStr">
        <is>
          <t>Immunome, Inc.</t>
        </is>
      </c>
      <c r="D136" t="inlineStr">
        <is>
          <t>Biotechnology</t>
        </is>
      </c>
      <c r="E136" s="6" t="inlineStr">
        <is>
          <t>NASDAQ</t>
        </is>
      </c>
      <c r="F136" s="1" t="n">
        <v>17.92</v>
      </c>
      <c r="G136" s="8">
        <f>F136*[134]Main!$C$4</f>
        <v/>
      </c>
      <c r="H136" s="10">
        <f>G136-[134]Main!$C$7+[134]Main!$C$8</f>
        <v/>
      </c>
      <c r="J136" s="1">
        <f>IF(ISNUMBER([134]Main!$C$11),[134]Main!$C$11,"")</f>
        <v/>
      </c>
      <c r="K136" s="57">
        <f>IFERROR(J136/F136-1,"")</f>
        <v/>
      </c>
      <c r="L136" s="12">
        <f>[134]Main!$C$15&amp;" ("&amp;[134]Main!$C$14&amp;")"</f>
        <v/>
      </c>
      <c r="M136" s="58" t="n">
        <v>46331</v>
      </c>
      <c r="N136" s="17" t="inlineStr">
        <is>
          <t>Earnings Nov 5 (est.) · Readout ~2028-05: Solid tumors (basket), Phase 1 · PDUFA 2027-04-28: Sarcoma / GIST</t>
        </is>
      </c>
    </row>
    <row r="137">
      <c r="B137" s="3" t="inlineStr">
        <is>
          <t>AGIO</t>
        </is>
      </c>
      <c r="C137" t="inlineStr">
        <is>
          <t>Agios Pharmaceuticals, Inc.</t>
        </is>
      </c>
      <c r="D137" t="inlineStr">
        <is>
          <t>Biotechnology</t>
        </is>
      </c>
      <c r="E137" s="6" t="inlineStr">
        <is>
          <t>NASDAQ</t>
        </is>
      </c>
      <c r="F137" s="1" t="n">
        <v>36.64</v>
      </c>
      <c r="G137" s="8">
        <f>F137*[135]Main!$C$4</f>
        <v/>
      </c>
      <c r="H137" s="10">
        <f>G137-[135]Main!$C$7+[135]Main!$C$8</f>
        <v/>
      </c>
      <c r="J137" s="1">
        <f>[135]Main!$C$11</f>
        <v/>
      </c>
      <c r="K137" s="57">
        <f>IFERROR(J137/F137-1,"")</f>
        <v/>
      </c>
      <c r="L137" s="12">
        <f>"rNPV ("&amp;[135]Main!$C$14&amp;")"</f>
        <v/>
      </c>
      <c r="M137" s="58" t="n">
        <v>46327</v>
      </c>
      <c r="N137" s="59" t="inlineStr">
        <is>
          <t>PDUFA Nov 1: mitapivat in sickle cell disease · Earnings Nov 5 (before open)</t>
        </is>
      </c>
    </row>
    <row r="138">
      <c r="B138" s="3" t="inlineStr">
        <is>
          <t>BGM</t>
        </is>
      </c>
      <c r="C138" t="inlineStr">
        <is>
          <t>BGM Group Ltd</t>
        </is>
      </c>
      <c r="D138" t="inlineStr">
        <is>
          <t>Pharmaceuticals</t>
        </is>
      </c>
      <c r="E138" s="6" t="inlineStr">
        <is>
          <t>NASDAQ</t>
        </is>
      </c>
      <c r="F138" s="1" t="n">
        <v>8.970000000000001</v>
      </c>
      <c r="G138" s="8">
        <f>F138*[136]Main!$C$4</f>
        <v/>
      </c>
      <c r="H138" s="10">
        <f>G138-[136]Main!$C$7+[136]Main!$C$8</f>
        <v/>
      </c>
      <c r="J138" s="1">
        <f>IF(ISNUMBER([136]Main!$C$11),[136]Main!$C$11,"")</f>
        <v/>
      </c>
      <c r="K138" s="57">
        <f>IFERROR(J138/F138-1,"")</f>
        <v/>
      </c>
      <c r="L138" s="12">
        <f>[136]Main!$C$15&amp;" ("&amp;[136]Main!$C$14&amp;")"</f>
        <v/>
      </c>
      <c r="M138" s="58" t="n"/>
      <c r="N138" s="17" t="n"/>
    </row>
    <row r="139">
      <c r="B139" s="3" t="inlineStr">
        <is>
          <t>NVAX</t>
        </is>
      </c>
      <c r="C139" t="inlineStr">
        <is>
          <t>Novavax, Inc.</t>
        </is>
      </c>
      <c r="D139" t="inlineStr">
        <is>
          <t>Biotechnology</t>
        </is>
      </c>
      <c r="E139" s="6" t="inlineStr">
        <is>
          <t>NASDAQ</t>
        </is>
      </c>
      <c r="F139" s="1" t="n">
        <v>11.43</v>
      </c>
      <c r="G139" s="8">
        <f>F139*[137]Main!$C$4</f>
        <v/>
      </c>
      <c r="H139" s="10">
        <f>G139-[137]Main!$C$7+[137]Main!$C$8</f>
        <v/>
      </c>
      <c r="J139" s="1">
        <f>IF(ISNUMBER([137]Main!$C$11),[137]Main!$C$11,"")</f>
        <v/>
      </c>
      <c r="K139" s="57">
        <f>IFERROR(J139/F139-1,"")</f>
        <v/>
      </c>
      <c r="L139" s="12">
        <f>[137]Main!$C$15&amp;" ("&amp;[137]Main!$C$14&amp;")"</f>
        <v/>
      </c>
      <c r="M139" s="58" t="n">
        <v>46331</v>
      </c>
      <c r="N139" s="17" t="inlineStr">
        <is>
          <t>Earnings Nov 5 (est.)</t>
        </is>
      </c>
    </row>
    <row r="140">
      <c r="B140" s="3" t="inlineStr">
        <is>
          <t>RXRX</t>
        </is>
      </c>
      <c r="C140" t="inlineStr">
        <is>
          <t>Recursion Pharmaceuticals, Inc.</t>
        </is>
      </c>
      <c r="D140" t="inlineStr">
        <is>
          <t>Biotechnology</t>
        </is>
      </c>
      <c r="E140" s="6" t="inlineStr">
        <is>
          <t>NASDAQ</t>
        </is>
      </c>
      <c r="F140" s="1" t="n">
        <v>3.66</v>
      </c>
      <c r="G140" s="8">
        <f>F140*[138]Main!$C$4</f>
        <v/>
      </c>
      <c r="H140" s="10">
        <f>G140-[138]Main!$C$7+[138]Main!$C$8</f>
        <v/>
      </c>
      <c r="J140" s="1">
        <f>IF(ISNUMBER([138]Main!$C$11),[138]Main!$C$11,"")</f>
        <v/>
      </c>
      <c r="K140" s="57">
        <f>IFERROR(J140/F140-1,"")</f>
        <v/>
      </c>
      <c r="L140" s="12">
        <f>[138]Main!$C$15&amp;" ("&amp;[138]Main!$C$14&amp;")"</f>
        <v/>
      </c>
      <c r="M140" s="58" t="n">
        <v>46330</v>
      </c>
      <c r="N140" s="17" t="inlineStr">
        <is>
          <t>Earnings Nov 4 (est.)</t>
        </is>
      </c>
    </row>
    <row r="141">
      <c r="B141" s="3" t="inlineStr">
        <is>
          <t>PHVS</t>
        </is>
      </c>
      <c r="C141" t="inlineStr">
        <is>
          <t>Pharvaris N.V.</t>
        </is>
      </c>
      <c r="D141" t="inlineStr">
        <is>
          <t>Pharmaceuticals</t>
        </is>
      </c>
      <c r="E141" s="6" t="inlineStr">
        <is>
          <t>NASDAQ</t>
        </is>
      </c>
      <c r="F141" s="1" t="n">
        <v>30.9</v>
      </c>
      <c r="G141" s="8">
        <f>F141*[139]Main!$C$4</f>
        <v/>
      </c>
      <c r="H141" s="10">
        <f>G141-[139]Main!$C$7+[139]Main!$C$8</f>
        <v/>
      </c>
      <c r="J141" s="1">
        <f>IF(ISNUMBER([139]Main!$C$11),[139]Main!$C$11,"")</f>
        <v/>
      </c>
      <c r="K141" s="57">
        <f>IFERROR(J141/F141-1,"")</f>
        <v/>
      </c>
      <c r="L141" s="12">
        <f>[139]Main!$C$15&amp;" ("&amp;[139]Main!$C$14&amp;")"</f>
        <v/>
      </c>
      <c r="M141" s="58" t="n">
        <v>46337</v>
      </c>
      <c r="N141" s="17" t="inlineStr">
        <is>
          <t>Earnings Nov 11 (est.) · Readout ~2027-06: Hereditary angioedema, Phase 3</t>
        </is>
      </c>
    </row>
    <row r="142">
      <c r="B142" s="3" t="inlineStr">
        <is>
          <t>SRPT</t>
        </is>
      </c>
      <c r="C142" t="inlineStr">
        <is>
          <t>Sarepta Therapeutics, Inc.</t>
        </is>
      </c>
      <c r="D142" t="inlineStr">
        <is>
          <t>Biotechnology</t>
        </is>
      </c>
      <c r="E142" s="6" t="inlineStr">
        <is>
          <t>NASDAQ</t>
        </is>
      </c>
      <c r="F142" s="1" t="n">
        <v>19.17</v>
      </c>
      <c r="G142" s="8">
        <f>F142*[140]Main!$C$4</f>
        <v/>
      </c>
      <c r="H142" s="10">
        <f>G142-[140]Main!$C$7+[140]Main!$C$8</f>
        <v/>
      </c>
      <c r="J142" s="1">
        <f>IF(ISNUMBER([140]Main!$C$11),[140]Main!$C$11,"")</f>
        <v/>
      </c>
      <c r="K142" s="57">
        <f>IFERROR(J142/F142-1,"")</f>
        <v/>
      </c>
      <c r="L142" s="12">
        <f>[140]Main!$C$15&amp;" ("&amp;[140]Main!$C$14&amp;")"</f>
        <v/>
      </c>
      <c r="M142" s="58" t="n">
        <v>46328</v>
      </c>
      <c r="N142" s="17" t="inlineStr">
        <is>
          <t>Earnings Nov 2 (est.)</t>
        </is>
      </c>
    </row>
    <row r="143">
      <c r="B143" s="3" t="inlineStr">
        <is>
          <t>MLYS</t>
        </is>
      </c>
      <c r="C143" t="inlineStr">
        <is>
          <t>Mineralys Therapeutics, Inc.</t>
        </is>
      </c>
      <c r="D143" t="inlineStr">
        <is>
          <t>Biotechnology</t>
        </is>
      </c>
      <c r="E143" s="6" t="inlineStr">
        <is>
          <t>NASDAQ</t>
        </is>
      </c>
      <c r="F143" s="1" t="n">
        <v>21.58</v>
      </c>
      <c r="G143" s="8">
        <f>F143*[141]Main!$C$4</f>
        <v/>
      </c>
      <c r="H143" s="10">
        <f>G143-[141]Main!$C$7+[141]Main!$C$8</f>
        <v/>
      </c>
      <c r="J143" s="1">
        <f>[141]Main!$C$11</f>
        <v/>
      </c>
      <c r="K143" s="57">
        <f>IFERROR(J143/F143-1,"")</f>
        <v/>
      </c>
      <c r="L143" s="12">
        <f>"rNPV ("&amp;[141]Main!$C$14&amp;")"</f>
        <v/>
      </c>
      <c r="M143" s="58" t="n">
        <v>46378</v>
      </c>
      <c r="N143" s="59" t="inlineStr">
        <is>
          <t>PDUFA Dec 22: lorundrostat · Earnings Nov 9 (est.)</t>
        </is>
      </c>
    </row>
    <row r="144">
      <c r="B144" s="3" t="inlineStr">
        <is>
          <t>PURR</t>
        </is>
      </c>
      <c r="C144" t="inlineStr">
        <is>
          <t>Hyperliquid Strategies Inc</t>
        </is>
      </c>
      <c r="D144" t="inlineStr">
        <is>
          <t>Biotechnology</t>
        </is>
      </c>
      <c r="E144" s="6" t="inlineStr">
        <is>
          <t>NASDAQ</t>
        </is>
      </c>
      <c r="F144" s="1" t="n">
        <v>9.15</v>
      </c>
      <c r="G144" s="8">
        <f>F144*[142]Main!$C$4</f>
        <v/>
      </c>
      <c r="H144" s="10">
        <f>G144-[142]Main!$C$7+[142]Main!$C$8</f>
        <v/>
      </c>
      <c r="J144" s="1">
        <f>IF(ISNUMBER([142]Main!$C$11),[142]Main!$C$11,"")</f>
        <v/>
      </c>
      <c r="K144" s="57">
        <f>IFERROR(J144/F144-1,"")</f>
        <v/>
      </c>
      <c r="L144" s="12">
        <f>[142]Main!$C$15&amp;" ("&amp;[142]Main!$C$14&amp;")"</f>
        <v/>
      </c>
      <c r="M144" s="58" t="n"/>
      <c r="N144" s="17" t="n"/>
    </row>
    <row r="145">
      <c r="B145" s="3" t="inlineStr">
        <is>
          <t>ZYME</t>
        </is>
      </c>
      <c r="C145" t="inlineStr">
        <is>
          <t>Zymeworks Inc.</t>
        </is>
      </c>
      <c r="D145" t="inlineStr">
        <is>
          <t>Biotechnology</t>
        </is>
      </c>
      <c r="E145" s="6" t="inlineStr">
        <is>
          <t>NASDAQ</t>
        </is>
      </c>
      <c r="F145" s="1" t="n">
        <v>26.91</v>
      </c>
      <c r="G145" s="8">
        <f>F145*[143]Main!$C$4</f>
        <v/>
      </c>
      <c r="H145" s="10">
        <f>G145-[143]Main!$C$7+[143]Main!$C$8</f>
        <v/>
      </c>
      <c r="J145" s="1">
        <f>IF(ISNUMBER([143]Main!$C$11),[143]Main!$C$11,"")</f>
        <v/>
      </c>
      <c r="K145" s="57">
        <f>IFERROR(J145/F145-1,"")</f>
        <v/>
      </c>
      <c r="L145" s="12">
        <f>[143]Main!$C$15&amp;" ("&amp;[143]Main!$C$14&amp;")"</f>
        <v/>
      </c>
      <c r="M145" s="58" t="n">
        <v>46331</v>
      </c>
      <c r="N145" s="17" t="inlineStr">
        <is>
          <t>Earnings Nov 5 (est.) · Readout ~2026-12: Solid tumors (basket), Phase 1</t>
        </is>
      </c>
    </row>
    <row r="146">
      <c r="B146" s="3" t="inlineStr">
        <is>
          <t>SEPN</t>
        </is>
      </c>
      <c r="C146" t="inlineStr">
        <is>
          <t>Septerna, Inc.</t>
        </is>
      </c>
      <c r="D146" t="inlineStr">
        <is>
          <t>Pharmaceuticals</t>
        </is>
      </c>
      <c r="E146" s="6" t="inlineStr">
        <is>
          <t>NASDAQ</t>
        </is>
      </c>
      <c r="F146" s="1" t="n">
        <v>39.35</v>
      </c>
      <c r="G146" s="8">
        <f>F146*[144]Main!$C$4</f>
        <v/>
      </c>
      <c r="H146" s="10">
        <f>G146-[144]Main!$C$7+[144]Main!$C$8</f>
        <v/>
      </c>
      <c r="J146" s="1">
        <f>IF(ISNUMBER([144]Main!$C$11),[144]Main!$C$11,"")</f>
        <v/>
      </c>
      <c r="K146" s="57">
        <f>IFERROR(J146/F146-1,"")</f>
        <v/>
      </c>
      <c r="L146" s="12">
        <f>[144]Main!$C$15&amp;" ("&amp;[144]Main!$C$14&amp;")"</f>
        <v/>
      </c>
      <c r="M146" s="58" t="n">
        <v>46335</v>
      </c>
      <c r="N146" s="17" t="inlineStr">
        <is>
          <t>Earnings Nov 9 (est.)</t>
        </is>
      </c>
    </row>
    <row r="147">
      <c r="B147" s="3" t="inlineStr">
        <is>
          <t>PVLA</t>
        </is>
      </c>
      <c r="C147" t="inlineStr">
        <is>
          <t>Palvella Therapeutics Inc</t>
        </is>
      </c>
      <c r="D147" t="inlineStr">
        <is>
          <t>Biotechnology</t>
        </is>
      </c>
      <c r="E147" s="6" t="inlineStr">
        <is>
          <t>NASDAQ</t>
        </is>
      </c>
      <c r="F147" s="1" t="n">
        <v>123.92</v>
      </c>
      <c r="G147" s="8">
        <f>F147*[145]Main!$C$4</f>
        <v/>
      </c>
      <c r="H147" s="10">
        <f>G147-[145]Main!$C$7+[145]Main!$C$8</f>
        <v/>
      </c>
      <c r="J147" s="1">
        <f>IF(ISNUMBER([145]Main!$C$11),[145]Main!$C$11,"")</f>
        <v/>
      </c>
      <c r="K147" s="57">
        <f>IFERROR(J147/F147-1,"")</f>
        <v/>
      </c>
      <c r="L147" s="12">
        <f>[145]Main!$C$15&amp;" ("&amp;[145]Main!$C$14&amp;")"</f>
        <v/>
      </c>
      <c r="M147" s="58" t="n">
        <v>46336</v>
      </c>
      <c r="N147" s="17" t="inlineStr">
        <is>
          <t>Earnings Nov 10 (est.)</t>
        </is>
      </c>
    </row>
    <row r="148">
      <c r="B148" s="3" t="inlineStr">
        <is>
          <t>MESO</t>
        </is>
      </c>
      <c r="C148" t="inlineStr">
        <is>
          <t>Mesoblast Limited</t>
        </is>
      </c>
      <c r="D148" t="inlineStr">
        <is>
          <t>Biotechnology</t>
        </is>
      </c>
      <c r="E148" s="6" t="inlineStr">
        <is>
          <t>NASDAQ</t>
        </is>
      </c>
      <c r="F148" s="1" t="n">
        <v>12.41</v>
      </c>
      <c r="G148" s="8">
        <f>F148*[146]Main!$C$4</f>
        <v/>
      </c>
      <c r="H148" s="10">
        <f>G148-[146]Main!$C$7+[146]Main!$C$8</f>
        <v/>
      </c>
      <c r="J148" s="1">
        <f>IF(ISNUMBER([146]Main!$C$11),[146]Main!$C$11,"")</f>
        <v/>
      </c>
      <c r="K148" s="57">
        <f>IFERROR(J148/F148-1,"")</f>
        <v/>
      </c>
      <c r="L148" s="12">
        <f>[146]Main!$C$15&amp;" ("&amp;[146]Main!$C$14&amp;")"</f>
        <v/>
      </c>
      <c r="M148" s="58" t="n"/>
      <c r="N148" s="17" t="n"/>
    </row>
    <row r="149">
      <c r="B149" s="3" t="inlineStr">
        <is>
          <t>XNCR</t>
        </is>
      </c>
      <c r="C149" t="inlineStr">
        <is>
          <t>Xencor, Inc.</t>
        </is>
      </c>
      <c r="D149" t="inlineStr">
        <is>
          <t>Biotechnology</t>
        </is>
      </c>
      <c r="E149" s="6" t="inlineStr">
        <is>
          <t>NASDAQ</t>
        </is>
      </c>
      <c r="F149" s="1" t="n">
        <v>24.94</v>
      </c>
      <c r="G149" s="8">
        <f>F149*[147]Main!$C$4</f>
        <v/>
      </c>
      <c r="H149" s="10">
        <f>G149-[147]Main!$C$7+[147]Main!$C$8</f>
        <v/>
      </c>
      <c r="J149" s="1">
        <f>IF(ISNUMBER([147]Main!$C$11),[147]Main!$C$11,"")</f>
        <v/>
      </c>
      <c r="K149" s="57">
        <f>IFERROR(J149/F149-1,"")</f>
        <v/>
      </c>
      <c r="L149" s="12">
        <f>[147]Main!$C$15&amp;" ("&amp;[147]Main!$C$14&amp;")"</f>
        <v/>
      </c>
      <c r="M149" s="58" t="n">
        <v>46330</v>
      </c>
      <c r="N149" s="17" t="inlineStr">
        <is>
          <t>Earnings Nov 4 (est.)</t>
        </is>
      </c>
    </row>
    <row r="150">
      <c r="B150" s="3" t="inlineStr">
        <is>
          <t>TRVI</t>
        </is>
      </c>
      <c r="C150" t="inlineStr">
        <is>
          <t>Trevi Therapeutics, Inc.</t>
        </is>
      </c>
      <c r="D150" t="inlineStr">
        <is>
          <t>Pharmaceuticals</t>
        </is>
      </c>
      <c r="E150" s="6" t="inlineStr">
        <is>
          <t>NASDAQ</t>
        </is>
      </c>
      <c r="F150" s="1" t="n">
        <v>12.83</v>
      </c>
      <c r="G150" s="8">
        <f>F150*[148]Main!$C$4</f>
        <v/>
      </c>
      <c r="H150" s="10">
        <f>G150-[148]Main!$C$7+[148]Main!$C$8</f>
        <v/>
      </c>
      <c r="J150" s="1">
        <f>IF(ISNUMBER([148]Main!$C$11),[148]Main!$C$11,"")</f>
        <v/>
      </c>
      <c r="K150" s="57">
        <f>IFERROR(J150/F150-1,"")</f>
        <v/>
      </c>
      <c r="L150" s="12">
        <f>[148]Main!$C$15&amp;" ("&amp;[148]Main!$C$14&amp;")"</f>
        <v/>
      </c>
      <c r="M150" s="58" t="n">
        <v>46338</v>
      </c>
      <c r="N150" s="17" t="inlineStr">
        <is>
          <t>Earnings Nov 12 (est.) · Readout ~2027-08: Idiopathic pulmonary fibrosis, Phase 3</t>
        </is>
      </c>
    </row>
    <row r="151">
      <c r="B151" s="3" t="inlineStr">
        <is>
          <t>URGN</t>
        </is>
      </c>
      <c r="C151" t="inlineStr">
        <is>
          <t>UroGen Pharma Ltd.</t>
        </is>
      </c>
      <c r="D151" t="inlineStr">
        <is>
          <t>Biotechnology</t>
        </is>
      </c>
      <c r="E151" s="6" t="inlineStr">
        <is>
          <t>NASDAQ</t>
        </is>
      </c>
      <c r="F151" s="1" t="n">
        <v>35.01</v>
      </c>
      <c r="G151" s="8">
        <f>F151*[149]Main!$C$4</f>
        <v/>
      </c>
      <c r="H151" s="10">
        <f>G151-[149]Main!$C$7+[149]Main!$C$8</f>
        <v/>
      </c>
      <c r="J151" s="1">
        <f>IF(ISNUMBER([149]Main!$C$11),[149]Main!$C$11,"")</f>
        <v/>
      </c>
      <c r="K151" s="57">
        <f>IFERROR(J151/F151-1,"")</f>
        <v/>
      </c>
      <c r="L151" s="12">
        <f>[149]Main!$C$15&amp;" ("&amp;[149]Main!$C$14&amp;")"</f>
        <v/>
      </c>
      <c r="M151" s="58" t="n">
        <v>46331</v>
      </c>
      <c r="N151" s="17" t="inlineStr">
        <is>
          <t>Earnings Nov 5 (est.)</t>
        </is>
      </c>
    </row>
    <row r="152">
      <c r="B152" s="3" t="inlineStr">
        <is>
          <t>VIR</t>
        </is>
      </c>
      <c r="C152" t="inlineStr">
        <is>
          <t>Vir Biotechnology, Inc.</t>
        </is>
      </c>
      <c r="D152" t="inlineStr">
        <is>
          <t>Biotechnology</t>
        </is>
      </c>
      <c r="E152" s="6" t="inlineStr">
        <is>
          <t>NASDAQ</t>
        </is>
      </c>
      <c r="F152" s="1" t="n">
        <v>10.74</v>
      </c>
      <c r="G152" s="8">
        <f>F152*[150]Main!$C$4</f>
        <v/>
      </c>
      <c r="H152" s="10">
        <f>G152-[150]Main!$C$7+[150]Main!$C$8</f>
        <v/>
      </c>
      <c r="J152" s="1">
        <f>IF(ISNUMBER([150]Main!$C$11),[150]Main!$C$11,"")</f>
        <v/>
      </c>
      <c r="K152" s="57">
        <f>IFERROR(J152/F152-1,"")</f>
        <v/>
      </c>
      <c r="L152" s="12">
        <f>[150]Main!$C$15&amp;" ("&amp;[150]Main!$C$14&amp;")"</f>
        <v/>
      </c>
      <c r="M152" s="58" t="n">
        <v>46330</v>
      </c>
      <c r="N152" s="17" t="inlineStr">
        <is>
          <t>Earnings Nov 4 (est.)</t>
        </is>
      </c>
    </row>
    <row r="153">
      <c r="B153" s="3" t="inlineStr">
        <is>
          <t>BRVE</t>
        </is>
      </c>
      <c r="C153" t="inlineStr">
        <is>
          <t>Braveheart Bio, Inc.</t>
        </is>
      </c>
      <c r="D153" t="inlineStr">
        <is>
          <t>Pharmaceuticals</t>
        </is>
      </c>
      <c r="E153" s="6" t="inlineStr">
        <is>
          <t>NASDAQ</t>
        </is>
      </c>
      <c r="F153" s="1" t="n">
        <v>20.27</v>
      </c>
      <c r="G153" s="8">
        <f>F153*[151]Main!$C$4</f>
        <v/>
      </c>
      <c r="H153" s="10">
        <f>G153-[151]Main!$C$7+[151]Main!$C$8</f>
        <v/>
      </c>
      <c r="J153" s="1">
        <f>IF(ISNUMBER([151]Main!$C$11),[151]Main!$C$11,"")</f>
        <v/>
      </c>
      <c r="K153" s="57">
        <f>IFERROR(J153/F153-1,"")</f>
        <v/>
      </c>
      <c r="L153" s="12">
        <f>[151]Main!$C$15&amp;" ("&amp;[151]Main!$C$14&amp;")"</f>
        <v/>
      </c>
      <c r="M153" s="58" t="n">
        <v>46364</v>
      </c>
      <c r="N153" s="17" t="inlineStr">
        <is>
          <t>Earnings Dec 8 (est.) · Readout ~2028-10: Cardiomyopathy, Phase 3</t>
        </is>
      </c>
    </row>
    <row r="154">
      <c r="B154" s="3" t="inlineStr">
        <is>
          <t>ANIP</t>
        </is>
      </c>
      <c r="C154" t="inlineStr">
        <is>
          <t>ANI Pharmaceuticals, Inc.</t>
        </is>
      </c>
      <c r="D154" t="inlineStr">
        <is>
          <t>Pharmaceuticals</t>
        </is>
      </c>
      <c r="E154" s="6" t="inlineStr">
        <is>
          <t>NASDAQ</t>
        </is>
      </c>
      <c r="F154" s="1" t="n">
        <v>72.67</v>
      </c>
      <c r="G154" s="8">
        <f>F154*[152]Main!$C$4</f>
        <v/>
      </c>
      <c r="H154" s="10">
        <f>G154-[152]Main!$C$7+[152]Main!$C$8</f>
        <v/>
      </c>
      <c r="J154" s="1">
        <f>IF(ISNUMBER([152]Main!$C$11),[152]Main!$C$11,"")</f>
        <v/>
      </c>
      <c r="K154" s="57">
        <f>IFERROR(J154/F154-1,"")</f>
        <v/>
      </c>
      <c r="L154" s="12">
        <f>[152]Main!$C$15&amp;" ("&amp;[152]Main!$C$14&amp;")"</f>
        <v/>
      </c>
      <c r="M154" s="58" t="n">
        <v>46332</v>
      </c>
      <c r="N154" s="17" t="inlineStr">
        <is>
          <t>Earnings Nov 6 (est.)</t>
        </is>
      </c>
    </row>
    <row r="155">
      <c r="B155" s="3" t="inlineStr">
        <is>
          <t>BHVN</t>
        </is>
      </c>
      <c r="C155" t="inlineStr">
        <is>
          <t>Biohaven Ltd.</t>
        </is>
      </c>
      <c r="D155" t="inlineStr">
        <is>
          <t>Biotechnology</t>
        </is>
      </c>
      <c r="E155" s="6" t="inlineStr">
        <is>
          <t>NYSE</t>
        </is>
      </c>
      <c r="F155" s="1" t="n">
        <v>11.82</v>
      </c>
      <c r="G155" s="8">
        <f>F155*[153]Main!$C$4</f>
        <v/>
      </c>
      <c r="H155" s="10">
        <f>G155-[153]Main!$C$7+[153]Main!$C$8</f>
        <v/>
      </c>
      <c r="J155" s="1">
        <f>IF(ISNUMBER([153]Main!$C$11),[153]Main!$C$11,"")</f>
        <v/>
      </c>
      <c r="K155" s="57">
        <f>IFERROR(J155/F155-1,"")</f>
        <v/>
      </c>
      <c r="L155" s="12">
        <f>[153]Main!$C$15&amp;" ("&amp;[153]Main!$C$14&amp;")"</f>
        <v/>
      </c>
      <c r="M155" s="58" t="n">
        <v>46335</v>
      </c>
      <c r="N155" s="17" t="inlineStr">
        <is>
          <t>Earnings Nov 9 (est.) · Readout ~2026-10: Epilepsy, Phase 2/3</t>
        </is>
      </c>
    </row>
    <row r="156">
      <c r="B156" s="3" t="inlineStr">
        <is>
          <t>ZBIO</t>
        </is>
      </c>
      <c r="C156" t="inlineStr">
        <is>
          <t>Zenas BioPharma, Inc.</t>
        </is>
      </c>
      <c r="D156" t="inlineStr">
        <is>
          <t>Biotechnology</t>
        </is>
      </c>
      <c r="E156" s="6" t="inlineStr">
        <is>
          <t>NASDAQ</t>
        </is>
      </c>
      <c r="F156" s="1" t="n">
        <v>28.18</v>
      </c>
      <c r="G156" s="8">
        <f>F156*[154]Main!$C$4</f>
        <v/>
      </c>
      <c r="H156" s="10">
        <f>G156-[154]Main!$C$7+[154]Main!$C$8</f>
        <v/>
      </c>
      <c r="J156" s="1">
        <f>IF(ISNUMBER([154]Main!$C$11),[154]Main!$C$11,"")</f>
        <v/>
      </c>
      <c r="K156" s="57">
        <f>IFERROR(J156/F156-1,"")</f>
        <v/>
      </c>
      <c r="L156" s="12">
        <f>[154]Main!$C$15&amp;" ("&amp;[154]Main!$C$14&amp;")"</f>
        <v/>
      </c>
      <c r="M156" s="58" t="n"/>
      <c r="N156" s="17" t="inlineStr">
        <is>
          <t>Readout ~2030-06: Multiple sclerosis, Phase 3 · PDUFA 2027-05-27: Rare autoimmune</t>
        </is>
      </c>
    </row>
    <row r="157">
      <c r="B157" s="3" t="inlineStr">
        <is>
          <t>NTLA</t>
        </is>
      </c>
      <c r="C157" t="inlineStr">
        <is>
          <t>INTELLIA THERAPEUTICS, INC.</t>
        </is>
      </c>
      <c r="D157" t="inlineStr">
        <is>
          <t>Biotechnology</t>
        </is>
      </c>
      <c r="E157" s="6" t="inlineStr">
        <is>
          <t>NASDAQ</t>
        </is>
      </c>
      <c r="F157" s="1" t="n">
        <v>11.84</v>
      </c>
      <c r="G157" s="8">
        <f>F157*[155]Main!$C$4</f>
        <v/>
      </c>
      <c r="H157" s="10">
        <f>G157-[155]Main!$C$7+[155]Main!$C$8</f>
        <v/>
      </c>
      <c r="J157" s="1">
        <f>IF(ISNUMBER([155]Main!$C$11),[155]Main!$C$11,"")</f>
        <v/>
      </c>
      <c r="K157" s="57">
        <f>IFERROR(J157/F157-1,"")</f>
        <v/>
      </c>
      <c r="L157" s="12">
        <f>[155]Main!$C$15&amp;" ("&amp;[155]Main!$C$14&amp;")"</f>
        <v/>
      </c>
      <c r="M157" s="58" t="n">
        <v>46331</v>
      </c>
      <c r="N157" s="17" t="inlineStr">
        <is>
          <t>Earnings Nov 5 (est.)</t>
        </is>
      </c>
    </row>
    <row r="158">
      <c r="B158" s="3" t="inlineStr">
        <is>
          <t>PAHC</t>
        </is>
      </c>
      <c r="C158" t="inlineStr">
        <is>
          <t>Phibro Animal Health Corp</t>
        </is>
      </c>
      <c r="D158" t="inlineStr">
        <is>
          <t>Pharmaceuticals</t>
        </is>
      </c>
      <c r="E158" s="6" t="inlineStr">
        <is>
          <t>NASDAQ</t>
        </is>
      </c>
      <c r="F158" s="1" t="n">
        <v>38.8</v>
      </c>
      <c r="G158" s="8">
        <f>F158*[156]Main!$C$4</f>
        <v/>
      </c>
      <c r="H158" s="10">
        <f>G158-[156]Main!$C$7+[156]Main!$C$8</f>
        <v/>
      </c>
      <c r="J158" s="1">
        <f>IF(ISNUMBER([156]Main!$C$11),[156]Main!$C$11,"")</f>
        <v/>
      </c>
      <c r="K158" s="57">
        <f>IFERROR(J158/F158-1,"")</f>
        <v/>
      </c>
      <c r="L158" s="12">
        <f>[156]Main!$C$15&amp;" ("&amp;[156]Main!$C$14&amp;")"</f>
        <v/>
      </c>
      <c r="M158" s="58" t="n">
        <v>46330</v>
      </c>
      <c r="N158" s="17" t="inlineStr">
        <is>
          <t>Earnings Nov 4 (est.)</t>
        </is>
      </c>
    </row>
    <row r="159">
      <c r="B159" s="3" t="inlineStr">
        <is>
          <t>ALVO</t>
        </is>
      </c>
      <c r="C159" t="inlineStr">
        <is>
          <t>Alvotech SA</t>
        </is>
      </c>
      <c r="D159" t="inlineStr">
        <is>
          <t>Biotechnology</t>
        </is>
      </c>
      <c r="E159" s="6" t="inlineStr">
        <is>
          <t>NASDAQ</t>
        </is>
      </c>
      <c r="F159" s="1" t="n">
        <v>5.03</v>
      </c>
      <c r="G159" s="8">
        <f>F159*[157]Main!$C$4</f>
        <v/>
      </c>
      <c r="H159" s="10">
        <f>G159-[157]Main!$C$7+[157]Main!$C$8</f>
        <v/>
      </c>
      <c r="J159" s="1">
        <f>IF(ISNUMBER([157]Main!$C$11),[157]Main!$C$11,"")</f>
        <v/>
      </c>
      <c r="K159" s="57">
        <f>IFERROR(J159/F159-1,"")</f>
        <v/>
      </c>
      <c r="L159" s="12">
        <f>[157]Main!$C$15&amp;" ("&amp;[157]Main!$C$14&amp;")"</f>
        <v/>
      </c>
      <c r="M159" s="58" t="n">
        <v>46337</v>
      </c>
      <c r="N159" s="17" t="inlineStr">
        <is>
          <t>Earnings Nov 11 (est.)</t>
        </is>
      </c>
    </row>
    <row r="160">
      <c r="B160" s="3" t="inlineStr">
        <is>
          <t>STOK</t>
        </is>
      </c>
      <c r="C160" t="inlineStr">
        <is>
          <t>Stoke Therapeutics, Inc.</t>
        </is>
      </c>
      <c r="D160" t="inlineStr">
        <is>
          <t>Biotechnology</t>
        </is>
      </c>
      <c r="E160" s="6" t="inlineStr">
        <is>
          <t>NASDAQ</t>
        </is>
      </c>
      <c r="F160" s="1" t="n">
        <v>26.61</v>
      </c>
      <c r="G160" s="8">
        <f>F160*[158]Main!$C$4</f>
        <v/>
      </c>
      <c r="H160" s="10">
        <f>G160-[158]Main!$C$7+[158]Main!$C$8</f>
        <v/>
      </c>
      <c r="J160" s="1">
        <f>IF(ISNUMBER([158]Main!$C$11),[158]Main!$C$11,"")</f>
        <v/>
      </c>
      <c r="K160" s="57">
        <f>IFERROR(J160/F160-1,"")</f>
        <v/>
      </c>
      <c r="L160" s="12">
        <f>[158]Main!$C$15&amp;" ("&amp;[158]Main!$C$14&amp;")"</f>
        <v/>
      </c>
      <c r="M160" s="58" t="n">
        <v>46329</v>
      </c>
      <c r="N160" s="17" t="inlineStr">
        <is>
          <t>Earnings Nov 3 (est.) · Readout ~2027-03: Rare epilepsy, Phase 3</t>
        </is>
      </c>
    </row>
    <row r="161">
      <c r="B161" s="3" t="inlineStr">
        <is>
          <t>NUVB</t>
        </is>
      </c>
      <c r="C161" t="inlineStr">
        <is>
          <t>Nuvation Bio Inc.</t>
        </is>
      </c>
      <c r="D161" t="inlineStr">
        <is>
          <t>Pharmaceuticals</t>
        </is>
      </c>
      <c r="E161" s="6" t="inlineStr">
        <is>
          <t>NYSE</t>
        </is>
      </c>
      <c r="F161" s="1" t="n">
        <v>4.765</v>
      </c>
      <c r="G161" s="8">
        <f>F161*[159]Main!$C$4</f>
        <v/>
      </c>
      <c r="H161" s="10">
        <f>G161-[159]Main!$C$7+[159]Main!$C$8</f>
        <v/>
      </c>
      <c r="J161" s="1">
        <f>IF(ISNUMBER([159]Main!$C$11),[159]Main!$C$11,"")</f>
        <v/>
      </c>
      <c r="K161" s="57">
        <f>IFERROR(J161/F161-1,"")</f>
        <v/>
      </c>
      <c r="L161" s="12">
        <f>[159]Main!$C$15&amp;" ("&amp;[159]Main!$C$14&amp;")"</f>
        <v/>
      </c>
      <c r="M161" s="58" t="n">
        <v>46328</v>
      </c>
      <c r="N161" s="17" t="inlineStr">
        <is>
          <t>Earnings Nov 2 (est.)</t>
        </is>
      </c>
    </row>
    <row r="162">
      <c r="B162" s="3" t="inlineStr">
        <is>
          <t>GENB</t>
        </is>
      </c>
      <c r="C162" t="inlineStr">
        <is>
          <t>Generate Biomedicines Inc</t>
        </is>
      </c>
      <c r="D162" t="inlineStr">
        <is>
          <t>Biotechnology</t>
        </is>
      </c>
      <c r="E162" s="6" t="inlineStr">
        <is>
          <t>NASDAQ</t>
        </is>
      </c>
      <c r="F162" s="1" t="n">
        <v>12.9</v>
      </c>
      <c r="G162" s="8">
        <f>F162*[160]Main!$C$4</f>
        <v/>
      </c>
      <c r="H162" s="10">
        <f>G162-[160]Main!$C$7+[160]Main!$C$8</f>
        <v/>
      </c>
      <c r="J162" s="1">
        <f>IF(ISNUMBER([160]Main!$C$11),[160]Main!$C$11,"")</f>
        <v/>
      </c>
      <c r="K162" s="57">
        <f>IFERROR(J162/F162-1,"")</f>
        <v/>
      </c>
      <c r="L162" s="12">
        <f>[160]Main!$C$15&amp;" ("&amp;[160]Main!$C$14&amp;")"</f>
        <v/>
      </c>
      <c r="M162" s="58" t="n">
        <v>46331</v>
      </c>
      <c r="N162" s="17" t="inlineStr">
        <is>
          <t>Earnings Nov 5 (est.) · Readout ~2027-05: Asthma / COPD, Phase 3</t>
        </is>
      </c>
    </row>
    <row r="163">
      <c r="B163" s="3" t="inlineStr">
        <is>
          <t>MAZE</t>
        </is>
      </c>
      <c r="C163" t="inlineStr">
        <is>
          <t>Maze Therapeutics, Inc.</t>
        </is>
      </c>
      <c r="D163" t="inlineStr">
        <is>
          <t>Pharmaceuticals</t>
        </is>
      </c>
      <c r="E163" s="6" t="inlineStr">
        <is>
          <t>NASDAQ</t>
        </is>
      </c>
      <c r="F163" s="1" t="n">
        <v>32.45</v>
      </c>
      <c r="G163" s="8">
        <f>F163*[161]Main!$C$4</f>
        <v/>
      </c>
      <c r="H163" s="10">
        <f>G163-[161]Main!$C$7+[161]Main!$C$8</f>
        <v/>
      </c>
      <c r="J163" s="1">
        <f>IF(ISNUMBER([161]Main!$C$11),[161]Main!$C$11,"")</f>
        <v/>
      </c>
      <c r="K163" s="57">
        <f>IFERROR(J163/F163-1,"")</f>
        <v/>
      </c>
      <c r="L163" s="12">
        <f>[161]Main!$C$15&amp;" ("&amp;[161]Main!$C$14&amp;")"</f>
        <v/>
      </c>
      <c r="M163" s="58" t="n">
        <v>46331</v>
      </c>
      <c r="N163" s="17" t="inlineStr">
        <is>
          <t>Earnings Nov 5 (est.) · Readout ~2027-12: Rare metabolic / lysosomal, Phase 2</t>
        </is>
      </c>
    </row>
    <row r="164">
      <c r="B164" s="3" t="inlineStr">
        <is>
          <t>IMCR</t>
        </is>
      </c>
      <c r="C164" t="inlineStr">
        <is>
          <t>Immunocore Holdings PLC</t>
        </is>
      </c>
      <c r="D164" t="inlineStr">
        <is>
          <t>Biotechnology</t>
        </is>
      </c>
      <c r="E164" s="6" t="inlineStr">
        <is>
          <t>NASDAQ</t>
        </is>
      </c>
      <c r="F164" s="1" t="n">
        <v>32.6</v>
      </c>
      <c r="G164" s="8">
        <f>F164*[162]Main!$C$4</f>
        <v/>
      </c>
      <c r="H164" s="10">
        <f>G164-[162]Main!$C$7+[162]Main!$C$8</f>
        <v/>
      </c>
      <c r="J164" s="1">
        <f>IF(ISNUMBER([162]Main!$C$11),[162]Main!$C$11,"")</f>
        <v/>
      </c>
      <c r="K164" s="57">
        <f>IFERROR(J164/F164-1,"")</f>
        <v/>
      </c>
      <c r="L164" s="12">
        <f>[162]Main!$C$15&amp;" ("&amp;[162]Main!$C$14&amp;")"</f>
        <v/>
      </c>
      <c r="M164" s="58" t="n">
        <v>46331</v>
      </c>
      <c r="N164" s="17" t="inlineStr">
        <is>
          <t>Earnings Nov 5 (est.)</t>
        </is>
      </c>
    </row>
    <row r="165">
      <c r="B165" s="3" t="inlineStr">
        <is>
          <t>OCUL</t>
        </is>
      </c>
      <c r="C165" t="inlineStr">
        <is>
          <t>Ocular Therapeutix, Inc.</t>
        </is>
      </c>
      <c r="D165" t="inlineStr">
        <is>
          <t>Pharmaceuticals</t>
        </is>
      </c>
      <c r="E165" s="6" t="inlineStr">
        <is>
          <t>NASDAQ</t>
        </is>
      </c>
      <c r="F165" s="1" t="n">
        <v>6.65</v>
      </c>
      <c r="G165" s="8">
        <f>F165*[163]Main!$C$4</f>
        <v/>
      </c>
      <c r="H165" s="10">
        <f>G165-[163]Main!$C$7+[163]Main!$C$8</f>
        <v/>
      </c>
      <c r="J165" s="1">
        <f>IF(ISNUMBER([163]Main!$C$11),[163]Main!$C$11,"")</f>
        <v/>
      </c>
      <c r="K165" s="57">
        <f>IFERROR(J165/F165-1,"")</f>
        <v/>
      </c>
      <c r="L165" s="12">
        <f>[163]Main!$C$15&amp;" ("&amp;[163]Main!$C$14&amp;")"</f>
        <v/>
      </c>
      <c r="M165" s="58" t="n">
        <v>46329</v>
      </c>
      <c r="N165" s="17" t="inlineStr">
        <is>
          <t>Earnings Nov 3 (est.)</t>
        </is>
      </c>
    </row>
    <row r="166">
      <c r="B166" s="3" t="inlineStr">
        <is>
          <t>GPCR</t>
        </is>
      </c>
      <c r="C166" t="inlineStr">
        <is>
          <t>Structure Therapeutics Inc.</t>
        </is>
      </c>
      <c r="D166" t="inlineStr">
        <is>
          <t>Pharmaceuticals</t>
        </is>
      </c>
      <c r="E166" s="6" t="inlineStr">
        <is>
          <t>NASDAQ</t>
        </is>
      </c>
      <c r="F166" s="1" t="n">
        <v>22.88</v>
      </c>
      <c r="G166" s="8">
        <f>F166*[164]Main!$C$4</f>
        <v/>
      </c>
      <c r="H166" s="10">
        <f>G166-[164]Main!$C$7+[164]Main!$C$8</f>
        <v/>
      </c>
      <c r="J166" s="1">
        <f>IF(ISNUMBER([164]Main!$C$11),[164]Main!$C$11,"")</f>
        <v/>
      </c>
      <c r="K166" s="57">
        <f>IFERROR(J166/F166-1,"")</f>
        <v/>
      </c>
      <c r="L166" s="12">
        <f>[164]Main!$C$15&amp;" ("&amp;[164]Main!$C$14&amp;")"</f>
        <v/>
      </c>
      <c r="M166" s="58" t="n">
        <v>46331</v>
      </c>
      <c r="N166" s="17" t="inlineStr">
        <is>
          <t>Earnings Nov 5 (est.) · Readout ~2027-03: Obesity, Phase 3</t>
        </is>
      </c>
    </row>
    <row r="167">
      <c r="B167" s="3" t="inlineStr">
        <is>
          <t>INVA</t>
        </is>
      </c>
      <c r="C167" t="inlineStr">
        <is>
          <t>Innoviva, Inc.</t>
        </is>
      </c>
      <c r="D167" t="inlineStr">
        <is>
          <t>Pharmaceuticals</t>
        </is>
      </c>
      <c r="E167" s="6" t="inlineStr">
        <is>
          <t>NASDAQ</t>
        </is>
      </c>
      <c r="F167" s="1" t="n">
        <v>21.28</v>
      </c>
      <c r="G167" s="8">
        <f>F167*[165]Main!$C$4</f>
        <v/>
      </c>
      <c r="H167" s="10">
        <f>G167-[165]Main!$C$7+[165]Main!$C$8</f>
        <v/>
      </c>
      <c r="J167" s="1">
        <f>IF(ISNUMBER([165]Main!$C$11),[165]Main!$C$11,"")</f>
        <v/>
      </c>
      <c r="K167" s="57">
        <f>IFERROR(J167/F167-1,"")</f>
        <v/>
      </c>
      <c r="L167" s="12">
        <f>[165]Main!$C$15&amp;" ("&amp;[165]Main!$C$14&amp;")"</f>
        <v/>
      </c>
      <c r="M167" s="58" t="n">
        <v>46330</v>
      </c>
      <c r="N167" s="17" t="inlineStr">
        <is>
          <t>Earnings Nov 4 (est.)</t>
        </is>
      </c>
    </row>
    <row r="168">
      <c r="B168" s="3" t="inlineStr">
        <is>
          <t>CMPS</t>
        </is>
      </c>
      <c r="C168" t="inlineStr">
        <is>
          <t>Compass Pathways PLC</t>
        </is>
      </c>
      <c r="D168" t="inlineStr">
        <is>
          <t>Biotechnology</t>
        </is>
      </c>
      <c r="E168" s="6" t="inlineStr">
        <is>
          <t>NASDAQ</t>
        </is>
      </c>
      <c r="F168" s="1" t="n">
        <v>11.9</v>
      </c>
      <c r="G168" s="8">
        <f>F168*[166]Main!$C$4</f>
        <v/>
      </c>
      <c r="H168" s="10">
        <f>G168-[166]Main!$C$7+[166]Main!$C$8</f>
        <v/>
      </c>
      <c r="J168" s="1">
        <f>IF(ISNUMBER([166]Main!$C$11),[166]Main!$C$11,"")</f>
        <v/>
      </c>
      <c r="K168" s="57">
        <f>IFERROR(J168/F168-1,"")</f>
        <v/>
      </c>
      <c r="L168" s="12">
        <f>[166]Main!$C$15&amp;" ("&amp;[166]Main!$C$14&amp;")"</f>
        <v/>
      </c>
      <c r="M168" s="58" t="n">
        <v>46329</v>
      </c>
      <c r="N168" s="17" t="inlineStr">
        <is>
          <t>Earnings Nov 3 (est.) · Readout ~2028-11: Anxiety / PTSD / addiction, Phase 2/3</t>
        </is>
      </c>
    </row>
    <row r="169">
      <c r="B169" s="3" t="inlineStr">
        <is>
          <t>KLRA</t>
        </is>
      </c>
      <c r="C169" t="inlineStr">
        <is>
          <t>Kailera Therapeutics Inc</t>
        </is>
      </c>
      <c r="D169" t="inlineStr">
        <is>
          <t>Biotechnology</t>
        </is>
      </c>
      <c r="E169" s="6" t="inlineStr">
        <is>
          <t>NASDAQ</t>
        </is>
      </c>
      <c r="F169" s="1" t="n">
        <v>12.89</v>
      </c>
      <c r="G169" s="8">
        <f>F169*[167]Main!$C$4</f>
        <v/>
      </c>
      <c r="H169" s="10">
        <f>G169-[167]Main!$C$7+[167]Main!$C$8</f>
        <v/>
      </c>
      <c r="J169" s="1">
        <f>IF(ISNUMBER([167]Main!$C$11),[167]Main!$C$11,"")</f>
        <v/>
      </c>
      <c r="K169" s="57">
        <f>IFERROR(J169/F169-1,"")</f>
        <v/>
      </c>
      <c r="L169" s="12">
        <f>[167]Main!$C$15&amp;" ("&amp;[167]Main!$C$14&amp;")"</f>
        <v/>
      </c>
      <c r="M169" s="58" t="n">
        <v>46337</v>
      </c>
      <c r="N169" s="17" t="inlineStr">
        <is>
          <t>Earnings Nov 11 (est.) · Readout ~2027-05: Obesity, Phase 3</t>
        </is>
      </c>
    </row>
    <row r="170">
      <c r="B170" s="3" t="inlineStr">
        <is>
          <t>PCRX</t>
        </is>
      </c>
      <c r="C170" t="inlineStr">
        <is>
          <t>Pacira BioSciences, Inc.</t>
        </is>
      </c>
      <c r="D170" t="inlineStr">
        <is>
          <t>Pharmaceuticals</t>
        </is>
      </c>
      <c r="E170" s="6" t="inlineStr">
        <is>
          <t>NASDAQ</t>
        </is>
      </c>
      <c r="F170" s="1" t="n">
        <v>36.38</v>
      </c>
      <c r="G170" s="8">
        <f>F170*[168]Main!$C$4</f>
        <v/>
      </c>
      <c r="H170" s="10">
        <f>G170-[168]Main!$C$7+[168]Main!$C$8</f>
        <v/>
      </c>
      <c r="J170" s="1">
        <f>IF(ISNUMBER([168]Main!$C$11),[168]Main!$C$11,"")</f>
        <v/>
      </c>
      <c r="K170" s="57">
        <f>IFERROR(J170/F170-1,"")</f>
        <v/>
      </c>
      <c r="L170" s="12">
        <f>[168]Main!$C$15&amp;" ("&amp;[168]Main!$C$14&amp;")"</f>
        <v/>
      </c>
      <c r="M170" s="58" t="n">
        <v>46331</v>
      </c>
      <c r="N170" s="17" t="inlineStr">
        <is>
          <t>Earnings Nov 5 (est.)</t>
        </is>
      </c>
    </row>
    <row r="171">
      <c r="B171" s="3" t="inlineStr">
        <is>
          <t>ETON</t>
        </is>
      </c>
      <c r="C171" t="inlineStr">
        <is>
          <t>Eton Pharmaceuticals Inc</t>
        </is>
      </c>
      <c r="D171" t="inlineStr">
        <is>
          <t>Pharmaceuticals</t>
        </is>
      </c>
      <c r="E171" s="6" t="inlineStr">
        <is>
          <t>NASDAQ</t>
        </is>
      </c>
      <c r="F171" s="1" t="n">
        <v>50.19</v>
      </c>
      <c r="G171" s="8">
        <f>F171*[169]Main!$C$4</f>
        <v/>
      </c>
      <c r="H171" s="10">
        <f>G171-[169]Main!$C$7+[169]Main!$C$8</f>
        <v/>
      </c>
      <c r="J171" s="1">
        <f>IF(ISNUMBER([169]Main!$C$11),[169]Main!$C$11,"")</f>
        <v/>
      </c>
      <c r="K171" s="57">
        <f>IFERROR(J171/F171-1,"")</f>
        <v/>
      </c>
      <c r="L171" s="12">
        <f>[169]Main!$C$15&amp;" ("&amp;[169]Main!$C$14&amp;")"</f>
        <v/>
      </c>
      <c r="M171" s="58" t="n">
        <v>46331</v>
      </c>
      <c r="N171" s="17" t="inlineStr">
        <is>
          <t>Earnings Nov 5 (est.)</t>
        </is>
      </c>
    </row>
    <row r="172">
      <c r="B172" s="3" t="inlineStr">
        <is>
          <t>RARE</t>
        </is>
      </c>
      <c r="C172" t="inlineStr">
        <is>
          <t>Ultragenyx Pharmaceutical Inc.</t>
        </is>
      </c>
      <c r="D172" t="inlineStr">
        <is>
          <t>Biotechnology</t>
        </is>
      </c>
      <c r="E172" s="6" t="inlineStr">
        <is>
          <t>NASDAQ</t>
        </is>
      </c>
      <c r="F172" s="1" t="n">
        <v>16.02</v>
      </c>
      <c r="G172" s="8">
        <f>F172*[170]Main!$C$4</f>
        <v/>
      </c>
      <c r="H172" s="10">
        <f>G172-[170]Main!$C$7+[170]Main!$C$8</f>
        <v/>
      </c>
      <c r="J172" s="1">
        <f>IF(ISNUMBER([170]Main!$C$11),[170]Main!$C$11,"")</f>
        <v/>
      </c>
      <c r="K172" s="57">
        <f>IFERROR(J172/F172-1,"")</f>
        <v/>
      </c>
      <c r="L172" s="12">
        <f>[170]Main!$C$15&amp;" ("&amp;[170]Main!$C$14&amp;")"</f>
        <v/>
      </c>
      <c r="M172" s="58" t="n">
        <v>46329</v>
      </c>
      <c r="N172" s="17" t="inlineStr">
        <is>
          <t>Earnings Nov 3 (est.)</t>
        </is>
      </c>
    </row>
    <row r="173">
      <c r="B173" s="3" t="inlineStr">
        <is>
          <t>ABSI</t>
        </is>
      </c>
      <c r="C173" t="inlineStr">
        <is>
          <t>Absci Corp</t>
        </is>
      </c>
      <c r="D173" t="inlineStr">
        <is>
          <t>Biotechnology</t>
        </is>
      </c>
      <c r="E173" s="6" t="inlineStr">
        <is>
          <t>NASDAQ</t>
        </is>
      </c>
      <c r="F173" s="1" t="n">
        <v>9.07</v>
      </c>
      <c r="G173" s="8">
        <f>F173*[171]Main!$C$4</f>
        <v/>
      </c>
      <c r="H173" s="10">
        <f>G173-[171]Main!$C$7+[171]Main!$C$8</f>
        <v/>
      </c>
      <c r="J173" s="1">
        <f>IF(ISNUMBER([171]Main!$C$11),[171]Main!$C$11,"")</f>
        <v/>
      </c>
      <c r="K173" s="57">
        <f>IFERROR(J173/F173-1,"")</f>
        <v/>
      </c>
      <c r="L173" s="12">
        <f>[171]Main!$C$15&amp;" ("&amp;[171]Main!$C$14&amp;")"</f>
        <v/>
      </c>
      <c r="M173" s="58" t="n">
        <v>46338</v>
      </c>
      <c r="N173" s="17" t="inlineStr">
        <is>
          <t>Earnings Nov 12 (before open) · Readout ~2028-07: Hidradenitis / alopecia / vitiligo, Phase 1/2</t>
        </is>
      </c>
    </row>
    <row r="174">
      <c r="B174" s="3" t="inlineStr">
        <is>
          <t>COAG</t>
        </is>
      </c>
      <c r="C174" t="inlineStr">
        <is>
          <t>Hemab Therapeutics Holdings Inc</t>
        </is>
      </c>
      <c r="D174" t="inlineStr">
        <is>
          <t>Biotechnology</t>
        </is>
      </c>
      <c r="E174" s="6" t="inlineStr">
        <is>
          <t>NASDAQ</t>
        </is>
      </c>
      <c r="F174" s="1" t="n">
        <v>34.17</v>
      </c>
      <c r="G174" s="8">
        <f>F174*[172]Main!$C$4</f>
        <v/>
      </c>
      <c r="H174" s="10">
        <f>G174-[172]Main!$C$7+[172]Main!$C$8</f>
        <v/>
      </c>
      <c r="J174" s="1">
        <f>IF(ISNUMBER([172]Main!$C$11),[172]Main!$C$11,"")</f>
        <v/>
      </c>
      <c r="K174" s="57">
        <f>IFERROR(J174/F174-1,"")</f>
        <v/>
      </c>
      <c r="L174" s="12">
        <f>[172]Main!$C$15&amp;" ("&amp;[172]Main!$C$14&amp;")"</f>
        <v/>
      </c>
      <c r="M174" s="58" t="n">
        <v>46336</v>
      </c>
      <c r="N174" s="17" t="inlineStr">
        <is>
          <t>Earnings Nov 10 (est.) · Readout ~2027-07: Hemophilia / bleeding, Phase 1/2</t>
        </is>
      </c>
    </row>
    <row r="175">
      <c r="B175" s="3" t="inlineStr">
        <is>
          <t>ANAB</t>
        </is>
      </c>
      <c r="C175" t="inlineStr">
        <is>
          <t>AnaptysBio, Inc.</t>
        </is>
      </c>
      <c r="D175" t="inlineStr">
        <is>
          <t>Biotechnology</t>
        </is>
      </c>
      <c r="E175" s="6" t="inlineStr">
        <is>
          <t>NASDAQ</t>
        </is>
      </c>
      <c r="F175" s="1" t="n">
        <v>45.43</v>
      </c>
      <c r="G175" s="8">
        <f>F175*[173]Main!$C$4</f>
        <v/>
      </c>
      <c r="H175" s="10">
        <f>G175-[173]Main!$C$7+[173]Main!$C$8</f>
        <v/>
      </c>
      <c r="J175" s="1">
        <f>[173]Main!$C$11</f>
        <v/>
      </c>
      <c r="K175" s="57">
        <f>IFERROR(J175/F175-1,"")</f>
        <v/>
      </c>
      <c r="L175" s="12">
        <f>"rNPV ("&amp;[173]Main!$C$14&amp;")"</f>
        <v/>
      </c>
      <c r="M175" s="58" t="n">
        <v>46368</v>
      </c>
      <c r="N175" s="59" t="inlineStr">
        <is>
          <t>PDUFA Dec 12: Quimilza (Vanda; ANAB royalty) · Earnings Nov 3 (est.)</t>
        </is>
      </c>
    </row>
    <row r="176">
      <c r="B176" s="3" t="inlineStr">
        <is>
          <t>QURE</t>
        </is>
      </c>
      <c r="C176" t="inlineStr">
        <is>
          <t>uniQure N.V.</t>
        </is>
      </c>
      <c r="D176" t="inlineStr">
        <is>
          <t>Biotechnology</t>
        </is>
      </c>
      <c r="E176" s="6" t="inlineStr">
        <is>
          <t>NASDAQ</t>
        </is>
      </c>
      <c r="F176" s="1" t="n">
        <v>22.715</v>
      </c>
      <c r="G176" s="8">
        <f>F176*[174]Main!$C$4</f>
        <v/>
      </c>
      <c r="H176" s="10">
        <f>G176-[174]Main!$C$7+[174]Main!$C$8</f>
        <v/>
      </c>
      <c r="J176" s="1">
        <f>IF(ISNUMBER([174]Main!$C$11),[174]Main!$C$11,"")</f>
        <v/>
      </c>
      <c r="K176" s="57">
        <f>IFERROR(J176/F176-1,"")</f>
        <v/>
      </c>
      <c r="L176" s="12">
        <f>[174]Main!$C$15&amp;" ("&amp;[174]Main!$C$14&amp;")"</f>
        <v/>
      </c>
      <c r="M176" s="58" t="n">
        <v>46335</v>
      </c>
      <c r="N176" s="17" t="inlineStr">
        <is>
          <t>Earnings Nov 9 (est.) · Readout ~2026-11-30: Epilepsy, Phase 1/2</t>
        </is>
      </c>
    </row>
    <row r="177">
      <c r="B177" s="3" t="inlineStr">
        <is>
          <t>RAPP</t>
        </is>
      </c>
      <c r="C177" t="inlineStr">
        <is>
          <t>Rapport Therapeutics, Inc.</t>
        </is>
      </c>
      <c r="D177" t="inlineStr">
        <is>
          <t>Pharmaceuticals</t>
        </is>
      </c>
      <c r="E177" s="6" t="inlineStr">
        <is>
          <t>NASDAQ</t>
        </is>
      </c>
      <c r="F177" s="1" t="n">
        <v>29.37</v>
      </c>
      <c r="G177" s="8">
        <f>F177*[175]Main!$C$4</f>
        <v/>
      </c>
      <c r="H177" s="10">
        <f>G177-[175]Main!$C$7+[175]Main!$C$8</f>
        <v/>
      </c>
      <c r="J177" s="1">
        <f>IF(ISNUMBER([175]Main!$C$11),[175]Main!$C$11,"")</f>
        <v/>
      </c>
      <c r="K177" s="57">
        <f>IFERROR(J177/F177-1,"")</f>
        <v/>
      </c>
      <c r="L177" s="12">
        <f>[175]Main!$C$15&amp;" ("&amp;[175]Main!$C$14&amp;")"</f>
        <v/>
      </c>
      <c r="M177" s="58" t="n">
        <v>46331</v>
      </c>
      <c r="N177" s="17" t="inlineStr">
        <is>
          <t>Earnings Nov 5 (est.) · Readout ~2028-02-03: Epilepsy, Phase 3</t>
        </is>
      </c>
    </row>
    <row r="178">
      <c r="B178" s="3" t="inlineStr">
        <is>
          <t>INBX</t>
        </is>
      </c>
      <c r="C178" t="inlineStr">
        <is>
          <t>Inhibrx Biosciences Inc</t>
        </is>
      </c>
      <c r="D178" t="inlineStr">
        <is>
          <t>Biotechnology</t>
        </is>
      </c>
      <c r="E178" s="6" t="inlineStr">
        <is>
          <t>NASDAQ</t>
        </is>
      </c>
      <c r="F178" s="1" t="n">
        <v>95.3</v>
      </c>
      <c r="G178" s="8">
        <f>F178*[176]Main!$C$4</f>
        <v/>
      </c>
      <c r="H178" s="10">
        <f>G178-[176]Main!$C$7+[176]Main!$C$8</f>
        <v/>
      </c>
      <c r="J178" s="1">
        <f>IF(ISNUMBER([176]Main!$C$11),[176]Main!$C$11,"")</f>
        <v/>
      </c>
      <c r="K178" s="57">
        <f>IFERROR(J178/F178-1,"")</f>
        <v/>
      </c>
      <c r="L178" s="12">
        <f>[176]Main!$C$15&amp;" ("&amp;[176]Main!$C$14&amp;")"</f>
        <v/>
      </c>
      <c r="M178" s="58" t="n">
        <v>46339</v>
      </c>
      <c r="N178" s="17" t="inlineStr">
        <is>
          <t>Earnings Nov 13 (est.) · Readout ~2028-12: Sarcoma / GIST, Phase 2</t>
        </is>
      </c>
    </row>
    <row r="179">
      <c r="B179" s="3" t="inlineStr">
        <is>
          <t>ORIC</t>
        </is>
      </c>
      <c r="C179" t="inlineStr">
        <is>
          <t>ORIC Pharmaceuticals, Inc.</t>
        </is>
      </c>
      <c r="D179" t="inlineStr">
        <is>
          <t>Biotechnology</t>
        </is>
      </c>
      <c r="E179" s="6" t="inlineStr">
        <is>
          <t>NASDAQ</t>
        </is>
      </c>
      <c r="F179" s="1" t="n">
        <v>13.78</v>
      </c>
      <c r="G179" s="8">
        <f>F179*[177]Main!$C$4</f>
        <v/>
      </c>
      <c r="H179" s="10">
        <f>G179-[177]Main!$C$7+[177]Main!$C$8</f>
        <v/>
      </c>
      <c r="J179" s="1">
        <f>IF(ISNUMBER([177]Main!$C$11),[177]Main!$C$11,"")</f>
        <v/>
      </c>
      <c r="K179" s="57">
        <f>IFERROR(J179/F179-1,"")</f>
        <v/>
      </c>
      <c r="L179" s="12">
        <f>[177]Main!$C$15&amp;" ("&amp;[177]Main!$C$14&amp;")"</f>
        <v/>
      </c>
      <c r="M179" s="58" t="n">
        <v>46338</v>
      </c>
      <c r="N179" s="17" t="inlineStr">
        <is>
          <t>Earnings Nov 12 (est.) · Readout ~2026-12: Lung cancer, Phase 1</t>
        </is>
      </c>
    </row>
    <row r="180">
      <c r="B180" s="3" t="inlineStr">
        <is>
          <t>TRAX</t>
        </is>
      </c>
      <c r="C180" t="inlineStr">
        <is>
          <t>First Tracks Biotherapeutics Inc</t>
        </is>
      </c>
      <c r="D180" t="inlineStr">
        <is>
          <t>Biotechnology</t>
        </is>
      </c>
      <c r="E180" s="6" t="inlineStr">
        <is>
          <t>NASDAQ</t>
        </is>
      </c>
      <c r="F180" s="1" t="n">
        <v>41.25</v>
      </c>
      <c r="G180" s="8">
        <f>F180*[178]Main!$C$4</f>
        <v/>
      </c>
      <c r="H180" s="10">
        <f>G180-[178]Main!$C$7+[178]Main!$C$8</f>
        <v/>
      </c>
      <c r="J180" s="1">
        <f>IF(ISNUMBER([178]Main!$C$11),[178]Main!$C$11,"")</f>
        <v/>
      </c>
      <c r="K180" s="57">
        <f>IFERROR(J180/F180-1,"")</f>
        <v/>
      </c>
      <c r="L180" s="12">
        <f>[178]Main!$C$15&amp;" ("&amp;[178]Main!$C$14&amp;")"</f>
        <v/>
      </c>
      <c r="M180" s="58" t="n">
        <v>46337</v>
      </c>
      <c r="N180" s="17" t="inlineStr">
        <is>
          <t>Earnings Nov 11 (est.)</t>
        </is>
      </c>
    </row>
    <row r="181">
      <c r="B181" s="3" t="inlineStr">
        <is>
          <t>NKTR</t>
        </is>
      </c>
      <c r="C181" t="inlineStr">
        <is>
          <t>Nektar Therapeutics</t>
        </is>
      </c>
      <c r="D181" t="inlineStr">
        <is>
          <t>Biotechnology</t>
        </is>
      </c>
      <c r="E181" s="6" t="inlineStr">
        <is>
          <t>NASDAQ</t>
        </is>
      </c>
      <c r="F181" s="1" t="n">
        <v>39.22</v>
      </c>
      <c r="G181" s="8">
        <f>F181*[179]Main!$C$4</f>
        <v/>
      </c>
      <c r="H181" s="10">
        <f>G181-[179]Main!$C$7+[179]Main!$C$8</f>
        <v/>
      </c>
      <c r="J181" s="1">
        <f>IF(ISNUMBER([179]Main!$C$11),[179]Main!$C$11,"")</f>
        <v/>
      </c>
      <c r="K181" s="57">
        <f>IFERROR(J181/F181-1,"")</f>
        <v/>
      </c>
      <c r="L181" s="12">
        <f>[179]Main!$C$15&amp;" ("&amp;[179]Main!$C$14&amp;")"</f>
        <v/>
      </c>
      <c r="M181" s="58" t="n">
        <v>46331</v>
      </c>
      <c r="N181" s="17" t="inlineStr">
        <is>
          <t>Earnings Nov 5 (est.)</t>
        </is>
      </c>
    </row>
    <row r="182">
      <c r="B182" s="3" t="inlineStr">
        <is>
          <t>KARD</t>
        </is>
      </c>
      <c r="C182" t="inlineStr">
        <is>
          <t>Kardigan Inc</t>
        </is>
      </c>
      <c r="D182" t="inlineStr">
        <is>
          <t>Pharmaceuticals</t>
        </is>
      </c>
      <c r="E182" s="6" t="inlineStr">
        <is>
          <t>NASDAQ</t>
        </is>
      </c>
      <c r="F182" s="1" t="n">
        <v>13.51</v>
      </c>
      <c r="G182" s="8">
        <f>F182*[180]Main!$C$4</f>
        <v/>
      </c>
      <c r="H182" s="10">
        <f>G182-[180]Main!$C$7+[180]Main!$C$8</f>
        <v/>
      </c>
      <c r="J182" s="1">
        <f>IF(ISNUMBER([180]Main!$C$11),[180]Main!$C$11,"")</f>
        <v/>
      </c>
      <c r="K182" s="57">
        <f>IFERROR(J182/F182-1,"")</f>
        <v/>
      </c>
      <c r="L182" s="12">
        <f>[180]Main!$C$15&amp;" ("&amp;[180]Main!$C$14&amp;")"</f>
        <v/>
      </c>
      <c r="M182" s="58" t="n">
        <v>46336</v>
      </c>
      <c r="N182" s="17" t="inlineStr">
        <is>
          <t>Earnings Nov 10 (est.) · Readout ~2026-12: Hypertension, Phase 2</t>
        </is>
      </c>
    </row>
    <row r="183">
      <c r="B183" s="3" t="inlineStr">
        <is>
          <t>LBRX</t>
        </is>
      </c>
      <c r="C183" t="inlineStr">
        <is>
          <t>LB Pharmaceuticals Inc</t>
        </is>
      </c>
      <c r="D183" t="inlineStr">
        <is>
          <t>Pharmaceuticals</t>
        </is>
      </c>
      <c r="E183" s="6" t="inlineStr">
        <is>
          <t>NASDAQ</t>
        </is>
      </c>
      <c r="F183" s="1" t="n">
        <v>41</v>
      </c>
      <c r="G183" s="8">
        <f>F183*[181]Main!$C$4</f>
        <v/>
      </c>
      <c r="H183" s="10">
        <f>G183-[181]Main!$C$7+[181]Main!$C$8</f>
        <v/>
      </c>
      <c r="J183" s="1">
        <f>IF(ISNUMBER([181]Main!$C$11),[181]Main!$C$11,"")</f>
        <v/>
      </c>
      <c r="K183" s="57">
        <f>IFERROR(J183/F183-1,"")</f>
        <v/>
      </c>
      <c r="L183" s="12">
        <f>[181]Main!$C$15&amp;" ("&amp;[181]Main!$C$14&amp;")"</f>
        <v/>
      </c>
      <c r="M183" s="58" t="n">
        <v>46331</v>
      </c>
      <c r="N183" s="17" t="inlineStr">
        <is>
          <t>Earnings Nov 5 (est.) · Readout ~2027-06: Schizophrenia / psychosis, Phase 3</t>
        </is>
      </c>
    </row>
    <row r="184">
      <c r="B184" s="3" t="inlineStr">
        <is>
          <t>CRON</t>
        </is>
      </c>
      <c r="C184" t="inlineStr">
        <is>
          <t>Cronos Group Inc.</t>
        </is>
      </c>
      <c r="D184" t="inlineStr">
        <is>
          <t>Pharmaceuticals</t>
        </is>
      </c>
      <c r="E184" s="6" t="inlineStr">
        <is>
          <t>NASDAQ</t>
        </is>
      </c>
      <c r="F184" s="1" t="n">
        <v>3.28</v>
      </c>
      <c r="G184" s="8">
        <f>F184*[182]Main!$C$4</f>
        <v/>
      </c>
      <c r="H184" s="10">
        <f>G184-[182]Main!$C$7+[182]Main!$C$8</f>
        <v/>
      </c>
      <c r="J184" s="1">
        <f>IF(ISNUMBER([182]Main!$C$11),[182]Main!$C$11,"")</f>
        <v/>
      </c>
      <c r="K184" s="57">
        <f>IFERROR(J184/F184-1,"")</f>
        <v/>
      </c>
      <c r="L184" s="12">
        <f>[182]Main!$C$15&amp;" ("&amp;[182]Main!$C$14&amp;")"</f>
        <v/>
      </c>
      <c r="M184" s="58" t="n">
        <v>46331</v>
      </c>
      <c r="N184" s="17" t="inlineStr">
        <is>
          <t>Earnings Nov 5 (before open)</t>
        </is>
      </c>
    </row>
    <row r="185">
      <c r="B185" s="3" t="inlineStr">
        <is>
          <t>TSHA</t>
        </is>
      </c>
      <c r="C185" t="inlineStr">
        <is>
          <t>Taysha Gene Therapies, Inc.</t>
        </is>
      </c>
      <c r="D185" t="inlineStr">
        <is>
          <t>Biotechnology</t>
        </is>
      </c>
      <c r="E185" s="6" t="inlineStr">
        <is>
          <t>NASDAQ</t>
        </is>
      </c>
      <c r="F185" s="1" t="n">
        <v>4.11</v>
      </c>
      <c r="G185" s="8">
        <f>F185*[183]Main!$C$4</f>
        <v/>
      </c>
      <c r="H185" s="10">
        <f>G185-[183]Main!$C$7+[183]Main!$C$8</f>
        <v/>
      </c>
      <c r="J185" s="1">
        <f>IF(ISNUMBER([183]Main!$C$11),[183]Main!$C$11,"")</f>
        <v/>
      </c>
      <c r="K185" s="57">
        <f>IFERROR(J185/F185-1,"")</f>
        <v/>
      </c>
      <c r="L185" s="12">
        <f>[183]Main!$C$15&amp;" ("&amp;[183]Main!$C$14&amp;")"</f>
        <v/>
      </c>
      <c r="M185" s="58" t="n">
        <v>46329</v>
      </c>
      <c r="N185" s="17" t="inlineStr">
        <is>
          <t>Earnings Nov 3 (est.) · Readout ~2028-11-02: Rare neurodevelopmental, Phase 3</t>
        </is>
      </c>
    </row>
    <row r="186">
      <c r="B186" s="3" t="inlineStr">
        <is>
          <t>OMER</t>
        </is>
      </c>
      <c r="C186" t="inlineStr">
        <is>
          <t>Omeros Corporation</t>
        </is>
      </c>
      <c r="D186" t="inlineStr">
        <is>
          <t>Pharmaceuticals</t>
        </is>
      </c>
      <c r="E186" s="6" t="inlineStr">
        <is>
          <t>NASDAQ</t>
        </is>
      </c>
      <c r="F186" s="1" t="n">
        <v>16.35</v>
      </c>
      <c r="G186" s="8">
        <f>F186*[184]Main!$C$4</f>
        <v/>
      </c>
      <c r="H186" s="10">
        <f>G186-[184]Main!$C$7+[184]Main!$C$8</f>
        <v/>
      </c>
      <c r="J186" s="1">
        <f>IF(ISNUMBER([184]Main!$C$11),[184]Main!$C$11,"")</f>
        <v/>
      </c>
      <c r="K186" s="57">
        <f>IFERROR(J186/F186-1,"")</f>
        <v/>
      </c>
      <c r="L186" s="12">
        <f>[184]Main!$C$15&amp;" ("&amp;[184]Main!$C$14&amp;")"</f>
        <v/>
      </c>
      <c r="M186" s="58" t="n">
        <v>46338</v>
      </c>
      <c r="N186" s="17" t="inlineStr">
        <is>
          <t>Earnings Nov 12 (est.) · Readout ~2026-12: Rare hematology, Phase 2</t>
        </is>
      </c>
    </row>
    <row r="187">
      <c r="B187" s="3" t="inlineStr">
        <is>
          <t>BCAX</t>
        </is>
      </c>
      <c r="C187" t="inlineStr">
        <is>
          <t>Bicara Therapeutics Inc</t>
        </is>
      </c>
      <c r="D187" t="inlineStr">
        <is>
          <t>Biotechnology</t>
        </is>
      </c>
      <c r="E187" s="6" t="inlineStr">
        <is>
          <t>NASDAQ</t>
        </is>
      </c>
      <c r="F187" s="1" t="n">
        <v>18.35</v>
      </c>
      <c r="G187" s="8">
        <f>F187*[185]Main!$C$4</f>
        <v/>
      </c>
      <c r="H187" s="10">
        <f>G187-[185]Main!$C$7+[185]Main!$C$8</f>
        <v/>
      </c>
      <c r="J187" s="1">
        <f>IF(ISNUMBER([185]Main!$C$11),[185]Main!$C$11,"")</f>
        <v/>
      </c>
      <c r="K187" s="57">
        <f>IFERROR(J187/F187-1,"")</f>
        <v/>
      </c>
      <c r="L187" s="12">
        <f>[185]Main!$C$15&amp;" ("&amp;[185]Main!$C$14&amp;")"</f>
        <v/>
      </c>
      <c r="M187" s="58" t="n">
        <v>46335</v>
      </c>
      <c r="N187" s="17" t="inlineStr">
        <is>
          <t>Earnings Nov 9 (est.) · Readout ~2027-10-31: Solid tumors (basket), Phase 1</t>
        </is>
      </c>
    </row>
    <row r="188">
      <c r="B188" s="3" t="inlineStr">
        <is>
          <t>SNDX</t>
        </is>
      </c>
      <c r="C188" t="inlineStr">
        <is>
          <t>Syndax Pharmaceuticals, Inc.</t>
        </is>
      </c>
      <c r="D188" t="inlineStr">
        <is>
          <t>Biotechnology</t>
        </is>
      </c>
      <c r="E188" s="6" t="inlineStr">
        <is>
          <t>NASDAQ</t>
        </is>
      </c>
      <c r="F188" s="1" t="n">
        <v>13.25</v>
      </c>
      <c r="G188" s="8">
        <f>F188*[186]Main!$C$4</f>
        <v/>
      </c>
      <c r="H188" s="10">
        <f>G188-[186]Main!$C$7+[186]Main!$C$8</f>
        <v/>
      </c>
      <c r="J188" s="1">
        <f>IF(ISNUMBER([186]Main!$C$11),[186]Main!$C$11,"")</f>
        <v/>
      </c>
      <c r="K188" s="57">
        <f>IFERROR(J188/F188-1,"")</f>
        <v/>
      </c>
      <c r="L188" s="12">
        <f>[186]Main!$C$15&amp;" ("&amp;[186]Main!$C$14&amp;")"</f>
        <v/>
      </c>
      <c r="M188" s="58" t="n">
        <v>46328</v>
      </c>
      <c r="N188" s="17" t="inlineStr">
        <is>
          <t>Earnings Nov 2 (est.)</t>
        </is>
      </c>
    </row>
    <row r="189">
      <c r="B189" s="3" t="inlineStr">
        <is>
          <t>VOR</t>
        </is>
      </c>
      <c r="C189" t="inlineStr">
        <is>
          <t>Vor Biopharma Inc.</t>
        </is>
      </c>
      <c r="D189" t="inlineStr">
        <is>
          <t>Biotechnology</t>
        </is>
      </c>
      <c r="E189" s="6" t="inlineStr">
        <is>
          <t>NASDAQ</t>
        </is>
      </c>
      <c r="F189" s="1" t="n">
        <v>19.03</v>
      </c>
      <c r="G189" s="8">
        <f>F189*[187]Main!$C$4</f>
        <v/>
      </c>
      <c r="H189" s="10">
        <f>G189-[187]Main!$C$7+[187]Main!$C$8</f>
        <v/>
      </c>
      <c r="J189" s="1">
        <f>IF(ISNUMBER([187]Main!$C$11),[187]Main!$C$11,"")</f>
        <v/>
      </c>
      <c r="K189" s="57">
        <f>IFERROR(J189/F189-1,"")</f>
        <v/>
      </c>
      <c r="L189" s="12">
        <f>[187]Main!$C$15&amp;" ("&amp;[187]Main!$C$14&amp;")"</f>
        <v/>
      </c>
      <c r="M189" s="58" t="n">
        <v>46338</v>
      </c>
      <c r="N189" s="17" t="inlineStr">
        <is>
          <t>Earnings Nov 12 (est.) · Readout ~2027-03: Myasthenia gravis / neuromuscular, Phase 3</t>
        </is>
      </c>
    </row>
    <row r="190">
      <c r="B190" s="3" t="inlineStr">
        <is>
          <t>DMRA</t>
        </is>
      </c>
      <c r="C190" t="inlineStr">
        <is>
          <t>Damora Therapeutics Inc</t>
        </is>
      </c>
      <c r="D190" t="inlineStr">
        <is>
          <t>Biotechnology</t>
        </is>
      </c>
      <c r="E190" s="6" t="inlineStr">
        <is>
          <t>NASDAQ</t>
        </is>
      </c>
      <c r="F190" s="1" t="n">
        <v>20.67</v>
      </c>
      <c r="G190" s="8">
        <f>F190*[188]Main!$C$4</f>
        <v/>
      </c>
      <c r="H190" s="10">
        <f>G190-[188]Main!$C$7+[188]Main!$C$8</f>
        <v/>
      </c>
      <c r="J190" s="1">
        <f>IF(ISNUMBER([188]Main!$C$11),[188]Main!$C$11,"")</f>
        <v/>
      </c>
      <c r="K190" s="57">
        <f>IFERROR(J190/F190-1,"")</f>
        <v/>
      </c>
      <c r="L190" s="12">
        <f>[188]Main!$C$15&amp;" ("&amp;[188]Main!$C$14&amp;")"</f>
        <v/>
      </c>
      <c r="M190" s="58" t="n">
        <v>46331</v>
      </c>
      <c r="N190" s="17" t="inlineStr">
        <is>
          <t>Earnings Nov 5 (est.) · Readout ~2030-06: Myelofibrosis / MDS / MPN, Phase 1</t>
        </is>
      </c>
    </row>
    <row r="191">
      <c r="B191" s="3" t="inlineStr">
        <is>
          <t>SVRA</t>
        </is>
      </c>
      <c r="C191" t="inlineStr">
        <is>
          <t>Savara Inc.</t>
        </is>
      </c>
      <c r="D191" t="inlineStr">
        <is>
          <t>Biotechnology</t>
        </is>
      </c>
      <c r="E191" s="6" t="inlineStr">
        <is>
          <t>NASDAQ</t>
        </is>
      </c>
      <c r="F191" s="1" t="n">
        <v>4.76</v>
      </c>
      <c r="G191" s="8">
        <f>F191*[189]Main!$C$4</f>
        <v/>
      </c>
      <c r="H191" s="10">
        <f>G191-[189]Main!$C$7+[189]Main!$C$8</f>
        <v/>
      </c>
      <c r="J191" s="1">
        <f>[189]Main!$C$11</f>
        <v/>
      </c>
      <c r="K191" s="57">
        <f>IFERROR(J191/F191-1,"")</f>
        <v/>
      </c>
      <c r="L191" s="12">
        <f>"rNPV ("&amp;[189]Main!$C$14&amp;")"</f>
        <v/>
      </c>
      <c r="M191" s="58" t="n">
        <v>46348</v>
      </c>
      <c r="N191" s="59" t="inlineStr">
        <is>
          <t>PDUFA Nov 22: MOLBREEVI · Earnings Nov 11 (est.)</t>
        </is>
      </c>
    </row>
    <row r="192">
      <c r="B192" s="3" t="inlineStr">
        <is>
          <t>GHRS</t>
        </is>
      </c>
      <c r="C192" t="inlineStr">
        <is>
          <t>GH Research PLC</t>
        </is>
      </c>
      <c r="D192" t="inlineStr">
        <is>
          <t>Pharmaceuticals</t>
        </is>
      </c>
      <c r="E192" s="6" t="inlineStr">
        <is>
          <t>NASDAQ</t>
        </is>
      </c>
      <c r="F192" s="1" t="n">
        <v>19.165</v>
      </c>
      <c r="G192" s="8">
        <f>F192*[190]Main!$C$4</f>
        <v/>
      </c>
      <c r="H192" s="10">
        <f>G192-[190]Main!$C$7+[190]Main!$C$8</f>
        <v/>
      </c>
      <c r="J192" s="1">
        <f>IF(ISNUMBER([190]Main!$C$11),[190]Main!$C$11,"")</f>
        <v/>
      </c>
      <c r="K192" s="57">
        <f>IFERROR(J192/F192-1,"")</f>
        <v/>
      </c>
      <c r="L192" s="12">
        <f>[190]Main!$C$15&amp;" ("&amp;[190]Main!$C$14&amp;")"</f>
        <v/>
      </c>
      <c r="M192" s="58" t="n">
        <v>46331</v>
      </c>
      <c r="N192" s="17" t="inlineStr">
        <is>
          <t>Earnings Nov 5 (est.)</t>
        </is>
      </c>
    </row>
    <row r="193">
      <c r="B193" s="3" t="inlineStr">
        <is>
          <t>TYRA</t>
        </is>
      </c>
      <c r="C193" t="inlineStr">
        <is>
          <t>Tyra Biosciences, Inc.</t>
        </is>
      </c>
      <c r="D193" t="inlineStr">
        <is>
          <t>Biotechnology</t>
        </is>
      </c>
      <c r="E193" s="6" t="inlineStr">
        <is>
          <t>NASDAQ</t>
        </is>
      </c>
      <c r="F193" s="1" t="n">
        <v>20.47</v>
      </c>
      <c r="G193" s="8">
        <f>F193*[191]Main!$C$4</f>
        <v/>
      </c>
      <c r="H193" s="10">
        <f>G193-[191]Main!$C$7+[191]Main!$C$8</f>
        <v/>
      </c>
      <c r="J193" s="1">
        <f>IF(ISNUMBER([191]Main!$C$11),[191]Main!$C$11,"")</f>
        <v/>
      </c>
      <c r="K193" s="57">
        <f>IFERROR(J193/F193-1,"")</f>
        <v/>
      </c>
      <c r="L193" s="12">
        <f>[191]Main!$C$15&amp;" ("&amp;[191]Main!$C$14&amp;")"</f>
        <v/>
      </c>
      <c r="M193" s="58" t="n">
        <v>46330</v>
      </c>
      <c r="N193" s="17" t="inlineStr">
        <is>
          <t>Earnings Nov 4 (est.) · Readout ~2026-11: Bladder / urothelial cancer, Phase 2</t>
        </is>
      </c>
    </row>
    <row r="194">
      <c r="B194" s="3" t="inlineStr">
        <is>
          <t>AMPH</t>
        </is>
      </c>
      <c r="C194" t="inlineStr">
        <is>
          <t>Amphastar Pharmaceuticals, Inc.</t>
        </is>
      </c>
      <c r="D194" t="inlineStr">
        <is>
          <t>Pharmaceuticals</t>
        </is>
      </c>
      <c r="E194" s="6" t="inlineStr">
        <is>
          <t>NASDAQ</t>
        </is>
      </c>
      <c r="F194" s="1" t="n">
        <v>25.94</v>
      </c>
      <c r="G194" s="8">
        <f>F194*[192]Main!$C$4</f>
        <v/>
      </c>
      <c r="H194" s="10">
        <f>G194-[192]Main!$C$7+[192]Main!$C$8</f>
        <v/>
      </c>
      <c r="J194" s="1">
        <f>IF(ISNUMBER([192]Main!$C$11),[192]Main!$C$11,"")</f>
        <v/>
      </c>
      <c r="K194" s="57">
        <f>IFERROR(J194/F194-1,"")</f>
        <v/>
      </c>
      <c r="L194" s="12">
        <f>[192]Main!$C$15&amp;" ("&amp;[192]Main!$C$14&amp;")"</f>
        <v/>
      </c>
      <c r="M194" s="58" t="n">
        <v>46331</v>
      </c>
      <c r="N194" s="17" t="inlineStr">
        <is>
          <t>Earnings Nov 5 (est.)</t>
        </is>
      </c>
    </row>
    <row r="195">
      <c r="B195" s="3" t="inlineStr">
        <is>
          <t>AVLN</t>
        </is>
      </c>
      <c r="C195" t="inlineStr">
        <is>
          <t>Avalyn Pharma Inc</t>
        </is>
      </c>
      <c r="D195" t="inlineStr">
        <is>
          <t>Pharmaceuticals</t>
        </is>
      </c>
      <c r="E195" s="6" t="inlineStr">
        <is>
          <t>NASDAQ</t>
        </is>
      </c>
      <c r="F195" s="1" t="n">
        <v>24.63</v>
      </c>
      <c r="G195" s="8">
        <f>F195*[193]Main!$C$4</f>
        <v/>
      </c>
      <c r="H195" s="10">
        <f>G195-[193]Main!$C$7+[193]Main!$C$8</f>
        <v/>
      </c>
      <c r="J195" s="1">
        <f>IF(ISNUMBER([193]Main!$C$11),[193]Main!$C$11,"")</f>
        <v/>
      </c>
      <c r="K195" s="57">
        <f>IFERROR(J195/F195-1,"")</f>
        <v/>
      </c>
      <c r="L195" s="12">
        <f>[193]Main!$C$15&amp;" ("&amp;[193]Main!$C$14&amp;")"</f>
        <v/>
      </c>
      <c r="M195" s="58" t="n">
        <v>46337</v>
      </c>
      <c r="N195" s="17" t="inlineStr">
        <is>
          <t>Earnings Nov 11 (est.) · Readout ~2026-12: Idiopathic pulmonary fibrosis, Phase 2</t>
        </is>
      </c>
    </row>
    <row r="196">
      <c r="B196" s="3" t="inlineStr">
        <is>
          <t>NBTX</t>
        </is>
      </c>
      <c r="C196" t="inlineStr">
        <is>
          <t>Nanobiotix SA</t>
        </is>
      </c>
      <c r="D196" t="inlineStr">
        <is>
          <t>Biotechnology</t>
        </is>
      </c>
      <c r="E196" s="6" t="inlineStr">
        <is>
          <t>NASDAQ</t>
        </is>
      </c>
      <c r="F196" s="1" t="n">
        <v>24.14</v>
      </c>
      <c r="G196" s="8">
        <f>F196*[194]Main!$C$4</f>
        <v/>
      </c>
      <c r="H196" s="10">
        <f>G196-[194]Main!$C$7+[194]Main!$C$8</f>
        <v/>
      </c>
      <c r="J196" s="1">
        <f>IF(ISNUMBER([194]Main!$C$11),[194]Main!$C$11,"")</f>
        <v/>
      </c>
      <c r="K196" s="57">
        <f>IFERROR(J196/F196-1,"")</f>
        <v/>
      </c>
      <c r="L196" s="12">
        <f>[194]Main!$C$15&amp;" ("&amp;[194]Main!$C$14&amp;")"</f>
        <v/>
      </c>
      <c r="M196" s="58" t="n"/>
      <c r="N196" s="17" t="inlineStr">
        <is>
          <t>Readout ~2027-04-30: Solid tumors (basket), Phase 1</t>
        </is>
      </c>
    </row>
    <row r="197">
      <c r="B197" s="3" t="inlineStr">
        <is>
          <t>REPL</t>
        </is>
      </c>
      <c r="C197" t="inlineStr">
        <is>
          <t>Replimune Group, Inc.</t>
        </is>
      </c>
      <c r="D197" t="inlineStr">
        <is>
          <t>Biotechnology</t>
        </is>
      </c>
      <c r="E197" s="6" t="inlineStr">
        <is>
          <t>NASDAQ</t>
        </is>
      </c>
      <c r="F197" s="1" t="n">
        <v>11.42</v>
      </c>
      <c r="G197" s="8">
        <f>F197*[195]Main!$C$4</f>
        <v/>
      </c>
      <c r="H197" s="10">
        <f>G197-[195]Main!$C$7+[195]Main!$C$8</f>
        <v/>
      </c>
      <c r="J197" s="1">
        <f>IF(ISNUMBER([195]Main!$C$11),[195]Main!$C$11,"")</f>
        <v/>
      </c>
      <c r="K197" s="57">
        <f>IFERROR(J197/F197-1,"")</f>
        <v/>
      </c>
      <c r="L197" s="12">
        <f>[195]Main!$C$15&amp;" ("&amp;[195]Main!$C$14&amp;")"</f>
        <v/>
      </c>
      <c r="M197" s="58" t="n">
        <v>46331</v>
      </c>
      <c r="N197" s="17" t="inlineStr">
        <is>
          <t>Earnings Nov 5 (est.) · Readout ~2026-10-31: Solid tumors (basket), Phase 2</t>
        </is>
      </c>
    </row>
    <row r="198">
      <c r="B198" s="3" t="inlineStr">
        <is>
          <t>HROW</t>
        </is>
      </c>
      <c r="C198" t="inlineStr">
        <is>
          <t>Harrow, Inc.</t>
        </is>
      </c>
      <c r="D198" t="inlineStr">
        <is>
          <t>Pharmaceuticals</t>
        </is>
      </c>
      <c r="E198" s="6" t="inlineStr">
        <is>
          <t>NASDAQ</t>
        </is>
      </c>
      <c r="F198" s="1" t="n">
        <v>28.07</v>
      </c>
      <c r="G198" s="8">
        <f>F198*[196]Main!$C$4</f>
        <v/>
      </c>
      <c r="H198" s="10">
        <f>G198-[196]Main!$C$7+[196]Main!$C$8</f>
        <v/>
      </c>
      <c r="J198" s="1">
        <f>IF(ISNUMBER([196]Main!$C$11),[196]Main!$C$11,"")</f>
        <v/>
      </c>
      <c r="K198" s="57">
        <f>IFERROR(J198/F198-1,"")</f>
        <v/>
      </c>
      <c r="L198" s="12">
        <f>[196]Main!$C$15&amp;" ("&amp;[196]Main!$C$14&amp;")"</f>
        <v/>
      </c>
      <c r="M198" s="58" t="n">
        <v>46335</v>
      </c>
      <c r="N198" s="17" t="inlineStr">
        <is>
          <t>Earnings Nov 9 (est.)</t>
        </is>
      </c>
    </row>
    <row r="199">
      <c r="B199" s="3" t="inlineStr">
        <is>
          <t>JANX</t>
        </is>
      </c>
      <c r="C199" t="inlineStr">
        <is>
          <t>Janux Therapeutics, Inc.</t>
        </is>
      </c>
      <c r="D199" t="inlineStr">
        <is>
          <t>Biotechnology</t>
        </is>
      </c>
      <c r="E199" s="6" t="inlineStr">
        <is>
          <t>NASDAQ</t>
        </is>
      </c>
      <c r="F199" s="1" t="n">
        <v>16.74</v>
      </c>
      <c r="G199" s="8">
        <f>F199*[197]Main!$C$4</f>
        <v/>
      </c>
      <c r="H199" s="10">
        <f>G199-[197]Main!$C$7+[197]Main!$C$8</f>
        <v/>
      </c>
      <c r="J199" s="1">
        <f>IF(ISNUMBER([197]Main!$C$11),[197]Main!$C$11,"")</f>
        <v/>
      </c>
      <c r="K199" s="57">
        <f>IFERROR(J199/F199-1,"")</f>
        <v/>
      </c>
      <c r="L199" s="12">
        <f>[197]Main!$C$15&amp;" ("&amp;[197]Main!$C$14&amp;")"</f>
        <v/>
      </c>
      <c r="M199" s="58" t="n">
        <v>46331</v>
      </c>
      <c r="N199" s="17" t="inlineStr">
        <is>
          <t>Earnings Nov 5 (est.) · Readout ~2027-07: Prostate cancer, Phase 1</t>
        </is>
      </c>
    </row>
    <row r="200">
      <c r="B200" s="3" t="inlineStr">
        <is>
          <t>MNKD</t>
        </is>
      </c>
      <c r="C200" t="inlineStr">
        <is>
          <t>MannKind Corporation</t>
        </is>
      </c>
      <c r="D200" t="inlineStr">
        <is>
          <t>Biotechnology</t>
        </is>
      </c>
      <c r="E200" s="6" t="inlineStr">
        <is>
          <t>NASDAQ</t>
        </is>
      </c>
      <c r="F200" s="1" t="n">
        <v>3.1</v>
      </c>
      <c r="G200" s="8">
        <f>F200*[198]Main!$C$4</f>
        <v/>
      </c>
      <c r="H200" s="10">
        <f>G200-[198]Main!$C$7+[198]Main!$C$8</f>
        <v/>
      </c>
      <c r="J200" s="1">
        <f>IF(ISNUMBER([198]Main!$C$11),[198]Main!$C$11,"")</f>
        <v/>
      </c>
      <c r="K200" s="57">
        <f>IFERROR(J200/F200-1,"")</f>
        <v/>
      </c>
      <c r="L200" s="12">
        <f>[198]Main!$C$15&amp;" ("&amp;[198]Main!$C$14&amp;")"</f>
        <v/>
      </c>
      <c r="M200" s="58" t="n">
        <v>46330</v>
      </c>
      <c r="N200" s="17" t="inlineStr">
        <is>
          <t>Earnings Nov 4 (est.)</t>
        </is>
      </c>
    </row>
    <row r="201">
      <c r="B201" s="3" t="inlineStr">
        <is>
          <t>SPTX</t>
        </is>
      </c>
      <c r="C201" t="inlineStr">
        <is>
          <t>Seaport Therapeutics Inc</t>
        </is>
      </c>
      <c r="D201" t="inlineStr">
        <is>
          <t>Pharmaceuticals</t>
        </is>
      </c>
      <c r="E201" s="6" t="inlineStr">
        <is>
          <t>NASDAQ</t>
        </is>
      </c>
      <c r="F201" s="1" t="n">
        <v>19.28</v>
      </c>
      <c r="G201" s="8">
        <f>F201*[199]Main!$C$4</f>
        <v/>
      </c>
      <c r="H201" s="10">
        <f>G201-[199]Main!$C$7+[199]Main!$C$8</f>
        <v/>
      </c>
      <c r="J201" s="1">
        <f>IF(ISNUMBER([199]Main!$C$11),[199]Main!$C$11,"")</f>
        <v/>
      </c>
      <c r="K201" s="57">
        <f>IFERROR(J201/F201-1,"")</f>
        <v/>
      </c>
      <c r="L201" s="12">
        <f>[199]Main!$C$15&amp;" ("&amp;[199]Main!$C$14&amp;")"</f>
        <v/>
      </c>
      <c r="M201" s="58" t="n">
        <v>46328</v>
      </c>
      <c r="N201" s="17" t="inlineStr">
        <is>
          <t>Earnings Nov 2 (est.) · Readout ~2027-03: Depression / mood, Phase 2</t>
        </is>
      </c>
    </row>
    <row r="202">
      <c r="B202" s="3" t="inlineStr">
        <is>
          <t>GRML</t>
        </is>
      </c>
      <c r="C202" t="inlineStr">
        <is>
          <t>Greenland Mines Ltd</t>
        </is>
      </c>
      <c r="D202" t="inlineStr">
        <is>
          <t>Biotechnology</t>
        </is>
      </c>
      <c r="E202" s="6" t="inlineStr">
        <is>
          <t>NASDAQ</t>
        </is>
      </c>
      <c r="F202" s="1" t="n">
        <v>6.2</v>
      </c>
      <c r="G202" s="8">
        <f>F202*[200]Main!$C$4</f>
        <v/>
      </c>
      <c r="H202" s="10">
        <f>G202-[200]Main!$C$7+[200]Main!$C$8</f>
        <v/>
      </c>
      <c r="J202" s="1">
        <f>IF(ISNUMBER([200]Main!$C$11),[200]Main!$C$11,"")</f>
        <v/>
      </c>
      <c r="K202" s="57">
        <f>IFERROR(J202/F202-1,"")</f>
        <v/>
      </c>
      <c r="L202" s="12">
        <f>[200]Main!$C$15&amp;" ("&amp;[200]Main!$C$14&amp;")"</f>
        <v/>
      </c>
      <c r="M202" s="58" t="n">
        <v>46338</v>
      </c>
      <c r="N202" s="17" t="inlineStr">
        <is>
          <t>Earnings Nov 12 (est.)</t>
        </is>
      </c>
    </row>
    <row r="203">
      <c r="B203" s="3" t="inlineStr">
        <is>
          <t>LTGO</t>
        </is>
      </c>
      <c r="C203" t="inlineStr">
        <is>
          <t>Latigo Biotherapeutics, Inc.</t>
        </is>
      </c>
      <c r="D203" t="inlineStr">
        <is>
          <t>Pharmaceuticals</t>
        </is>
      </c>
      <c r="E203" s="6" t="inlineStr">
        <is>
          <t>NASDAQ</t>
        </is>
      </c>
      <c r="F203" s="1" t="n">
        <v>15.25</v>
      </c>
      <c r="G203" s="8">
        <f>F203*[201]Main!$C$4</f>
        <v/>
      </c>
      <c r="H203" s="10">
        <f>G203-[201]Main!$C$7+[201]Main!$C$8</f>
        <v/>
      </c>
      <c r="J203" s="1">
        <f>IF(ISNUMBER([201]Main!$C$11),[201]Main!$C$11,"")</f>
        <v/>
      </c>
      <c r="K203" s="57">
        <f>IFERROR(J203/F203-1,"")</f>
        <v/>
      </c>
      <c r="L203" s="12">
        <f>[201]Main!$C$15&amp;" ("&amp;[201]Main!$C$14&amp;")"</f>
        <v/>
      </c>
      <c r="M203" s="58" t="n">
        <v>46359</v>
      </c>
      <c r="N203" s="17" t="inlineStr">
        <is>
          <t>Earnings Dec 3 (est.)</t>
        </is>
      </c>
    </row>
    <row r="204">
      <c r="B204" s="3" t="inlineStr">
        <is>
          <t>IMTX</t>
        </is>
      </c>
      <c r="C204" t="inlineStr">
        <is>
          <t>Immatics N.V.</t>
        </is>
      </c>
      <c r="D204" t="inlineStr">
        <is>
          <t>Biotechnology</t>
        </is>
      </c>
      <c r="E204" s="6" t="inlineStr">
        <is>
          <t>NASDAQ</t>
        </is>
      </c>
      <c r="F204" s="1" t="n">
        <v>7.51</v>
      </c>
      <c r="G204" s="8">
        <f>F204*[202]Main!$C$4</f>
        <v/>
      </c>
      <c r="H204" s="10">
        <f>G204-[202]Main!$C$7+[202]Main!$C$8</f>
        <v/>
      </c>
      <c r="J204" s="1">
        <f>IF(ISNUMBER([202]Main!$C$11),[202]Main!$C$11,"")</f>
        <v/>
      </c>
      <c r="K204" s="57">
        <f>IFERROR(J204/F204-1,"")</f>
        <v/>
      </c>
      <c r="L204" s="12">
        <f>[202]Main!$C$15&amp;" ("&amp;[202]Main!$C$14&amp;")"</f>
        <v/>
      </c>
      <c r="M204" s="58" t="n">
        <v>46342</v>
      </c>
      <c r="N204" s="17" t="inlineStr">
        <is>
          <t>Earnings Nov 16 (est.) · Readout ~2027-09: Solid tumors (basket), Phase 1/2</t>
        </is>
      </c>
    </row>
    <row r="205">
      <c r="B205" s="3" t="inlineStr">
        <is>
          <t>MGTX</t>
        </is>
      </c>
      <c r="C205" t="inlineStr">
        <is>
          <t>MeiraGTx Holdings PLC</t>
        </is>
      </c>
      <c r="D205" t="inlineStr">
        <is>
          <t>Biotechnology</t>
        </is>
      </c>
      <c r="E205" s="6" t="inlineStr">
        <is>
          <t>NASDAQ</t>
        </is>
      </c>
      <c r="F205" s="1" t="n">
        <v>9.970000000000001</v>
      </c>
      <c r="G205" s="8">
        <f>F205*[203]Main!$C$4</f>
        <v/>
      </c>
      <c r="H205" s="10">
        <f>G205-[203]Main!$C$7+[203]Main!$C$8</f>
        <v/>
      </c>
      <c r="J205" s="1">
        <f>IF(ISNUMBER([203]Main!$C$11),[203]Main!$C$11,"")</f>
        <v/>
      </c>
      <c r="K205" s="57">
        <f>IFERROR(J205/F205-1,"")</f>
        <v/>
      </c>
      <c r="L205" s="12">
        <f>[203]Main!$C$15&amp;" ("&amp;[203]Main!$C$14&amp;")"</f>
        <v/>
      </c>
      <c r="M205" s="58" t="n">
        <v>46338</v>
      </c>
      <c r="N205" s="17" t="inlineStr">
        <is>
          <t>Earnings Nov 12 (est.)</t>
        </is>
      </c>
    </row>
    <row r="206">
      <c r="B206" s="3" t="inlineStr">
        <is>
          <t>RIGL</t>
        </is>
      </c>
      <c r="C206" t="inlineStr">
        <is>
          <t>Rigel Pharmaceuticals, Inc.</t>
        </is>
      </c>
      <c r="D206" t="inlineStr">
        <is>
          <t>Biotechnology</t>
        </is>
      </c>
      <c r="E206" s="6" t="inlineStr">
        <is>
          <t>NASDAQ</t>
        </is>
      </c>
      <c r="F206" s="1" t="n">
        <v>48.11</v>
      </c>
      <c r="G206" s="8">
        <f>F206*[204]Main!$C$4</f>
        <v/>
      </c>
      <c r="H206" s="10">
        <f>G206-[204]Main!$C$7+[204]Main!$C$8</f>
        <v/>
      </c>
      <c r="J206" s="1">
        <f>IF(ISNUMBER([204]Main!$C$11),[204]Main!$C$11,"")</f>
        <v/>
      </c>
      <c r="K206" s="57">
        <f>IFERROR(J206/F206-1,"")</f>
        <v/>
      </c>
      <c r="L206" s="12">
        <f>[204]Main!$C$15&amp;" ("&amp;[204]Main!$C$14&amp;")"</f>
        <v/>
      </c>
      <c r="M206" s="58" t="n">
        <v>46329</v>
      </c>
      <c r="N206" s="17" t="inlineStr">
        <is>
          <t>Earnings Nov 3 (est.)</t>
        </is>
      </c>
    </row>
    <row r="207">
      <c r="B207" s="3" t="inlineStr">
        <is>
          <t>ANRO</t>
        </is>
      </c>
      <c r="C207" t="inlineStr">
        <is>
          <t>Alto Neuroscience Inc</t>
        </is>
      </c>
      <c r="D207" t="inlineStr">
        <is>
          <t>Pharmaceuticals</t>
        </is>
      </c>
      <c r="E207" s="6" t="inlineStr">
        <is>
          <t>NYSE</t>
        </is>
      </c>
      <c r="F207" s="1" t="n">
        <v>24.415</v>
      </c>
      <c r="G207" s="8">
        <f>F207*[205]Main!$C$4</f>
        <v/>
      </c>
      <c r="H207" s="10">
        <f>G207-[205]Main!$C$7+[205]Main!$C$8</f>
        <v/>
      </c>
      <c r="J207" s="1">
        <f>IF(ISNUMBER([205]Main!$C$11),[205]Main!$C$11,"")</f>
        <v/>
      </c>
      <c r="K207" s="57">
        <f>IFERROR(J207/F207-1,"")</f>
        <v/>
      </c>
      <c r="L207" s="12">
        <f>[205]Main!$C$15&amp;" ("&amp;[205]Main!$C$14&amp;")"</f>
        <v/>
      </c>
      <c r="M207" s="58" t="n">
        <v>46337</v>
      </c>
      <c r="N207" s="17" t="inlineStr">
        <is>
          <t>Earnings Nov 11 (est.) · Readout ~2026-12: Depression / mood, Phase 2</t>
        </is>
      </c>
    </row>
    <row r="208">
      <c r="B208" s="3" t="inlineStr">
        <is>
          <t>JBIO</t>
        </is>
      </c>
      <c r="C208" t="inlineStr">
        <is>
          <t>Jade Biosciences, Inc.</t>
        </is>
      </c>
      <c r="D208" t="inlineStr">
        <is>
          <t>Biotechnology</t>
        </is>
      </c>
      <c r="E208" s="6" t="inlineStr">
        <is>
          <t>NASDAQ</t>
        </is>
      </c>
      <c r="F208" s="1" t="n">
        <v>14.86</v>
      </c>
      <c r="G208" s="8">
        <f>F208*[206]Main!$C$4</f>
        <v/>
      </c>
      <c r="H208" s="10">
        <f>G208-[206]Main!$C$7+[206]Main!$C$8</f>
        <v/>
      </c>
      <c r="J208" s="1">
        <f>IF(ISNUMBER([206]Main!$C$11),[206]Main!$C$11,"")</f>
        <v/>
      </c>
      <c r="K208" s="57">
        <f>IFERROR(J208/F208-1,"")</f>
        <v/>
      </c>
      <c r="L208" s="12">
        <f>[206]Main!$C$15&amp;" ("&amp;[206]Main!$C$14&amp;")"</f>
        <v/>
      </c>
      <c r="M208" s="58" t="n">
        <v>46338</v>
      </c>
      <c r="N208" s="17" t="inlineStr">
        <is>
          <t>Earnings Nov 12 (est.) · Readout ~2027-10: Rheumatoid / spondyloarthritis, Phase 1</t>
        </is>
      </c>
    </row>
    <row r="209">
      <c r="B209" s="3" t="inlineStr">
        <is>
          <t>ODTX</t>
        </is>
      </c>
      <c r="C209" t="inlineStr">
        <is>
          <t>Odyssey Therapeutics Inc</t>
        </is>
      </c>
      <c r="D209" t="inlineStr">
        <is>
          <t>Biotechnology</t>
        </is>
      </c>
      <c r="E209" s="6" t="inlineStr">
        <is>
          <t>NASDAQ</t>
        </is>
      </c>
      <c r="F209" s="1" t="n">
        <v>18.99</v>
      </c>
      <c r="G209" s="8">
        <f>F209*[207]Main!$C$4</f>
        <v/>
      </c>
      <c r="H209" s="10">
        <f>G209-[207]Main!$C$7+[207]Main!$C$8</f>
        <v/>
      </c>
      <c r="J209" s="1">
        <f>IF(ISNUMBER([207]Main!$C$11),[207]Main!$C$11,"")</f>
        <v/>
      </c>
      <c r="K209" s="57">
        <f>IFERROR(J209/F209-1,"")</f>
        <v/>
      </c>
      <c r="L209" s="12">
        <f>[207]Main!$C$15&amp;" ("&amp;[207]Main!$C$14&amp;")"</f>
        <v/>
      </c>
      <c r="M209" s="58" t="n">
        <v>46330</v>
      </c>
      <c r="N209" s="17" t="inlineStr">
        <is>
          <t>Earnings Nov 4 (est.)</t>
        </is>
      </c>
    </row>
    <row r="210">
      <c r="B210" s="3" t="inlineStr">
        <is>
          <t>ABUS</t>
        </is>
      </c>
      <c r="C210" t="inlineStr">
        <is>
          <t>Arbutus Biopharma Corp</t>
        </is>
      </c>
      <c r="D210" t="inlineStr">
        <is>
          <t>Biotechnology</t>
        </is>
      </c>
      <c r="E210" s="6" t="inlineStr">
        <is>
          <t>NASDAQ</t>
        </is>
      </c>
      <c r="F210" s="1" t="n">
        <v>4.33</v>
      </c>
      <c r="G210" s="8">
        <f>F210*[208]Main!$C$4</f>
        <v/>
      </c>
      <c r="H210" s="10">
        <f>G210-[208]Main!$C$7+[208]Main!$C$8</f>
        <v/>
      </c>
      <c r="J210" s="1">
        <f>IF(ISNUMBER([208]Main!$C$11),[208]Main!$C$11,"")</f>
        <v/>
      </c>
      <c r="K210" s="57">
        <f>IFERROR(J210/F210-1,"")</f>
        <v/>
      </c>
      <c r="L210" s="12">
        <f>[208]Main!$C$15&amp;" ("&amp;[208]Main!$C$14&amp;")"</f>
        <v/>
      </c>
      <c r="M210" s="58" t="n">
        <v>46338</v>
      </c>
      <c r="N210" s="17" t="inlineStr">
        <is>
          <t>Earnings Nov 12 (est.)</t>
        </is>
      </c>
    </row>
    <row r="211">
      <c r="B211" s="3" t="inlineStr">
        <is>
          <t>CGEM</t>
        </is>
      </c>
      <c r="C211" t="inlineStr">
        <is>
          <t>Cullinan Therapeutics, Inc.</t>
        </is>
      </c>
      <c r="D211" t="inlineStr">
        <is>
          <t>Biotechnology</t>
        </is>
      </c>
      <c r="E211" s="6" t="inlineStr">
        <is>
          <t>NASDAQ</t>
        </is>
      </c>
      <c r="F211" s="1" t="n">
        <v>14.83</v>
      </c>
      <c r="G211" s="8">
        <f>F211*[209]Main!$C$4</f>
        <v/>
      </c>
      <c r="H211" s="10">
        <f>G211-[209]Main!$C$7+[209]Main!$C$8</f>
        <v/>
      </c>
      <c r="J211" s="1">
        <f>IF(ISNUMBER([209]Main!$C$11),[209]Main!$C$11,"")</f>
        <v/>
      </c>
      <c r="K211" s="57">
        <f>IFERROR(J211/F211-1,"")</f>
        <v/>
      </c>
      <c r="L211" s="12">
        <f>[209]Main!$C$15&amp;" ("&amp;[209]Main!$C$14&amp;")"</f>
        <v/>
      </c>
      <c r="M211" s="58" t="n">
        <v>46331</v>
      </c>
      <c r="N211" s="17" t="inlineStr">
        <is>
          <t>Earnings Nov 5 (est.) · Readout ~2026-12: Lupus / Sjogren's, Phase 1 · PDUFA 2027-02-27: Lung cancer</t>
        </is>
      </c>
    </row>
    <row r="212">
      <c r="B212" s="3" t="inlineStr">
        <is>
          <t>GLUE</t>
        </is>
      </c>
      <c r="C212" t="inlineStr">
        <is>
          <t>Monte Rosa Therapeutics, Inc.</t>
        </is>
      </c>
      <c r="D212" t="inlineStr">
        <is>
          <t>Biotechnology</t>
        </is>
      </c>
      <c r="E212" s="6" t="inlineStr">
        <is>
          <t>NASDAQ</t>
        </is>
      </c>
      <c r="F212" s="1" t="n">
        <v>11.36</v>
      </c>
      <c r="G212" s="8">
        <f>F212*[210]Main!$C$4</f>
        <v/>
      </c>
      <c r="H212" s="10">
        <f>G212-[210]Main!$C$7+[210]Main!$C$8</f>
        <v/>
      </c>
      <c r="J212" s="1">
        <f>IF(ISNUMBER([210]Main!$C$11),[210]Main!$C$11,"")</f>
        <v/>
      </c>
      <c r="K212" s="57">
        <f>IFERROR(J212/F212-1,"")</f>
        <v/>
      </c>
      <c r="L212" s="12">
        <f>[210]Main!$C$15&amp;" ("&amp;[210]Main!$C$14&amp;")"</f>
        <v/>
      </c>
      <c r="M212" s="58" t="n">
        <v>46331</v>
      </c>
      <c r="N212" s="17" t="inlineStr">
        <is>
          <t>Earnings Nov 5 (est.) · Readout ~2027-10: Prostate cancer, Phase 2</t>
        </is>
      </c>
    </row>
    <row r="213">
      <c r="B213" s="3" t="inlineStr">
        <is>
          <t>SGP</t>
        </is>
      </c>
      <c r="C213" t="inlineStr">
        <is>
          <t>SpyGlass Pharma, Inc.</t>
        </is>
      </c>
      <c r="D213" t="inlineStr">
        <is>
          <t>Pharmaceuticals</t>
        </is>
      </c>
      <c r="E213" s="6" t="inlineStr">
        <is>
          <t>NASDAQ</t>
        </is>
      </c>
      <c r="F213" s="1" t="n">
        <v>26.16</v>
      </c>
      <c r="G213" s="8">
        <f>F213*[211]Main!$C$4</f>
        <v/>
      </c>
      <c r="H213" s="10">
        <f>G213-[211]Main!$C$7+[211]Main!$C$8</f>
        <v/>
      </c>
      <c r="J213" s="1">
        <f>IF(ISNUMBER([211]Main!$C$11),[211]Main!$C$11,"")</f>
        <v/>
      </c>
      <c r="K213" s="57">
        <f>IFERROR(J213/F213-1,"")</f>
        <v/>
      </c>
      <c r="L213" s="12">
        <f>[211]Main!$C$15&amp;" ("&amp;[211]Main!$C$14&amp;")"</f>
        <v/>
      </c>
      <c r="M213" s="58" t="n">
        <v>46331</v>
      </c>
      <c r="N213" s="17" t="inlineStr">
        <is>
          <t>Earnings Nov 5 (est.) · Readout ~2027-02-28: Eye disease (other), Phase 3</t>
        </is>
      </c>
    </row>
    <row r="214">
      <c r="B214" s="3" t="inlineStr">
        <is>
          <t>AVBP</t>
        </is>
      </c>
      <c r="C214" t="inlineStr">
        <is>
          <t>ArriVent BioPharma, Inc.</t>
        </is>
      </c>
      <c r="D214" t="inlineStr">
        <is>
          <t>Biotechnology</t>
        </is>
      </c>
      <c r="E214" s="6" t="inlineStr">
        <is>
          <t>NASDAQ</t>
        </is>
      </c>
      <c r="F214" s="1" t="n">
        <v>18.85</v>
      </c>
      <c r="G214" s="8">
        <f>F214*[212]Main!$C$4</f>
        <v/>
      </c>
      <c r="H214" s="10">
        <f>G214-[212]Main!$C$7+[212]Main!$C$8</f>
        <v/>
      </c>
      <c r="J214" s="1">
        <f>IF(ISNUMBER([212]Main!$C$11),[212]Main!$C$11,"")</f>
        <v/>
      </c>
      <c r="K214" s="57">
        <f>IFERROR(J214/F214-1,"")</f>
        <v/>
      </c>
      <c r="L214" s="12">
        <f>[212]Main!$C$15&amp;" ("&amp;[212]Main!$C$14&amp;")"</f>
        <v/>
      </c>
      <c r="M214" s="58" t="n">
        <v>46335</v>
      </c>
      <c r="N214" s="17" t="inlineStr">
        <is>
          <t>Earnings Nov 9 (est.) · Readout ~2027-08: Ovarian cancer, Phase 1</t>
        </is>
      </c>
    </row>
    <row r="215">
      <c r="B215" s="3" t="inlineStr">
        <is>
          <t>ARDX</t>
        </is>
      </c>
      <c r="C215" t="inlineStr">
        <is>
          <t>Ardelyx, Inc.</t>
        </is>
      </c>
      <c r="D215" t="inlineStr">
        <is>
          <t>Biotechnology</t>
        </is>
      </c>
      <c r="E215" s="6" t="inlineStr">
        <is>
          <t>NASDAQ</t>
        </is>
      </c>
      <c r="F215" s="1" t="n">
        <v>3.21</v>
      </c>
      <c r="G215" s="8">
        <f>F215*[213]Main!$C$4</f>
        <v/>
      </c>
      <c r="H215" s="10">
        <f>G215-[213]Main!$C$7+[213]Main!$C$8</f>
        <v/>
      </c>
      <c r="J215" s="1">
        <f>IF(ISNUMBER([213]Main!$C$11),[213]Main!$C$11,"")</f>
        <v/>
      </c>
      <c r="K215" s="57">
        <f>IFERROR(J215/F215-1,"")</f>
        <v/>
      </c>
      <c r="L215" s="12">
        <f>[213]Main!$C$15&amp;" ("&amp;[213]Main!$C$14&amp;")"</f>
        <v/>
      </c>
      <c r="M215" s="58" t="n">
        <v>46324</v>
      </c>
      <c r="N215" s="17" t="inlineStr">
        <is>
          <t>Earnings Oct 29 (est.)</t>
        </is>
      </c>
    </row>
    <row r="216">
      <c r="B216" s="3" t="inlineStr">
        <is>
          <t>MLTX</t>
        </is>
      </c>
      <c r="C216" t="inlineStr">
        <is>
          <t>MoonLake Immunotherapeutics</t>
        </is>
      </c>
      <c r="D216" t="inlineStr">
        <is>
          <t>Biotechnology</t>
        </is>
      </c>
      <c r="E216" s="6" t="inlineStr">
        <is>
          <t>NASDAQ</t>
        </is>
      </c>
      <c r="F216" s="1" t="n">
        <v>10.32</v>
      </c>
      <c r="G216" s="8">
        <f>F216*[214]Main!$C$4</f>
        <v/>
      </c>
      <c r="H216" s="10">
        <f>G216-[214]Main!$C$7+[214]Main!$C$8</f>
        <v/>
      </c>
      <c r="J216" s="1">
        <f>IF(ISNUMBER([214]Main!$C$11),[214]Main!$C$11,"")</f>
        <v/>
      </c>
      <c r="K216" s="57">
        <f>IFERROR(J216/F216-1,"")</f>
        <v/>
      </c>
      <c r="L216" s="12">
        <f>[214]Main!$C$15&amp;" ("&amp;[214]Main!$C$14&amp;")"</f>
        <v/>
      </c>
      <c r="M216" s="58" t="n">
        <v>46330</v>
      </c>
      <c r="N216" s="17" t="inlineStr">
        <is>
          <t>Earnings Nov 4 (est.) · Readout ~2027-01-04: Psoriasis, Phase 3</t>
        </is>
      </c>
    </row>
    <row r="217">
      <c r="B217" s="3" t="inlineStr">
        <is>
          <t>KURA</t>
        </is>
      </c>
      <c r="C217" t="inlineStr">
        <is>
          <t>Kura Oncology, Inc.</t>
        </is>
      </c>
      <c r="D217" t="inlineStr">
        <is>
          <t>Biotechnology</t>
        </is>
      </c>
      <c r="E217" s="6" t="inlineStr">
        <is>
          <t>NASDAQ</t>
        </is>
      </c>
      <c r="F217" s="1" t="n">
        <v>9.98</v>
      </c>
      <c r="G217" s="8">
        <f>F217*[215]Main!$C$4</f>
        <v/>
      </c>
      <c r="H217" s="10">
        <f>G217-[215]Main!$C$7+[215]Main!$C$8</f>
        <v/>
      </c>
      <c r="J217" s="1">
        <f>IF(ISNUMBER([215]Main!$C$11),[215]Main!$C$11,"")</f>
        <v/>
      </c>
      <c r="K217" s="57">
        <f>IFERROR(J217/F217-1,"")</f>
        <v/>
      </c>
      <c r="L217" s="12">
        <f>[215]Main!$C$15&amp;" ("&amp;[215]Main!$C$14&amp;")"</f>
        <v/>
      </c>
      <c r="M217" s="58" t="n">
        <v>46329</v>
      </c>
      <c r="N217" s="17" t="inlineStr">
        <is>
          <t>Earnings Nov 3 (est.)</t>
        </is>
      </c>
    </row>
    <row r="218">
      <c r="B218" s="3" t="inlineStr">
        <is>
          <t>AKTS</t>
        </is>
      </c>
      <c r="C218" t="inlineStr">
        <is>
          <t>Aktis Oncology Inc</t>
        </is>
      </c>
      <c r="D218" t="inlineStr">
        <is>
          <t>Biotechnology</t>
        </is>
      </c>
      <c r="E218" s="6" t="inlineStr">
        <is>
          <t>NASDAQ</t>
        </is>
      </c>
      <c r="F218" s="1" t="n">
        <v>16.08</v>
      </c>
      <c r="G218" s="8">
        <f>F218*[216]Main!$C$4</f>
        <v/>
      </c>
      <c r="H218" s="10">
        <f>G218-[216]Main!$C$7+[216]Main!$C$8</f>
        <v/>
      </c>
      <c r="J218" s="1">
        <f>IF(ISNUMBER([216]Main!$C$11),[216]Main!$C$11,"")</f>
        <v/>
      </c>
      <c r="K218" s="57">
        <f>IFERROR(J218/F218-1,"")</f>
        <v/>
      </c>
      <c r="L218" s="12">
        <f>[216]Main!$C$15&amp;" ("&amp;[216]Main!$C$14&amp;")"</f>
        <v/>
      </c>
      <c r="M218" s="58" t="n">
        <v>46338</v>
      </c>
      <c r="N218" s="17" t="inlineStr">
        <is>
          <t>Earnings Nov 12 (est.) · Readout ~2027-12: Breast cancer, Phase 1</t>
        </is>
      </c>
    </row>
    <row r="219">
      <c r="B219" s="3" t="inlineStr">
        <is>
          <t>CRVS</t>
        </is>
      </c>
      <c r="C219" t="inlineStr">
        <is>
          <t>Corvus Pharmaceuticals, Inc.</t>
        </is>
      </c>
      <c r="D219" t="inlineStr">
        <is>
          <t>Biotechnology</t>
        </is>
      </c>
      <c r="E219" s="6" t="inlineStr">
        <is>
          <t>NASDAQ</t>
        </is>
      </c>
      <c r="F219" s="1" t="n">
        <v>10.23</v>
      </c>
      <c r="G219" s="8">
        <f>F219*[217]Main!$C$4</f>
        <v/>
      </c>
      <c r="H219" s="10">
        <f>G219-[217]Main!$C$7+[217]Main!$C$8</f>
        <v/>
      </c>
      <c r="J219" s="1">
        <f>IF(ISNUMBER([217]Main!$C$11),[217]Main!$C$11,"")</f>
        <v/>
      </c>
      <c r="K219" s="57">
        <f>IFERROR(J219/F219-1,"")</f>
        <v/>
      </c>
      <c r="L219" s="12">
        <f>[217]Main!$C$15&amp;" ("&amp;[217]Main!$C$14&amp;")"</f>
        <v/>
      </c>
      <c r="M219" s="58" t="n">
        <v>46329</v>
      </c>
      <c r="N219" s="17" t="inlineStr">
        <is>
          <t>Earnings Nov 3 (est.) · Readout ~2027-06: Atopic dermatitis, Phase 2</t>
        </is>
      </c>
    </row>
    <row r="220">
      <c r="B220" s="3" t="inlineStr">
        <is>
          <t>ALMS</t>
        </is>
      </c>
      <c r="C220" t="inlineStr">
        <is>
          <t>Alumis Inc.</t>
        </is>
      </c>
      <c r="D220" t="inlineStr">
        <is>
          <t>Pharmaceuticals</t>
        </is>
      </c>
      <c r="E220" s="6" t="inlineStr">
        <is>
          <t>NASDAQ</t>
        </is>
      </c>
      <c r="F220" s="1" t="n">
        <v>6.7</v>
      </c>
      <c r="G220" s="8">
        <f>F220*[218]Main!$C$4</f>
        <v/>
      </c>
      <c r="H220" s="10">
        <f>G220-[218]Main!$C$7+[218]Main!$C$8</f>
        <v/>
      </c>
      <c r="J220" s="1">
        <f>IF(ISNUMBER([218]Main!$C$11),[218]Main!$C$11,"")</f>
        <v/>
      </c>
      <c r="K220" s="57">
        <f>IFERROR(J220/F220-1,"")</f>
        <v/>
      </c>
      <c r="L220" s="12">
        <f>[218]Main!$C$15&amp;" ("&amp;[218]Main!$C$14&amp;")"</f>
        <v/>
      </c>
      <c r="M220" s="58" t="n">
        <v>46338</v>
      </c>
      <c r="N220" s="17" t="inlineStr">
        <is>
          <t>Earnings Nov 12 (est.) · Readout ~2027-12-01: Psoriasis, Phase 3</t>
        </is>
      </c>
    </row>
    <row r="221">
      <c r="B221" s="3" t="inlineStr">
        <is>
          <t>VSTM</t>
        </is>
      </c>
      <c r="C221" t="inlineStr">
        <is>
          <t>Verastem Inc</t>
        </is>
      </c>
      <c r="D221" t="inlineStr">
        <is>
          <t>Biotechnology</t>
        </is>
      </c>
      <c r="E221" s="6" t="inlineStr">
        <is>
          <t>NASDAQ</t>
        </is>
      </c>
      <c r="F221" s="1" t="n">
        <v>9.34</v>
      </c>
      <c r="G221" s="8">
        <f>F221*[219]Main!$C$4</f>
        <v/>
      </c>
      <c r="H221" s="10">
        <f>G221-[219]Main!$C$7+[219]Main!$C$8</f>
        <v/>
      </c>
      <c r="J221" s="1">
        <f>IF(ISNUMBER([219]Main!$C$11),[219]Main!$C$11,"")</f>
        <v/>
      </c>
      <c r="K221" s="57">
        <f>IFERROR(J221/F221-1,"")</f>
        <v/>
      </c>
      <c r="L221" s="12">
        <f>[219]Main!$C$15&amp;" ("&amp;[219]Main!$C$14&amp;")"</f>
        <v/>
      </c>
      <c r="M221" s="58" t="n">
        <v>46329</v>
      </c>
      <c r="N221" s="17" t="inlineStr">
        <is>
          <t>Earnings Nov 3 (est.)</t>
        </is>
      </c>
    </row>
    <row r="222">
      <c r="B222" s="3" t="inlineStr">
        <is>
          <t>APMD</t>
        </is>
      </c>
      <c r="C222" t="inlineStr">
        <is>
          <t>Apnimed Inc</t>
        </is>
      </c>
      <c r="D222" t="inlineStr">
        <is>
          <t>Pharmaceuticals</t>
        </is>
      </c>
      <c r="E222" s="6" t="inlineStr">
        <is>
          <t>NASDAQ</t>
        </is>
      </c>
      <c r="F222" s="1" t="n">
        <v>18.51</v>
      </c>
      <c r="G222" s="8">
        <f>F222*[220]Main!$C$4</f>
        <v/>
      </c>
      <c r="H222" s="10">
        <f>G222-[220]Main!$C$7+[220]Main!$C$8</f>
        <v/>
      </c>
      <c r="J222" s="1">
        <f>IF(ISNUMBER([220]Main!$C$11),[220]Main!$C$11,"")</f>
        <v/>
      </c>
      <c r="K222" s="57">
        <f>IFERROR(J222/F222-1,"")</f>
        <v/>
      </c>
      <c r="L222" s="12">
        <f>[220]Main!$C$15&amp;" ("&amp;[220]Main!$C$14&amp;")"</f>
        <v/>
      </c>
      <c r="M222" s="58" t="n">
        <v>46364</v>
      </c>
      <c r="N222" s="17" t="inlineStr">
        <is>
          <t>Earnings Dec 8 (est.) · PDUFA 2027-02-28: Movement / sleep disorders</t>
        </is>
      </c>
    </row>
    <row r="223">
      <c r="B223" s="3" t="inlineStr">
        <is>
          <t>COLL</t>
        </is>
      </c>
      <c r="C223" t="inlineStr">
        <is>
          <t>Collegium Pharmaceutical, Inc.</t>
        </is>
      </c>
      <c r="D223" t="inlineStr">
        <is>
          <t>Pharmaceuticals</t>
        </is>
      </c>
      <c r="E223" s="6" t="inlineStr">
        <is>
          <t>NASDAQ</t>
        </is>
      </c>
      <c r="F223" s="1" t="n">
        <v>23.33</v>
      </c>
      <c r="G223" s="8">
        <f>F223*[221]Main!$C$4</f>
        <v/>
      </c>
      <c r="H223" s="10">
        <f>G223-[221]Main!$C$7+[221]Main!$C$8</f>
        <v/>
      </c>
      <c r="J223" s="1">
        <f>IF(ISNUMBER([221]Main!$C$11),[221]Main!$C$11,"")</f>
        <v/>
      </c>
      <c r="K223" s="57">
        <f>IFERROR(J223/F223-1,"")</f>
        <v/>
      </c>
      <c r="L223" s="12">
        <f>[221]Main!$C$15&amp;" ("&amp;[221]Main!$C$14&amp;")"</f>
        <v/>
      </c>
      <c r="M223" s="58" t="n">
        <v>46331</v>
      </c>
      <c r="N223" s="17" t="inlineStr">
        <is>
          <t>Earnings Nov 5 (est.)</t>
        </is>
      </c>
    </row>
    <row r="224">
      <c r="B224" s="3" t="inlineStr">
        <is>
          <t>OBX</t>
        </is>
      </c>
      <c r="C224" t="inlineStr">
        <is>
          <t>Obsidian Therapeutics, Inc</t>
        </is>
      </c>
      <c r="D224" t="inlineStr">
        <is>
          <t>Biotechnology</t>
        </is>
      </c>
      <c r="E224" s="6" t="inlineStr">
        <is>
          <t>NASDAQ</t>
        </is>
      </c>
      <c r="F224" s="1" t="n">
        <v>13.25</v>
      </c>
      <c r="G224" s="8">
        <f>F224*[222]Main!$C$4</f>
        <v/>
      </c>
      <c r="H224" s="10">
        <f>G224-[222]Main!$C$7+[222]Main!$C$8</f>
        <v/>
      </c>
      <c r="J224" s="1">
        <f>IF(ISNUMBER([222]Main!$C$11),[222]Main!$C$11,"")</f>
        <v/>
      </c>
      <c r="K224" s="57">
        <f>IFERROR(J224/F224-1,"")</f>
        <v/>
      </c>
      <c r="L224" s="12">
        <f>[222]Main!$C$15&amp;" ("&amp;[222]Main!$C$14&amp;")"</f>
        <v/>
      </c>
      <c r="M224" s="58" t="n"/>
      <c r="N224" s="17" t="inlineStr">
        <is>
          <t>Readout ~2029-06-30: Lung cancer, Phase 1/2</t>
        </is>
      </c>
    </row>
    <row r="225">
      <c r="B225" s="3" t="inlineStr">
        <is>
          <t>GERN</t>
        </is>
      </c>
      <c r="C225" t="inlineStr">
        <is>
          <t>Geron Corporation</t>
        </is>
      </c>
      <c r="D225" t="inlineStr">
        <is>
          <t>Biotechnology</t>
        </is>
      </c>
      <c r="E225" s="6" t="inlineStr">
        <is>
          <t>NASDAQ</t>
        </is>
      </c>
      <c r="F225" s="1" t="n">
        <v>1.24</v>
      </c>
      <c r="G225" s="8">
        <f>F225*[223]Main!$C$4</f>
        <v/>
      </c>
      <c r="H225" s="10">
        <f>G225-[223]Main!$C$7+[223]Main!$C$8</f>
        <v/>
      </c>
      <c r="J225" s="1">
        <f>IF(ISNUMBER([223]Main!$C$11),[223]Main!$C$11,"")</f>
        <v/>
      </c>
      <c r="K225" s="57">
        <f>IFERROR(J225/F225-1,"")</f>
        <v/>
      </c>
      <c r="L225" s="12">
        <f>[223]Main!$C$15&amp;" ("&amp;[223]Main!$C$14&amp;")"</f>
        <v/>
      </c>
      <c r="M225" s="58" t="n">
        <v>46330</v>
      </c>
      <c r="N225" s="17" t="inlineStr">
        <is>
          <t>Earnings Nov 4 (est.)</t>
        </is>
      </c>
    </row>
    <row r="226">
      <c r="B226" s="3" t="inlineStr">
        <is>
          <t>SANA</t>
        </is>
      </c>
      <c r="C226" t="inlineStr">
        <is>
          <t>Sana Biotechnology, Inc.</t>
        </is>
      </c>
      <c r="D226" t="inlineStr">
        <is>
          <t>Biotechnology</t>
        </is>
      </c>
      <c r="E226" s="6" t="inlineStr">
        <is>
          <t>NASDAQ</t>
        </is>
      </c>
      <c r="F226" s="1" t="n">
        <v>2.36</v>
      </c>
      <c r="G226" s="8">
        <f>F226*[224]Main!$C$4</f>
        <v/>
      </c>
      <c r="H226" s="10">
        <f>G226-[224]Main!$C$7+[224]Main!$C$8</f>
        <v/>
      </c>
      <c r="J226" s="1">
        <f>IF(ISNUMBER([224]Main!$C$11),[224]Main!$C$11,"")</f>
        <v/>
      </c>
      <c r="K226" s="57">
        <f>IFERROR(J226/F226-1,"")</f>
        <v/>
      </c>
      <c r="L226" s="12">
        <f>[224]Main!$C$15&amp;" ("&amp;[224]Main!$C$14&amp;")"</f>
        <v/>
      </c>
      <c r="M226" s="58" t="n">
        <v>46331</v>
      </c>
      <c r="N226" s="17" t="inlineStr">
        <is>
          <t>Earnings Nov 5 (est.) · Readout ~2027-12: Lupus / Sjogren's, Phase 1</t>
        </is>
      </c>
    </row>
    <row r="227">
      <c r="B227" s="3" t="inlineStr">
        <is>
          <t>FDMT</t>
        </is>
      </c>
      <c r="C227" t="inlineStr">
        <is>
          <t>4D Molecular Therapeutics Inc</t>
        </is>
      </c>
      <c r="D227" t="inlineStr">
        <is>
          <t>Biotechnology</t>
        </is>
      </c>
      <c r="E227" s="6" t="inlineStr">
        <is>
          <t>NASDAQ</t>
        </is>
      </c>
      <c r="F227" s="1" t="n">
        <v>13.1</v>
      </c>
      <c r="G227" s="8">
        <f>F227*[225]Main!$C$4</f>
        <v/>
      </c>
      <c r="H227" s="10">
        <f>G227-[225]Main!$C$7+[225]Main!$C$8</f>
        <v/>
      </c>
      <c r="J227" s="1">
        <f>IF(ISNUMBER([225]Main!$C$11),[225]Main!$C$11,"")</f>
        <v/>
      </c>
      <c r="K227" s="57">
        <f>IFERROR(J227/F227-1,"")</f>
        <v/>
      </c>
      <c r="L227" s="12">
        <f>[225]Main!$C$15&amp;" ("&amp;[225]Main!$C$14&amp;")"</f>
        <v/>
      </c>
      <c r="M227" s="58" t="n">
        <v>46335</v>
      </c>
      <c r="N227" s="17" t="inlineStr">
        <is>
          <t>Earnings Nov 9 (est.)</t>
        </is>
      </c>
    </row>
    <row r="228">
      <c r="B228" s="3" t="inlineStr">
        <is>
          <t>ANNX</t>
        </is>
      </c>
      <c r="C228" t="inlineStr">
        <is>
          <t>Annexon, Inc.</t>
        </is>
      </c>
      <c r="D228" t="inlineStr">
        <is>
          <t>Biotechnology</t>
        </is>
      </c>
      <c r="E228" s="6" t="inlineStr">
        <is>
          <t>NASDAQ</t>
        </is>
      </c>
      <c r="F228" s="1" t="n">
        <v>3.83</v>
      </c>
      <c r="G228" s="8">
        <f>F228*[226]Main!$C$4</f>
        <v/>
      </c>
      <c r="H228" s="10">
        <f>G228-[226]Main!$C$7+[226]Main!$C$8</f>
        <v/>
      </c>
      <c r="J228" s="1">
        <f>IF(ISNUMBER([226]Main!$C$11),[226]Main!$C$11,"")</f>
        <v/>
      </c>
      <c r="K228" s="57">
        <f>IFERROR(J228/F228-1,"")</f>
        <v/>
      </c>
      <c r="L228" s="12">
        <f>[226]Main!$C$15&amp;" ("&amp;[226]Main!$C$14&amp;")"</f>
        <v/>
      </c>
      <c r="M228" s="58" t="n">
        <v>46335</v>
      </c>
      <c r="N228" s="17" t="inlineStr">
        <is>
          <t>Earnings Nov 9 (est.) · Readout ~2027-05-31: Myasthenia gravis / neuromuscular, Phase 3</t>
        </is>
      </c>
    </row>
    <row r="229">
      <c r="B229" s="3" t="inlineStr">
        <is>
          <t>GYRE</t>
        </is>
      </c>
      <c r="C229" t="inlineStr">
        <is>
          <t>Gyre Therapeutics, Inc.</t>
        </is>
      </c>
      <c r="D229" t="inlineStr">
        <is>
          <t>Biotechnology</t>
        </is>
      </c>
      <c r="E229" s="6" t="inlineStr">
        <is>
          <t>NASDAQ</t>
        </is>
      </c>
      <c r="F229" s="1" t="n">
        <v>6.17</v>
      </c>
      <c r="G229" s="8">
        <f>F229*[227]Main!$C$4</f>
        <v/>
      </c>
      <c r="H229" s="10">
        <f>G229-[227]Main!$C$7+[227]Main!$C$8</f>
        <v/>
      </c>
      <c r="J229" s="1">
        <f>IF(ISNUMBER([227]Main!$C$11),[227]Main!$C$11,"")</f>
        <v/>
      </c>
      <c r="K229" s="57">
        <f>IFERROR(J229/F229-1,"")</f>
        <v/>
      </c>
      <c r="L229" s="12">
        <f>[227]Main!$C$15&amp;" ("&amp;[227]Main!$C$14&amp;")"</f>
        <v/>
      </c>
      <c r="M229" s="58" t="n">
        <v>46332</v>
      </c>
      <c r="N229" s="17" t="inlineStr">
        <is>
          <t>Earnings Nov 6 (est.)</t>
        </is>
      </c>
    </row>
    <row r="230">
      <c r="B230" s="3" t="inlineStr">
        <is>
          <t>LXRX</t>
        </is>
      </c>
      <c r="C230" t="inlineStr">
        <is>
          <t>Lexicon Pharmaceuticals, Inc.</t>
        </is>
      </c>
      <c r="D230" t="inlineStr">
        <is>
          <t>Pharmaceuticals</t>
        </is>
      </c>
      <c r="E230" s="6" t="inlineStr">
        <is>
          <t>NASDAQ</t>
        </is>
      </c>
      <c r="F230" s="1" t="n">
        <v>1.55</v>
      </c>
      <c r="G230" s="8">
        <f>F230*[228]Main!$C$4</f>
        <v/>
      </c>
      <c r="H230" s="10">
        <f>G230-[228]Main!$C$7+[228]Main!$C$8</f>
        <v/>
      </c>
      <c r="J230" s="1">
        <f>IF(ISNUMBER([228]Main!$C$11),[228]Main!$C$11,"")</f>
        <v/>
      </c>
      <c r="K230" s="57">
        <f>IFERROR(J230/F230-1,"")</f>
        <v/>
      </c>
      <c r="L230" s="12">
        <f>[228]Main!$C$15&amp;" ("&amp;[228]Main!$C$14&amp;")"</f>
        <v/>
      </c>
      <c r="M230" s="58" t="n">
        <v>46331</v>
      </c>
      <c r="N230" s="17" t="inlineStr">
        <is>
          <t>Earnings Nov 5 (est.) · Readout ~2027-01: Cardiomyopathy, Phase 3</t>
        </is>
      </c>
    </row>
    <row r="231">
      <c r="B231" s="3" t="inlineStr">
        <is>
          <t>ATTO</t>
        </is>
      </c>
      <c r="C231" t="inlineStr">
        <is>
          <t>Attovia Therapeutics Inc</t>
        </is>
      </c>
      <c r="D231" t="inlineStr">
        <is>
          <t>Biotechnology</t>
        </is>
      </c>
      <c r="E231" s="6" t="inlineStr">
        <is>
          <t>NASDAQ</t>
        </is>
      </c>
      <c r="F231" s="1" t="n">
        <v>14.04</v>
      </c>
      <c r="G231" s="8">
        <f>F231*[229]Main!$C$4</f>
        <v/>
      </c>
      <c r="H231" s="10">
        <f>G231-[229]Main!$C$7+[229]Main!$C$8</f>
        <v/>
      </c>
      <c r="J231" s="1">
        <f>IF(ISNUMBER([229]Main!$C$11),[229]Main!$C$11,"")</f>
        <v/>
      </c>
      <c r="K231" s="57">
        <f>IFERROR(J231/F231-1,"")</f>
        <v/>
      </c>
      <c r="L231" s="12">
        <f>[229]Main!$C$15&amp;" ("&amp;[229]Main!$C$14&amp;")"</f>
        <v/>
      </c>
      <c r="M231" s="58" t="n">
        <v>46358</v>
      </c>
      <c r="N231" s="17" t="inlineStr">
        <is>
          <t>Earnings Dec 2 (est.) · Readout ~2028-07-15: IBD (UC / Crohn's), Phase 1</t>
        </is>
      </c>
    </row>
    <row r="232">
      <c r="B232" s="3" t="inlineStr">
        <is>
          <t>PHAR</t>
        </is>
      </c>
      <c r="C232" t="inlineStr">
        <is>
          <t>Pharming Group N.V.</t>
        </is>
      </c>
      <c r="D232" t="inlineStr">
        <is>
          <t>Biotechnology</t>
        </is>
      </c>
      <c r="E232" s="6" t="inlineStr">
        <is>
          <t>NASDAQ</t>
        </is>
      </c>
      <c r="F232" s="1" t="n">
        <v>9.75</v>
      </c>
      <c r="G232" s="8">
        <f>F232*[230]Main!$C$4</f>
        <v/>
      </c>
      <c r="H232" s="10">
        <f>G232-[230]Main!$C$7+[230]Main!$C$8</f>
        <v/>
      </c>
      <c r="J232" s="1">
        <f>IF(ISNUMBER([230]Main!$C$11),[230]Main!$C$11,"")</f>
        <v/>
      </c>
      <c r="K232" s="57">
        <f>IFERROR(J232/F232-1,"")</f>
        <v/>
      </c>
      <c r="L232" s="12">
        <f>[230]Main!$C$15&amp;" ("&amp;[230]Main!$C$14&amp;")"</f>
        <v/>
      </c>
      <c r="M232" s="58" t="n">
        <v>46331</v>
      </c>
      <c r="N232" s="17" t="inlineStr">
        <is>
          <t>Earnings Nov 5 (est.)</t>
        </is>
      </c>
    </row>
    <row r="233">
      <c r="B233" s="3" t="inlineStr">
        <is>
          <t>ACHV</t>
        </is>
      </c>
      <c r="C233" t="inlineStr">
        <is>
          <t>Achieve Life Sciences, Inc.</t>
        </is>
      </c>
      <c r="D233" t="inlineStr">
        <is>
          <t>Biotechnology</t>
        </is>
      </c>
      <c r="E233" s="6" t="inlineStr">
        <is>
          <t>NASDAQ</t>
        </is>
      </c>
      <c r="F233" s="1" t="n">
        <v>6.51</v>
      </c>
      <c r="G233" s="8">
        <f>F233*[231]Main!$C$4</f>
        <v/>
      </c>
      <c r="H233" s="10">
        <f>G233-[231]Main!$C$7+[231]Main!$C$8</f>
        <v/>
      </c>
      <c r="J233" s="1">
        <f>IF(ISNUMBER([231]Main!$C$11),[231]Main!$C$11,"")</f>
        <v/>
      </c>
      <c r="K233" s="57">
        <f>IFERROR(J233/F233-1,"")</f>
        <v/>
      </c>
      <c r="L233" s="12">
        <f>[231]Main!$C$15&amp;" ("&amp;[231]Main!$C$14&amp;")"</f>
        <v/>
      </c>
      <c r="M233" s="58" t="n">
        <v>46331</v>
      </c>
      <c r="N233" s="17" t="inlineStr">
        <is>
          <t>Earnings Nov 5 (est.)</t>
        </is>
      </c>
    </row>
    <row r="234">
      <c r="B234" s="3" t="inlineStr">
        <is>
          <t>MDXG</t>
        </is>
      </c>
      <c r="C234" t="inlineStr">
        <is>
          <t>MiMedx Group, Inc.</t>
        </is>
      </c>
      <c r="D234" t="inlineStr">
        <is>
          <t>Biotechnology</t>
        </is>
      </c>
      <c r="E234" s="6" t="inlineStr">
        <is>
          <t>NASDAQ</t>
        </is>
      </c>
      <c r="F234" s="1" t="n">
        <v>4.23</v>
      </c>
      <c r="G234" s="8">
        <f>F234*[232]Main!$C$4</f>
        <v/>
      </c>
      <c r="H234" s="10">
        <f>G234-[232]Main!$C$7+[232]Main!$C$8</f>
        <v/>
      </c>
      <c r="J234" s="1">
        <f>IF(ISNUMBER([232]Main!$C$11),[232]Main!$C$11,"")</f>
        <v/>
      </c>
      <c r="K234" s="57">
        <f>IFERROR(J234/F234-1,"")</f>
        <v/>
      </c>
      <c r="L234" s="12">
        <f>[232]Main!$C$15&amp;" ("&amp;[232]Main!$C$14&amp;")"</f>
        <v/>
      </c>
      <c r="M234" s="58" t="n">
        <v>46323</v>
      </c>
      <c r="N234" s="17" t="inlineStr">
        <is>
          <t>Earnings Oct 28 (after close)</t>
        </is>
      </c>
    </row>
    <row r="235">
      <c r="B235" s="3" t="inlineStr">
        <is>
          <t>DSGN</t>
        </is>
      </c>
      <c r="C235" t="inlineStr">
        <is>
          <t>Design Therapeutics, Inc.</t>
        </is>
      </c>
      <c r="D235" t="inlineStr">
        <is>
          <t>Biotechnology</t>
        </is>
      </c>
      <c r="E235" s="6" t="inlineStr">
        <is>
          <t>NASDAQ</t>
        </is>
      </c>
      <c r="F235" s="1" t="n">
        <v>11.1</v>
      </c>
      <c r="G235" s="8">
        <f>F235*[233]Main!$C$4</f>
        <v/>
      </c>
      <c r="H235" s="10">
        <f>G235-[233]Main!$C$7+[233]Main!$C$8</f>
        <v/>
      </c>
      <c r="J235" s="1">
        <f>IF(ISNUMBER([233]Main!$C$11),[233]Main!$C$11,"")</f>
        <v/>
      </c>
      <c r="K235" s="57">
        <f>IFERROR(J235/F235-1,"")</f>
        <v/>
      </c>
      <c r="L235" s="12">
        <f>[233]Main!$C$15&amp;" ("&amp;[233]Main!$C$14&amp;")"</f>
        <v/>
      </c>
      <c r="M235" s="58" t="n">
        <v>46330</v>
      </c>
      <c r="N235" s="17" t="inlineStr">
        <is>
          <t>Earnings Nov 4 (est.) · Readout ~2026-12: Muscular dystrophy / SMA, Phase 1/2</t>
        </is>
      </c>
    </row>
    <row r="236">
      <c r="B236" s="3" t="inlineStr">
        <is>
          <t>AVTX</t>
        </is>
      </c>
      <c r="C236" t="inlineStr">
        <is>
          <t>Avalo Therapeutics, Inc.</t>
        </is>
      </c>
      <c r="D236" t="inlineStr">
        <is>
          <t>Biotechnology</t>
        </is>
      </c>
      <c r="E236" s="6" t="inlineStr">
        <is>
          <t>NASDAQ</t>
        </is>
      </c>
      <c r="F236" s="1" t="n">
        <v>12.36</v>
      </c>
      <c r="G236" s="8">
        <f>F236*[234]Main!$C$4</f>
        <v/>
      </c>
      <c r="H236" s="10">
        <f>G236-[234]Main!$C$7+[234]Main!$C$8</f>
        <v/>
      </c>
      <c r="J236" s="1">
        <f>IF(ISNUMBER([234]Main!$C$11),[234]Main!$C$11,"")</f>
        <v/>
      </c>
      <c r="K236" s="57">
        <f>IFERROR(J236/F236-1,"")</f>
        <v/>
      </c>
      <c r="L236" s="12">
        <f>[234]Main!$C$15&amp;" ("&amp;[234]Main!$C$14&amp;")"</f>
        <v/>
      </c>
      <c r="M236" s="58" t="n">
        <v>46331</v>
      </c>
      <c r="N236" s="17" t="inlineStr">
        <is>
          <t>Earnings Nov 5 (est.)</t>
        </is>
      </c>
    </row>
    <row r="237">
      <c r="B237" s="3" t="inlineStr">
        <is>
          <t>AURA</t>
        </is>
      </c>
      <c r="C237" t="inlineStr">
        <is>
          <t>Aura Biosciences, Inc.</t>
        </is>
      </c>
      <c r="D237" t="inlineStr">
        <is>
          <t>Biotechnology</t>
        </is>
      </c>
      <c r="E237" s="6" t="inlineStr">
        <is>
          <t>NASDAQ</t>
        </is>
      </c>
      <c r="F237" s="1" t="n">
        <v>6.56</v>
      </c>
      <c r="G237" s="8">
        <f>F237*[235]Main!$C$4</f>
        <v/>
      </c>
      <c r="H237" s="10">
        <f>G237-[235]Main!$C$7+[235]Main!$C$8</f>
        <v/>
      </c>
      <c r="J237" s="1">
        <f>IF(ISNUMBER([235]Main!$C$11),[235]Main!$C$11,"")</f>
        <v/>
      </c>
      <c r="K237" s="57">
        <f>IFERROR(J237/F237-1,"")</f>
        <v/>
      </c>
      <c r="L237" s="12">
        <f>[235]Main!$C$15&amp;" ("&amp;[235]Main!$C$14&amp;")"</f>
        <v/>
      </c>
      <c r="M237" s="58" t="n">
        <v>46338</v>
      </c>
      <c r="N237" s="17" t="inlineStr">
        <is>
          <t>Earnings Nov 12 (est.) · Readout ~2026-11-30: Solid tumors (basket), Phase 2</t>
        </is>
      </c>
    </row>
    <row r="238">
      <c r="B238" s="3" t="inlineStr">
        <is>
          <t>PRME</t>
        </is>
      </c>
      <c r="C238" t="inlineStr">
        <is>
          <t>Prime Medicine, Inc.</t>
        </is>
      </c>
      <c r="D238" t="inlineStr">
        <is>
          <t>Biotechnology</t>
        </is>
      </c>
      <c r="E238" s="6" t="inlineStr">
        <is>
          <t>NASDAQ</t>
        </is>
      </c>
      <c r="F238" s="1" t="n">
        <v>3.92</v>
      </c>
      <c r="G238" s="8">
        <f>F238*[236]Main!$C$4</f>
        <v/>
      </c>
      <c r="H238" s="10">
        <f>G238-[236]Main!$C$7+[236]Main!$C$8</f>
        <v/>
      </c>
      <c r="J238" s="1">
        <f>IF(ISNUMBER([236]Main!$C$11),[236]Main!$C$11,"")</f>
        <v/>
      </c>
      <c r="K238" s="57">
        <f>IFERROR(J238/F238-1,"")</f>
        <v/>
      </c>
      <c r="L238" s="12">
        <f>[236]Main!$C$15&amp;" ("&amp;[236]Main!$C$14&amp;")"</f>
        <v/>
      </c>
      <c r="M238" s="58" t="n">
        <v>46332</v>
      </c>
      <c r="N238" s="17" t="inlineStr">
        <is>
          <t>Earnings Nov 6 (est.) · Readout ~2028-11: Rare metabolic / lysosomal, Phase 1/2</t>
        </is>
      </c>
    </row>
    <row r="239">
      <c r="B239" s="3" t="inlineStr">
        <is>
          <t>CADL</t>
        </is>
      </c>
      <c r="C239" t="inlineStr">
        <is>
          <t>Candel Therapeutics Inc</t>
        </is>
      </c>
      <c r="D239" t="inlineStr">
        <is>
          <t>Biotechnology</t>
        </is>
      </c>
      <c r="E239" s="6" t="inlineStr">
        <is>
          <t>NASDAQ</t>
        </is>
      </c>
      <c r="F239" s="1" t="n">
        <v>8.640000000000001</v>
      </c>
      <c r="G239" s="8">
        <f>F239*[237]Main!$C$4</f>
        <v/>
      </c>
      <c r="H239" s="10">
        <f>G239-[237]Main!$C$7+[237]Main!$C$8</f>
        <v/>
      </c>
      <c r="J239" s="1">
        <f>IF(ISNUMBER([237]Main!$C$11),[237]Main!$C$11,"")</f>
        <v/>
      </c>
      <c r="K239" s="57">
        <f>IFERROR(J239/F239-1,"")</f>
        <v/>
      </c>
      <c r="L239" s="12">
        <f>[237]Main!$C$15&amp;" ("&amp;[237]Main!$C$14&amp;")"</f>
        <v/>
      </c>
      <c r="M239" s="58" t="n">
        <v>46338</v>
      </c>
      <c r="N239" s="17" t="inlineStr">
        <is>
          <t>Earnings Nov 12 (est.) · Readout ~2027-02: Prostate cancer, Phase 3</t>
        </is>
      </c>
    </row>
    <row r="240">
      <c r="B240" s="3" t="inlineStr">
        <is>
          <t>CLYM</t>
        </is>
      </c>
      <c r="C240" t="inlineStr">
        <is>
          <t>Climb Bio Inc</t>
        </is>
      </c>
      <c r="D240" t="inlineStr">
        <is>
          <t>Biotechnology</t>
        </is>
      </c>
      <c r="E240" s="6" t="inlineStr">
        <is>
          <t>NASDAQ</t>
        </is>
      </c>
      <c r="F240" s="1" t="n">
        <v>10.8</v>
      </c>
      <c r="G240" s="8">
        <f>F240*[238]Main!$C$4</f>
        <v/>
      </c>
      <c r="H240" s="10">
        <f>G240-[238]Main!$C$7+[238]Main!$C$8</f>
        <v/>
      </c>
      <c r="J240" s="1">
        <f>IF(ISNUMBER([238]Main!$C$11),[238]Main!$C$11,"")</f>
        <v/>
      </c>
      <c r="K240" s="57">
        <f>IFERROR(J240/F240-1,"")</f>
        <v/>
      </c>
      <c r="L240" s="12">
        <f>[238]Main!$C$15&amp;" ("&amp;[238]Main!$C$14&amp;")"</f>
        <v/>
      </c>
      <c r="M240" s="58" t="n">
        <v>46331</v>
      </c>
      <c r="N240" s="17" t="inlineStr">
        <is>
          <t>Earnings Nov 5 (est.) · Readout ~2027-04: Lupus / Sjogren's, Phase 1/2</t>
        </is>
      </c>
    </row>
    <row r="241">
      <c r="B241" s="3" t="inlineStr">
        <is>
          <t>IRWD</t>
        </is>
      </c>
      <c r="C241" t="inlineStr">
        <is>
          <t>Ironwood Pharmaceuticals, Inc.</t>
        </is>
      </c>
      <c r="D241" t="inlineStr">
        <is>
          <t>Biotechnology</t>
        </is>
      </c>
      <c r="E241" s="6" t="inlineStr">
        <is>
          <t>NASDAQ</t>
        </is>
      </c>
      <c r="F241" s="1" t="n">
        <v>3.63</v>
      </c>
      <c r="G241" s="8">
        <f>F241*[239]Main!$C$4</f>
        <v/>
      </c>
      <c r="H241" s="10">
        <f>G241-[239]Main!$C$7+[239]Main!$C$8</f>
        <v/>
      </c>
      <c r="J241" s="1">
        <f>IF(ISNUMBER([239]Main!$C$11),[239]Main!$C$11,"")</f>
        <v/>
      </c>
      <c r="K241" s="57">
        <f>IFERROR(J241/F241-1,"")</f>
        <v/>
      </c>
      <c r="L241" s="12">
        <f>[239]Main!$C$15&amp;" ("&amp;[239]Main!$C$14&amp;")"</f>
        <v/>
      </c>
      <c r="M241" s="58" t="n">
        <v>46335</v>
      </c>
      <c r="N241" s="17" t="inlineStr">
        <is>
          <t>Earnings Nov 9 (est.)</t>
        </is>
      </c>
    </row>
    <row r="242">
      <c r="B242" s="3" t="inlineStr">
        <is>
          <t>IMMX</t>
        </is>
      </c>
      <c r="C242" t="inlineStr">
        <is>
          <t>Immix Biopharma, Inc.</t>
        </is>
      </c>
      <c r="D242" t="inlineStr">
        <is>
          <t>Biotechnology</t>
        </is>
      </c>
      <c r="E242" s="6" t="inlineStr">
        <is>
          <t>NASDAQ</t>
        </is>
      </c>
      <c r="F242" s="1" t="n">
        <v>8.91</v>
      </c>
      <c r="G242" s="8">
        <f>F242*[240]Main!$C$4</f>
        <v/>
      </c>
      <c r="H242" s="10">
        <f>G242-[240]Main!$C$7+[240]Main!$C$8</f>
        <v/>
      </c>
      <c r="J242" s="1">
        <f>IF(ISNUMBER([240]Main!$C$11),[240]Main!$C$11,"")</f>
        <v/>
      </c>
      <c r="K242" s="57">
        <f>IFERROR(J242/F242-1,"")</f>
        <v/>
      </c>
      <c r="L242" s="12">
        <f>[240]Main!$C$15&amp;" ("&amp;[240]Main!$C$14&amp;")"</f>
        <v/>
      </c>
      <c r="M242" s="58" t="n">
        <v>46332</v>
      </c>
      <c r="N242" s="17" t="inlineStr">
        <is>
          <t>Earnings Nov 6 (est.)</t>
        </is>
      </c>
    </row>
    <row r="243">
      <c r="B243" s="3" t="inlineStr">
        <is>
          <t>NVCT</t>
        </is>
      </c>
      <c r="C243" t="inlineStr">
        <is>
          <t>Nuvectis Pharma Inc</t>
        </is>
      </c>
      <c r="D243" t="inlineStr">
        <is>
          <t>Biotechnology</t>
        </is>
      </c>
      <c r="E243" s="6" t="inlineStr">
        <is>
          <t>NASDAQ</t>
        </is>
      </c>
      <c r="F243" s="1" t="n">
        <v>20.59</v>
      </c>
      <c r="G243" s="8">
        <f>F243*[241]Main!$C$4</f>
        <v/>
      </c>
      <c r="H243" s="10">
        <f>G243-[241]Main!$C$7+[241]Main!$C$8</f>
        <v/>
      </c>
      <c r="J243" s="1">
        <f>IF(ISNUMBER([241]Main!$C$11),[241]Main!$C$11,"")</f>
        <v/>
      </c>
      <c r="K243" s="57">
        <f>IFERROR(J243/F243-1,"")</f>
        <v/>
      </c>
      <c r="L243" s="12">
        <f>[241]Main!$C$15&amp;" ("&amp;[241]Main!$C$14&amp;")"</f>
        <v/>
      </c>
      <c r="M243" s="58" t="n">
        <v>46329</v>
      </c>
      <c r="N243" s="17" t="inlineStr">
        <is>
          <t>Earnings Nov 3 (est.) · Readout ~2026-12: Lung cancer, Phase 1</t>
        </is>
      </c>
    </row>
    <row r="244">
      <c r="B244" s="3" t="inlineStr">
        <is>
          <t>WVE</t>
        </is>
      </c>
      <c r="C244" t="inlineStr">
        <is>
          <t>Wave Life Sciences Ltd.</t>
        </is>
      </c>
      <c r="D244" t="inlineStr">
        <is>
          <t>Pharmaceuticals</t>
        </is>
      </c>
      <c r="E244" s="6" t="inlineStr">
        <is>
          <t>NASDAQ</t>
        </is>
      </c>
      <c r="F244" s="1" t="n">
        <v>3.385</v>
      </c>
      <c r="G244" s="8">
        <f>F244*[242]Main!$C$4</f>
        <v/>
      </c>
      <c r="H244" s="10">
        <f>G244-[242]Main!$C$7+[242]Main!$C$8</f>
        <v/>
      </c>
      <c r="J244" s="1">
        <f>IF(ISNUMBER([242]Main!$C$11),[242]Main!$C$11,"")</f>
        <v/>
      </c>
      <c r="K244" s="57">
        <f>IFERROR(J244/F244-1,"")</f>
        <v/>
      </c>
      <c r="L244" s="12">
        <f>[242]Main!$C$15&amp;" ("&amp;[242]Main!$C$14&amp;")"</f>
        <v/>
      </c>
      <c r="M244" s="58" t="n">
        <v>46335</v>
      </c>
      <c r="N244" s="17" t="inlineStr">
        <is>
          <t>Earnings Nov 9 (est.)</t>
        </is>
      </c>
    </row>
    <row r="245">
      <c r="B245" s="3" t="inlineStr">
        <is>
          <t>ZVRA</t>
        </is>
      </c>
      <c r="C245" t="inlineStr">
        <is>
          <t>Zevra Therapeutics Inc</t>
        </is>
      </c>
      <c r="D245" t="inlineStr">
        <is>
          <t>Pharmaceuticals</t>
        </is>
      </c>
      <c r="E245" s="6" t="inlineStr">
        <is>
          <t>NASDAQ</t>
        </is>
      </c>
      <c r="F245" s="1" t="n">
        <v>10.47</v>
      </c>
      <c r="G245" s="8">
        <f>F245*[243]Main!$C$4</f>
        <v/>
      </c>
      <c r="H245" s="10">
        <f>G245-[243]Main!$C$7+[243]Main!$C$8</f>
        <v/>
      </c>
      <c r="J245" s="1">
        <f>IF(ISNUMBER([243]Main!$C$11),[243]Main!$C$11,"")</f>
        <v/>
      </c>
      <c r="K245" s="57">
        <f>IFERROR(J245/F245-1,"")</f>
        <v/>
      </c>
      <c r="L245" s="12">
        <f>[243]Main!$C$15&amp;" ("&amp;[243]Main!$C$14&amp;")"</f>
        <v/>
      </c>
      <c r="M245" s="58" t="n">
        <v>46330</v>
      </c>
      <c r="N245" s="17" t="inlineStr">
        <is>
          <t>Earnings Nov 4 (est.)</t>
        </is>
      </c>
    </row>
    <row r="246">
      <c r="B246" s="3" t="inlineStr">
        <is>
          <t>SLDB</t>
        </is>
      </c>
      <c r="C246" t="inlineStr">
        <is>
          <t>Solid Biosciences Inc</t>
        </is>
      </c>
      <c r="D246" t="inlineStr">
        <is>
          <t>Biotechnology</t>
        </is>
      </c>
      <c r="E246" s="6" t="inlineStr">
        <is>
          <t>NASDAQ</t>
        </is>
      </c>
      <c r="F246" s="1" t="n">
        <v>6.4</v>
      </c>
      <c r="G246" s="8">
        <f>F246*[244]Main!$C$4</f>
        <v/>
      </c>
      <c r="H246" s="10">
        <f>G246-[244]Main!$C$7+[244]Main!$C$8</f>
        <v/>
      </c>
      <c r="J246" s="1">
        <f>IF(ISNUMBER([244]Main!$C$11),[244]Main!$C$11,"")</f>
        <v/>
      </c>
      <c r="K246" s="57">
        <f>IFERROR(J246/F246-1,"")</f>
        <v/>
      </c>
      <c r="L246" s="12">
        <f>[244]Main!$C$15&amp;" ("&amp;[244]Main!$C$14&amp;")"</f>
        <v/>
      </c>
      <c r="M246" s="58" t="n">
        <v>46328</v>
      </c>
      <c r="N246" s="17" t="inlineStr">
        <is>
          <t>Earnings Nov 2 (est.) · Readout ~2026-11-30: Muscular dystrophy / SMA, Phase 3</t>
        </is>
      </c>
    </row>
    <row r="247">
      <c r="B247" s="3" t="inlineStr">
        <is>
          <t>OLMA</t>
        </is>
      </c>
      <c r="C247" t="inlineStr">
        <is>
          <t>Olema Pharmaceuticals, Inc.</t>
        </is>
      </c>
      <c r="D247" t="inlineStr">
        <is>
          <t>Biotechnology</t>
        </is>
      </c>
      <c r="E247" s="6" t="inlineStr">
        <is>
          <t>NASDAQ</t>
        </is>
      </c>
      <c r="F247" s="1" t="n">
        <v>7.25</v>
      </c>
      <c r="G247" s="8">
        <f>F247*[245]Main!$C$4</f>
        <v/>
      </c>
      <c r="H247" s="10">
        <f>G247-[245]Main!$C$7+[245]Main!$C$8</f>
        <v/>
      </c>
      <c r="J247" s="1">
        <f>IF(ISNUMBER([245]Main!$C$11),[245]Main!$C$11,"")</f>
        <v/>
      </c>
      <c r="K247" s="57">
        <f>IFERROR(J247/F247-1,"")</f>
        <v/>
      </c>
      <c r="L247" s="12">
        <f>[245]Main!$C$15&amp;" ("&amp;[245]Main!$C$14&amp;")"</f>
        <v/>
      </c>
      <c r="M247" s="58" t="n">
        <v>46335</v>
      </c>
      <c r="N247" s="17" t="inlineStr">
        <is>
          <t>Earnings Nov 9 (est.) · Readout ~2026-10-31: Breast cancer, Phase 3</t>
        </is>
      </c>
    </row>
    <row r="248">
      <c r="B248" s="3" t="inlineStr">
        <is>
          <t>IVA</t>
        </is>
      </c>
      <c r="C248" t="inlineStr">
        <is>
          <t>Inventiva SA</t>
        </is>
      </c>
      <c r="D248" t="inlineStr">
        <is>
          <t>Biotechnology</t>
        </is>
      </c>
      <c r="E248" s="6" t="inlineStr">
        <is>
          <t>NASDAQ</t>
        </is>
      </c>
      <c r="F248" s="1" t="n">
        <v>3.26</v>
      </c>
      <c r="G248" s="8">
        <f>F248*[246]Main!$C$4</f>
        <v/>
      </c>
      <c r="H248" s="10">
        <f>G248-[246]Main!$C$7+[246]Main!$C$8</f>
        <v/>
      </c>
      <c r="J248" s="1">
        <f>IF(ISNUMBER([246]Main!$C$11),[246]Main!$C$11,"")</f>
        <v/>
      </c>
      <c r="K248" s="57">
        <f>IFERROR(J248/F248-1,"")</f>
        <v/>
      </c>
      <c r="L248" s="12">
        <f>[246]Main!$C$15&amp;" ("&amp;[246]Main!$C$14&amp;")"</f>
        <v/>
      </c>
      <c r="M248" s="58" t="n"/>
      <c r="N248" s="17" t="inlineStr">
        <is>
          <t>Readout ~2027-09-30: MASH / liver fibrosis, Phase 3</t>
        </is>
      </c>
    </row>
    <row r="249">
      <c r="B249" s="3" t="inlineStr">
        <is>
          <t>CRMD</t>
        </is>
      </c>
      <c r="C249" t="inlineStr">
        <is>
          <t>CorMedix Inc.</t>
        </is>
      </c>
      <c r="D249" t="inlineStr">
        <is>
          <t>Pharmaceuticals</t>
        </is>
      </c>
      <c r="E249" s="6" t="inlineStr">
        <is>
          <t>NASDAQ</t>
        </is>
      </c>
      <c r="F249" s="1" t="n">
        <v>7.57</v>
      </c>
      <c r="G249" s="8">
        <f>F249*[247]Main!$C$4</f>
        <v/>
      </c>
      <c r="H249" s="10">
        <f>G249-[247]Main!$C$7+[247]Main!$C$8</f>
        <v/>
      </c>
      <c r="J249" s="1">
        <f>IF(ISNUMBER([247]Main!$C$11),[247]Main!$C$11,"")</f>
        <v/>
      </c>
      <c r="K249" s="57">
        <f>IFERROR(J249/F249-1,"")</f>
        <v/>
      </c>
      <c r="L249" s="12">
        <f>[247]Main!$C$15&amp;" ("&amp;[247]Main!$C$14&amp;")"</f>
        <v/>
      </c>
      <c r="M249" s="58" t="n">
        <v>46337</v>
      </c>
      <c r="N249" s="17" t="inlineStr">
        <is>
          <t>Earnings Nov 11 (est.)</t>
        </is>
      </c>
    </row>
    <row r="250">
      <c r="B250" s="3" t="inlineStr">
        <is>
          <t>PHAT</t>
        </is>
      </c>
      <c r="C250" t="inlineStr">
        <is>
          <t>Phathom Pharmaceuticals, Inc.</t>
        </is>
      </c>
      <c r="D250" t="inlineStr">
        <is>
          <t>Pharmaceuticals</t>
        </is>
      </c>
      <c r="E250" s="6" t="inlineStr">
        <is>
          <t>NASDAQ</t>
        </is>
      </c>
      <c r="F250" s="1" t="n">
        <v>7.31</v>
      </c>
      <c r="G250" s="8">
        <f>F250*[248]Main!$C$4</f>
        <v/>
      </c>
      <c r="H250" s="10">
        <f>G250-[248]Main!$C$7+[248]Main!$C$8</f>
        <v/>
      </c>
      <c r="J250" s="1">
        <f>IF(ISNUMBER([248]Main!$C$11),[248]Main!$C$11,"")</f>
        <v/>
      </c>
      <c r="K250" s="57">
        <f>IFERROR(J250/F250-1,"")</f>
        <v/>
      </c>
      <c r="L250" s="12">
        <f>[248]Main!$C$15&amp;" ("&amp;[248]Main!$C$14&amp;")"</f>
        <v/>
      </c>
      <c r="M250" s="58" t="n">
        <v>46324</v>
      </c>
      <c r="N250" s="17" t="inlineStr">
        <is>
          <t>Earnings Oct 29 (est.)</t>
        </is>
      </c>
    </row>
    <row r="251">
      <c r="B251" s="3" t="inlineStr">
        <is>
          <t>STTK</t>
        </is>
      </c>
      <c r="C251" t="inlineStr">
        <is>
          <t>Shattuck Labs Inc</t>
        </is>
      </c>
      <c r="D251" t="inlineStr">
        <is>
          <t>Biotechnology</t>
        </is>
      </c>
      <c r="E251" s="6" t="inlineStr">
        <is>
          <t>NASDAQ</t>
        </is>
      </c>
      <c r="F251" s="1" t="n">
        <v>5.84</v>
      </c>
      <c r="G251" s="8">
        <f>F251*[249]Main!$C$4</f>
        <v/>
      </c>
      <c r="H251" s="10">
        <f>G251-[249]Main!$C$7+[249]Main!$C$8</f>
        <v/>
      </c>
      <c r="J251" s="1">
        <f>IF(ISNUMBER([249]Main!$C$11),[249]Main!$C$11,"")</f>
        <v/>
      </c>
      <c r="K251" s="57">
        <f>IFERROR(J251/F251-1,"")</f>
        <v/>
      </c>
      <c r="L251" s="12">
        <f>[249]Main!$C$15&amp;" ("&amp;[249]Main!$C$14&amp;")"</f>
        <v/>
      </c>
      <c r="M251" s="58" t="n">
        <v>46331</v>
      </c>
      <c r="N251" s="17" t="inlineStr">
        <is>
          <t>Earnings Nov 5 (est.) · Readout ~2028-07: IBD (UC / Crohn's), Phase 2</t>
        </is>
      </c>
    </row>
    <row r="252">
      <c r="B252" s="3" t="inlineStr">
        <is>
          <t>DBVT</t>
        </is>
      </c>
      <c r="C252" t="inlineStr">
        <is>
          <t>Dbv Technologies SA</t>
        </is>
      </c>
      <c r="D252" t="inlineStr">
        <is>
          <t>Biotechnology</t>
        </is>
      </c>
      <c r="E252" s="6" t="inlineStr">
        <is>
          <t>NASDAQ</t>
        </is>
      </c>
      <c r="F252" s="1" t="n">
        <v>9.48</v>
      </c>
      <c r="G252" s="8">
        <f>F252*[250]Main!$C$4</f>
        <v/>
      </c>
      <c r="H252" s="10">
        <f>G252-[250]Main!$C$7+[250]Main!$C$8</f>
        <v/>
      </c>
      <c r="J252" s="1">
        <f>IF(ISNUMBER([250]Main!$C$11),[250]Main!$C$11,"")</f>
        <v/>
      </c>
      <c r="K252" s="57">
        <f>IFERROR(J252/F252-1,"")</f>
        <v/>
      </c>
      <c r="L252" s="12">
        <f>[250]Main!$C$15&amp;" ("&amp;[250]Main!$C$14&amp;")"</f>
        <v/>
      </c>
      <c r="M252" s="58" t="n">
        <v>46322</v>
      </c>
      <c r="N252" s="17" t="inlineStr">
        <is>
          <t>Earnings Oct 27 (est.) · Readout ~2026-11: Eosinophilic / allergy, Phase 3</t>
        </is>
      </c>
    </row>
    <row r="253">
      <c r="B253" s="3" t="inlineStr">
        <is>
          <t>VALN</t>
        </is>
      </c>
      <c r="C253" t="inlineStr">
        <is>
          <t>Valneva SE</t>
        </is>
      </c>
      <c r="D253" t="inlineStr">
        <is>
          <t>Biotechnology</t>
        </is>
      </c>
      <c r="E253" s="6" t="inlineStr">
        <is>
          <t>NASDAQ</t>
        </is>
      </c>
      <c r="F253" s="1" t="n">
        <v>5.69</v>
      </c>
      <c r="G253" s="8">
        <f>F253*[251]Main!$C$4</f>
        <v/>
      </c>
      <c r="H253" s="10">
        <f>G253-[251]Main!$C$7+[251]Main!$C$8</f>
        <v/>
      </c>
      <c r="J253" s="1">
        <f>IF(ISNUMBER([251]Main!$C$11),[251]Main!$C$11,"")</f>
        <v/>
      </c>
      <c r="K253" s="57">
        <f>IFERROR(J253/F253-1,"")</f>
        <v/>
      </c>
      <c r="L253" s="12">
        <f>[251]Main!$C$15&amp;" ("&amp;[251]Main!$C$14&amp;")"</f>
        <v/>
      </c>
      <c r="M253" s="58" t="n">
        <v>46345</v>
      </c>
      <c r="N253" s="17" t="inlineStr">
        <is>
          <t>Earnings Nov 19 (est.)</t>
        </is>
      </c>
    </row>
    <row r="254">
      <c r="B254" s="3" t="inlineStr">
        <is>
          <t>AQST</t>
        </is>
      </c>
      <c r="C254" t="inlineStr">
        <is>
          <t>Aquestive Therapeutics, Inc.</t>
        </is>
      </c>
      <c r="D254" t="inlineStr">
        <is>
          <t>Pharmaceuticals</t>
        </is>
      </c>
      <c r="E254" s="6" t="inlineStr">
        <is>
          <t>NASDAQ</t>
        </is>
      </c>
      <c r="F254" s="1" t="n">
        <v>4.05</v>
      </c>
      <c r="G254" s="8">
        <f>F254*[252]Main!$C$4</f>
        <v/>
      </c>
      <c r="H254" s="10">
        <f>G254-[252]Main!$C$7+[252]Main!$C$8</f>
        <v/>
      </c>
      <c r="J254" s="1">
        <f>IF(ISNUMBER([252]Main!$C$11),[252]Main!$C$11,"")</f>
        <v/>
      </c>
      <c r="K254" s="57">
        <f>IFERROR(J254/F254-1,"")</f>
        <v/>
      </c>
      <c r="L254" s="12">
        <f>[252]Main!$C$15&amp;" ("&amp;[252]Main!$C$14&amp;")"</f>
        <v/>
      </c>
      <c r="M254" s="58" t="n">
        <v>46330</v>
      </c>
      <c r="N254" s="17" t="inlineStr">
        <is>
          <t>Earnings Nov 4 (est.)</t>
        </is>
      </c>
    </row>
    <row r="255">
      <c r="B255" s="3" t="inlineStr">
        <is>
          <t>SGMT</t>
        </is>
      </c>
      <c r="C255" t="inlineStr">
        <is>
          <t>Sagimet Biosciences Inc.</t>
        </is>
      </c>
      <c r="D255" t="inlineStr">
        <is>
          <t>Biotechnology</t>
        </is>
      </c>
      <c r="E255" s="6" t="inlineStr">
        <is>
          <t>NASDAQ</t>
        </is>
      </c>
      <c r="F255" s="1" t="n">
        <v>9.74</v>
      </c>
      <c r="G255" s="8">
        <f>F255*[253]Main!$C$4</f>
        <v/>
      </c>
      <c r="H255" s="10">
        <f>G255-[253]Main!$C$7+[253]Main!$C$8</f>
        <v/>
      </c>
      <c r="J255" s="1">
        <f>IF(ISNUMBER([253]Main!$C$11),[253]Main!$C$11,"")</f>
        <v/>
      </c>
      <c r="K255" s="57">
        <f>IFERROR(J255/F255-1,"")</f>
        <v/>
      </c>
      <c r="L255" s="12">
        <f>[253]Main!$C$15&amp;" ("&amp;[253]Main!$C$14&amp;")"</f>
        <v/>
      </c>
      <c r="M255" s="58" t="n">
        <v>46338</v>
      </c>
      <c r="N255" s="17" t="inlineStr">
        <is>
          <t>Earnings Nov 12 (est.) · Readout ~2027-01: Dermatology (other), Phase 3</t>
        </is>
      </c>
    </row>
    <row r="256">
      <c r="B256" s="3" t="inlineStr">
        <is>
          <t>PBYI</t>
        </is>
      </c>
      <c r="C256" t="inlineStr">
        <is>
          <t>Puma Biotechnology Inc</t>
        </is>
      </c>
      <c r="D256" t="inlineStr">
        <is>
          <t>Biotechnology</t>
        </is>
      </c>
      <c r="E256" s="6" t="inlineStr">
        <is>
          <t>NASDAQ</t>
        </is>
      </c>
      <c r="F256" s="1" t="n">
        <v>10.76</v>
      </c>
      <c r="G256" s="8">
        <f>F256*[254]Main!$C$4</f>
        <v/>
      </c>
      <c r="H256" s="10">
        <f>G256-[254]Main!$C$7+[254]Main!$C$8</f>
        <v/>
      </c>
      <c r="J256" s="1">
        <f>IF(ISNUMBER([254]Main!$C$11),[254]Main!$C$11,"")</f>
        <v/>
      </c>
      <c r="K256" s="57">
        <f>IFERROR(J256/F256-1,"")</f>
        <v/>
      </c>
      <c r="L256" s="12">
        <f>[254]Main!$C$15&amp;" ("&amp;[254]Main!$C$14&amp;")"</f>
        <v/>
      </c>
      <c r="M256" s="58" t="n">
        <v>46331</v>
      </c>
      <c r="N256" s="17" t="inlineStr">
        <is>
          <t>Earnings Nov 5 (est.)</t>
        </is>
      </c>
    </row>
    <row r="257">
      <c r="B257" s="3" t="inlineStr">
        <is>
          <t>CTMX</t>
        </is>
      </c>
      <c r="C257" t="inlineStr">
        <is>
          <t>CytomX Therapeutics, Inc.</t>
        </is>
      </c>
      <c r="D257" t="inlineStr">
        <is>
          <t>Biotechnology</t>
        </is>
      </c>
      <c r="E257" s="6" t="inlineStr">
        <is>
          <t>NASDAQ</t>
        </is>
      </c>
      <c r="F257" s="1" t="n">
        <v>2.51</v>
      </c>
      <c r="G257" s="8">
        <f>F257*[255]Main!$C$4</f>
        <v/>
      </c>
      <c r="H257" s="10">
        <f>G257-[255]Main!$C$7+[255]Main!$C$8</f>
        <v/>
      </c>
      <c r="J257" s="1">
        <f>IF(ISNUMBER([255]Main!$C$11),[255]Main!$C$11,"")</f>
        <v/>
      </c>
      <c r="K257" s="57">
        <f>IFERROR(J257/F257-1,"")</f>
        <v/>
      </c>
      <c r="L257" s="12">
        <f>[255]Main!$C$15&amp;" ("&amp;[255]Main!$C$14&amp;")"</f>
        <v/>
      </c>
      <c r="M257" s="58" t="n">
        <v>46331</v>
      </c>
      <c r="N257" s="17" t="inlineStr">
        <is>
          <t>Earnings Nov 5 (est.) · Readout ~2027-11-30: Solid tumors (basket), Phase 1/2</t>
        </is>
      </c>
    </row>
    <row r="258">
      <c r="B258" s="3" t="inlineStr">
        <is>
          <t>FTH</t>
        </is>
      </c>
      <c r="C258" t="inlineStr">
        <is>
          <t>Faeth Therapeutics, Inc</t>
        </is>
      </c>
      <c r="D258" t="inlineStr">
        <is>
          <t>Biotechnology</t>
        </is>
      </c>
      <c r="E258" s="6" t="inlineStr">
        <is>
          <t>NASDAQ</t>
        </is>
      </c>
      <c r="F258" s="1" t="n">
        <v>20.79</v>
      </c>
      <c r="G258" s="8">
        <f>F258*[256]Main!$C$4</f>
        <v/>
      </c>
      <c r="H258" s="10">
        <f>G258-[256]Main!$C$7+[256]Main!$C$8</f>
        <v/>
      </c>
      <c r="J258" s="1">
        <f>IF(ISNUMBER([256]Main!$C$11),[256]Main!$C$11,"")</f>
        <v/>
      </c>
      <c r="K258" s="57">
        <f>IFERROR(J258/F258-1,"")</f>
        <v/>
      </c>
      <c r="L258" s="12">
        <f>[256]Main!$C$15&amp;" ("&amp;[256]Main!$C$14&amp;")"</f>
        <v/>
      </c>
      <c r="M258" s="58" t="n">
        <v>46339</v>
      </c>
      <c r="N258" s="17" t="inlineStr">
        <is>
          <t>Earnings Nov 13 (est.) · Readout ~2028-09: Gynecologic cancer, Phase 2</t>
        </is>
      </c>
    </row>
    <row r="259">
      <c r="B259" s="3" t="inlineStr">
        <is>
          <t>ACRS</t>
        </is>
      </c>
      <c r="C259" t="inlineStr">
        <is>
          <t>Aclaris Therapeutics, Inc.</t>
        </is>
      </c>
      <c r="D259" t="inlineStr">
        <is>
          <t>Pharmaceuticals</t>
        </is>
      </c>
      <c r="E259" s="6" t="inlineStr">
        <is>
          <t>NASDAQ</t>
        </is>
      </c>
      <c r="F259" s="1" t="n">
        <v>3.48</v>
      </c>
      <c r="G259" s="8">
        <f>F259*[257]Main!$C$4</f>
        <v/>
      </c>
      <c r="H259" s="10">
        <f>G259-[257]Main!$C$7+[257]Main!$C$8</f>
        <v/>
      </c>
      <c r="J259" s="1">
        <f>IF(ISNUMBER([257]Main!$C$11),[257]Main!$C$11,"")</f>
        <v/>
      </c>
      <c r="K259" s="57">
        <f>IFERROR(J259/F259-1,"")</f>
        <v/>
      </c>
      <c r="L259" s="12">
        <f>[257]Main!$C$15&amp;" ("&amp;[257]Main!$C$14&amp;")"</f>
        <v/>
      </c>
      <c r="M259" s="58" t="n">
        <v>46331</v>
      </c>
      <c r="N259" s="17" t="inlineStr">
        <is>
          <t>Earnings Nov 5 (est.)</t>
        </is>
      </c>
    </row>
    <row r="260">
      <c r="B260" s="3" t="inlineStr">
        <is>
          <t>BLSM</t>
        </is>
      </c>
      <c r="C260" t="inlineStr">
        <is>
          <t>BlossomHill Therapeutics Inc</t>
        </is>
      </c>
      <c r="D260" t="inlineStr">
        <is>
          <t>Pharmaceuticals</t>
        </is>
      </c>
      <c r="E260" s="6" t="inlineStr">
        <is>
          <t>NASDAQ</t>
        </is>
      </c>
      <c r="F260" s="1" t="n">
        <v>14.4</v>
      </c>
      <c r="G260" s="8">
        <f>F260*[258]Main!$C$4</f>
        <v/>
      </c>
      <c r="H260" s="10">
        <f>G260-[258]Main!$C$7+[258]Main!$C$8</f>
        <v/>
      </c>
      <c r="J260" s="1">
        <f>IF(ISNUMBER([258]Main!$C$11),[258]Main!$C$11,"")</f>
        <v/>
      </c>
      <c r="K260" s="57">
        <f>IFERROR(J260/F260-1,"")</f>
        <v/>
      </c>
      <c r="L260" s="12">
        <f>[258]Main!$C$15&amp;" ("&amp;[258]Main!$C$14&amp;")"</f>
        <v/>
      </c>
      <c r="M260" s="58" t="n"/>
      <c r="N260" s="17" t="inlineStr">
        <is>
          <t>Readout ~2029-01-31: Lung cancer, Phase 1/2</t>
        </is>
      </c>
    </row>
    <row r="261">
      <c r="B261" s="3" t="inlineStr">
        <is>
          <t>EOLS</t>
        </is>
      </c>
      <c r="C261" t="inlineStr">
        <is>
          <t>Evolus Inc</t>
        </is>
      </c>
      <c r="D261" t="inlineStr">
        <is>
          <t>Pharmaceuticals</t>
        </is>
      </c>
      <c r="E261" s="6" t="inlineStr">
        <is>
          <t>NASDAQ</t>
        </is>
      </c>
      <c r="F261" s="1" t="n">
        <v>7.37</v>
      </c>
      <c r="G261" s="8">
        <f>F261*[259]Main!$C$4</f>
        <v/>
      </c>
      <c r="H261" s="10">
        <f>G261-[259]Main!$C$7+[259]Main!$C$8</f>
        <v/>
      </c>
      <c r="J261" s="1">
        <f>IF(ISNUMBER([259]Main!$C$11),[259]Main!$C$11,"")</f>
        <v/>
      </c>
      <c r="K261" s="57">
        <f>IFERROR(J261/F261-1,"")</f>
        <v/>
      </c>
      <c r="L261" s="12">
        <f>[259]Main!$C$15&amp;" ("&amp;[259]Main!$C$14&amp;")"</f>
        <v/>
      </c>
      <c r="M261" s="58" t="n">
        <v>46330</v>
      </c>
      <c r="N261" s="17" t="inlineStr">
        <is>
          <t>Earnings Nov 4 (est.)</t>
        </is>
      </c>
    </row>
    <row r="262">
      <c r="B262" s="3" t="inlineStr">
        <is>
          <t>IMMP</t>
        </is>
      </c>
      <c r="C262" t="inlineStr">
        <is>
          <t>Immutep Ltd</t>
        </is>
      </c>
      <c r="D262" t="inlineStr">
        <is>
          <t>Biotechnology</t>
        </is>
      </c>
      <c r="E262" s="6" t="inlineStr">
        <is>
          <t>NASDAQ</t>
        </is>
      </c>
      <c r="F262" s="1" t="n">
        <v>3.26</v>
      </c>
      <c r="G262" s="8">
        <f>F262*[260]Main!$C$4</f>
        <v/>
      </c>
      <c r="H262" s="10">
        <f>G262-[260]Main!$C$7+[260]Main!$C$8</f>
        <v/>
      </c>
      <c r="J262" s="1">
        <f>IF(ISNUMBER([260]Main!$C$11),[260]Main!$C$11,"")</f>
        <v/>
      </c>
      <c r="K262" s="57">
        <f>IFERROR(J262/F262-1,"")</f>
        <v/>
      </c>
      <c r="L262" s="12">
        <f>[260]Main!$C$15&amp;" ("&amp;[260]Main!$C$14&amp;")"</f>
        <v/>
      </c>
      <c r="M262" s="58" t="n"/>
      <c r="N262" s="17" t="inlineStr">
        <is>
          <t>Readout ~2027-06: Lung cancer, Phase 3</t>
        </is>
      </c>
    </row>
    <row r="263">
      <c r="B263" s="3" t="inlineStr">
        <is>
          <t>NGNE</t>
        </is>
      </c>
      <c r="C263" t="inlineStr">
        <is>
          <t>Neurogene Inc.</t>
        </is>
      </c>
      <c r="D263" t="inlineStr">
        <is>
          <t>Biotechnology</t>
        </is>
      </c>
      <c r="E263" s="6" t="inlineStr">
        <is>
          <t>NASDAQ</t>
        </is>
      </c>
      <c r="F263" s="1" t="n">
        <v>25.4</v>
      </c>
      <c r="G263" s="8">
        <f>F263*[261]Main!$C$4</f>
        <v/>
      </c>
      <c r="H263" s="10">
        <f>G263-[261]Main!$C$7+[261]Main!$C$8</f>
        <v/>
      </c>
      <c r="J263" s="1">
        <f>IF(ISNUMBER([261]Main!$C$11),[261]Main!$C$11,"")</f>
        <v/>
      </c>
      <c r="K263" s="57">
        <f>IFERROR(J263/F263-1,"")</f>
        <v/>
      </c>
      <c r="L263" s="12">
        <f>[261]Main!$C$15&amp;" ("&amp;[261]Main!$C$14&amp;")"</f>
        <v/>
      </c>
      <c r="M263" s="58" t="n">
        <v>46338</v>
      </c>
      <c r="N263" s="17" t="inlineStr">
        <is>
          <t>Earnings Nov 12 (est.) · Readout ~2029-12: Rare neurodevelopmental, Phase 3</t>
        </is>
      </c>
    </row>
    <row r="264">
      <c r="B264" s="3" t="inlineStr">
        <is>
          <t>MNPR</t>
        </is>
      </c>
      <c r="C264" t="inlineStr">
        <is>
          <t>Monopar Therapeutics Inc.</t>
        </is>
      </c>
      <c r="D264" t="inlineStr">
        <is>
          <t>Biotechnology</t>
        </is>
      </c>
      <c r="E264" s="6" t="inlineStr">
        <is>
          <t>NASDAQ</t>
        </is>
      </c>
      <c r="F264" s="1" t="n">
        <v>74.23</v>
      </c>
      <c r="G264" s="8">
        <f>F264*[262]Main!$C$4</f>
        <v/>
      </c>
      <c r="H264" s="10">
        <f>G264-[262]Main!$C$7+[262]Main!$C$8</f>
        <v/>
      </c>
      <c r="J264" s="1">
        <f>IF(ISNUMBER([262]Main!$C$11),[262]Main!$C$11,"")</f>
        <v/>
      </c>
      <c r="K264" s="57">
        <f>IFERROR(J264/F264-1,"")</f>
        <v/>
      </c>
      <c r="L264" s="12">
        <f>[262]Main!$C$15&amp;" ("&amp;[262]Main!$C$14&amp;")"</f>
        <v/>
      </c>
      <c r="M264" s="58" t="n">
        <v>46338</v>
      </c>
      <c r="N264" s="17" t="inlineStr">
        <is>
          <t>Earnings Nov 12 (est.) · Readout ~2026-12: Bladder / urothelial cancer, Phase 1</t>
        </is>
      </c>
    </row>
    <row r="265">
      <c r="B265" s="3" t="inlineStr">
        <is>
          <t>ENTX</t>
        </is>
      </c>
      <c r="C265" t="inlineStr">
        <is>
          <t>Entera Bio Ltd</t>
        </is>
      </c>
      <c r="D265" t="inlineStr">
        <is>
          <t>Biotechnology</t>
        </is>
      </c>
      <c r="E265" s="6" t="inlineStr">
        <is>
          <t>NASDAQ</t>
        </is>
      </c>
      <c r="F265" s="1" t="n">
        <v>3.02</v>
      </c>
      <c r="G265" s="8">
        <f>F265*[263]Main!$C$4</f>
        <v/>
      </c>
      <c r="H265" s="10">
        <f>G265-[263]Main!$C$7+[263]Main!$C$8</f>
        <v/>
      </c>
      <c r="J265" s="1">
        <f>IF(ISNUMBER([263]Main!$C$11),[263]Main!$C$11,"")</f>
        <v/>
      </c>
      <c r="K265" s="57">
        <f>IFERROR(J265/F265-1,"")</f>
        <v/>
      </c>
      <c r="L265" s="12">
        <f>[263]Main!$C$15&amp;" ("&amp;[263]Main!$C$14&amp;")"</f>
        <v/>
      </c>
      <c r="M265" s="58" t="n">
        <v>46339</v>
      </c>
      <c r="N265" s="17" t="inlineStr">
        <is>
          <t>Earnings Nov 13 (est.)</t>
        </is>
      </c>
    </row>
    <row r="266">
      <c r="B266" s="3" t="inlineStr">
        <is>
          <t>RGNX</t>
        </is>
      </c>
      <c r="C266" t="inlineStr">
        <is>
          <t>REGENXBIO Inc.</t>
        </is>
      </c>
      <c r="D266" t="inlineStr">
        <is>
          <t>Biotechnology</t>
        </is>
      </c>
      <c r="E266" s="6" t="inlineStr">
        <is>
          <t>NASDAQ</t>
        </is>
      </c>
      <c r="F266" s="1" t="n">
        <v>7.4</v>
      </c>
      <c r="G266" s="8">
        <f>F266*[264]Main!$C$4</f>
        <v/>
      </c>
      <c r="H266" s="10">
        <f>G266-[264]Main!$C$7+[264]Main!$C$8</f>
        <v/>
      </c>
      <c r="J266" s="1">
        <f>IF(ISNUMBER([264]Main!$C$11),[264]Main!$C$11,"")</f>
        <v/>
      </c>
      <c r="K266" s="57">
        <f>IFERROR(J266/F266-1,"")</f>
        <v/>
      </c>
      <c r="L266" s="12">
        <f>[264]Main!$C$15&amp;" ("&amp;[264]Main!$C$14&amp;")"</f>
        <v/>
      </c>
      <c r="M266" s="58" t="n">
        <v>46331</v>
      </c>
      <c r="N266" s="17" t="inlineStr">
        <is>
          <t>Earnings Nov 5 (est.)</t>
        </is>
      </c>
    </row>
    <row r="267">
      <c r="B267" s="3" t="inlineStr">
        <is>
          <t>ARVN</t>
        </is>
      </c>
      <c r="C267" t="inlineStr">
        <is>
          <t>Arvinas, Inc.</t>
        </is>
      </c>
      <c r="D267" t="inlineStr">
        <is>
          <t>Pharmaceuticals</t>
        </is>
      </c>
      <c r="E267" s="6" t="inlineStr">
        <is>
          <t>NASDAQ</t>
        </is>
      </c>
      <c r="F267" s="1" t="n">
        <v>7.66</v>
      </c>
      <c r="G267" s="8">
        <f>F267*[265]Main!$C$4</f>
        <v/>
      </c>
      <c r="H267" s="10">
        <f>G267-[265]Main!$C$7+[265]Main!$C$8</f>
        <v/>
      </c>
      <c r="J267" s="1">
        <f>IF(ISNUMBER([265]Main!$C$11),[265]Main!$C$11,"")</f>
        <v/>
      </c>
      <c r="K267" s="57">
        <f>IFERROR(J267/F267-1,"")</f>
        <v/>
      </c>
      <c r="L267" s="12">
        <f>[265]Main!$C$15&amp;" ("&amp;[265]Main!$C$14&amp;")"</f>
        <v/>
      </c>
      <c r="M267" s="58" t="n">
        <v>46330</v>
      </c>
      <c r="N267" s="17" t="inlineStr">
        <is>
          <t>Earnings Nov 4 (est.)</t>
        </is>
      </c>
    </row>
    <row r="268">
      <c r="B268" s="3" t="inlineStr">
        <is>
          <t>ALLO</t>
        </is>
      </c>
      <c r="C268" t="inlineStr">
        <is>
          <t>Allogene Therapeutics, Inc.</t>
        </is>
      </c>
      <c r="D268" t="inlineStr">
        <is>
          <t>Biotechnology</t>
        </is>
      </c>
      <c r="E268" s="6" t="inlineStr">
        <is>
          <t>NASDAQ</t>
        </is>
      </c>
      <c r="F268" s="1" t="n">
        <v>1.33</v>
      </c>
      <c r="G268" s="8">
        <f>F268*[266]Main!$C$4</f>
        <v/>
      </c>
      <c r="H268" s="10">
        <f>G268-[266]Main!$C$7+[266]Main!$C$8</f>
        <v/>
      </c>
      <c r="J268" s="1">
        <f>IF(ISNUMBER([266]Main!$C$11),[266]Main!$C$11,"")</f>
        <v/>
      </c>
      <c r="K268" s="57">
        <f>IFERROR(J268/F268-1,"")</f>
        <v/>
      </c>
      <c r="L268" s="12">
        <f>[266]Main!$C$15&amp;" ("&amp;[266]Main!$C$14&amp;")"</f>
        <v/>
      </c>
      <c r="M268" s="58" t="n">
        <v>46331</v>
      </c>
      <c r="N268" s="17" t="inlineStr">
        <is>
          <t>Earnings Nov 5 (est.) · Readout ~2027-12: Lymphoma, Phase 2</t>
        </is>
      </c>
    </row>
    <row r="269">
      <c r="B269" s="3" t="inlineStr">
        <is>
          <t>NNNN</t>
        </is>
      </c>
      <c r="C269" t="inlineStr">
        <is>
          <t>Anbio Biotechnology</t>
        </is>
      </c>
      <c r="D269" t="inlineStr">
        <is>
          <t>Biotechnology</t>
        </is>
      </c>
      <c r="E269" s="6" t="inlineStr">
        <is>
          <t>NASDAQ</t>
        </is>
      </c>
      <c r="F269" s="1" t="n">
        <v>3.73</v>
      </c>
      <c r="G269" s="8">
        <f>F269*[267]Main!$C$4</f>
        <v/>
      </c>
      <c r="H269" s="10">
        <f>G269-[267]Main!$C$7+[267]Main!$C$8</f>
        <v/>
      </c>
      <c r="J269" s="1">
        <f>IF(ISNUMBER([267]Main!$C$11),[267]Main!$C$11,"")</f>
        <v/>
      </c>
      <c r="K269" s="57">
        <f>IFERROR(J269/F269-1,"")</f>
        <v/>
      </c>
      <c r="L269" s="12">
        <f>[267]Main!$C$15&amp;" ("&amp;[267]Main!$C$14&amp;")"</f>
        <v/>
      </c>
      <c r="M269" s="58" t="n"/>
      <c r="N269" s="17" t="n"/>
    </row>
    <row r="270">
      <c r="B270" s="3" t="inlineStr">
        <is>
          <t>TLRY</t>
        </is>
      </c>
      <c r="C270" t="inlineStr">
        <is>
          <t>Tilray Brands Inc</t>
        </is>
      </c>
      <c r="D270" t="inlineStr">
        <is>
          <t>Pharmaceuticals</t>
        </is>
      </c>
      <c r="E270" s="6" t="inlineStr">
        <is>
          <t>NASDAQ</t>
        </is>
      </c>
      <c r="F270" s="1" t="n">
        <v>3.03</v>
      </c>
      <c r="G270" s="8">
        <f>F270*[268]Main!$C$4</f>
        <v/>
      </c>
      <c r="H270" s="10">
        <f>G270-[268]Main!$C$7+[268]Main!$C$8</f>
        <v/>
      </c>
      <c r="J270" s="1">
        <f>IF(ISNUMBER([268]Main!$C$11),[268]Main!$C$11,"")</f>
        <v/>
      </c>
      <c r="K270" s="57">
        <f>IFERROR(J270/F270-1,"")</f>
        <v/>
      </c>
      <c r="L270" s="12">
        <f>[268]Main!$C$15&amp;" ("&amp;[268]Main!$C$14&amp;")"</f>
        <v/>
      </c>
      <c r="M270" s="58" t="n"/>
      <c r="N270" s="17" t="n"/>
    </row>
    <row r="271">
      <c r="B271" s="3" t="inlineStr">
        <is>
          <t>KMDA</t>
        </is>
      </c>
      <c r="C271" t="inlineStr">
        <is>
          <t>Kamada Ltd.</t>
        </is>
      </c>
      <c r="D271" t="inlineStr">
        <is>
          <t>Biotechnology</t>
        </is>
      </c>
      <c r="E271" s="6" t="inlineStr">
        <is>
          <t>NASDAQ</t>
        </is>
      </c>
      <c r="F271" s="1" t="n">
        <v>7.85</v>
      </c>
      <c r="G271" s="8">
        <f>F271*[269]Main!$C$4</f>
        <v/>
      </c>
      <c r="H271" s="10">
        <f>G271-[269]Main!$C$7+[269]Main!$C$8</f>
        <v/>
      </c>
      <c r="J271" s="1">
        <f>IF(ISNUMBER([269]Main!$C$11),[269]Main!$C$11,"")</f>
        <v/>
      </c>
      <c r="K271" s="57">
        <f>IFERROR(J271/F271-1,"")</f>
        <v/>
      </c>
      <c r="L271" s="12">
        <f>[269]Main!$C$15&amp;" ("&amp;[269]Main!$C$14&amp;")"</f>
        <v/>
      </c>
      <c r="M271" s="58" t="n">
        <v>46335</v>
      </c>
      <c r="N271" s="17" t="inlineStr">
        <is>
          <t>Earnings Nov 9 (est.)</t>
        </is>
      </c>
    </row>
    <row r="272">
      <c r="B272" s="3" t="inlineStr">
        <is>
          <t>SLN</t>
        </is>
      </c>
      <c r="C272" t="inlineStr">
        <is>
          <t>Silence Therapeutics PLC</t>
        </is>
      </c>
      <c r="D272" t="inlineStr">
        <is>
          <t>Biotechnology</t>
        </is>
      </c>
      <c r="E272" s="6" t="inlineStr">
        <is>
          <t>NASDAQ</t>
        </is>
      </c>
      <c r="F272" s="1" t="n">
        <v>19.61</v>
      </c>
      <c r="G272" s="8">
        <f>F272*[270]Main!$C$4</f>
        <v/>
      </c>
      <c r="H272" s="10">
        <f>G272-[270]Main!$C$7+[270]Main!$C$8</f>
        <v/>
      </c>
      <c r="J272" s="1">
        <f>IF(ISNUMBER([270]Main!$C$11),[270]Main!$C$11,"")</f>
        <v/>
      </c>
      <c r="K272" s="57">
        <f>IFERROR(J272/F272-1,"")</f>
        <v/>
      </c>
      <c r="L272" s="12">
        <f>[270]Main!$C$15&amp;" ("&amp;[270]Main!$C$14&amp;")"</f>
        <v/>
      </c>
      <c r="M272" s="58" t="n">
        <v>46331</v>
      </c>
      <c r="N272" s="17" t="inlineStr">
        <is>
          <t>Earnings Nov 5 (est.)</t>
        </is>
      </c>
    </row>
    <row r="273">
      <c r="B273" s="3" t="inlineStr">
        <is>
          <t>CBIO</t>
        </is>
      </c>
      <c r="C273" t="inlineStr">
        <is>
          <t>Crescent Biopharma, Inc.</t>
        </is>
      </c>
      <c r="D273" t="inlineStr">
        <is>
          <t>Biotechnology</t>
        </is>
      </c>
      <c r="E273" s="6" t="inlineStr">
        <is>
          <t>NASDAQ</t>
        </is>
      </c>
      <c r="F273" s="1" t="n">
        <v>13.07</v>
      </c>
      <c r="G273" s="8">
        <f>F273*[271]Main!$C$4</f>
        <v/>
      </c>
      <c r="H273" s="10">
        <f>G273-[271]Main!$C$7+[271]Main!$C$8</f>
        <v/>
      </c>
      <c r="J273" s="1">
        <f>IF(ISNUMBER([271]Main!$C$11),[271]Main!$C$11,"")</f>
        <v/>
      </c>
      <c r="K273" s="57">
        <f>IFERROR(J273/F273-1,"")</f>
        <v/>
      </c>
      <c r="L273" s="12">
        <f>[271]Main!$C$15&amp;" ("&amp;[271]Main!$C$14&amp;")"</f>
        <v/>
      </c>
      <c r="M273" s="58" t="n">
        <v>46331</v>
      </c>
      <c r="N273" s="17" t="inlineStr">
        <is>
          <t>Earnings Nov 5 (est.) · Readout ~2029-02: Solid tumors (basket), Phase 1/2</t>
        </is>
      </c>
    </row>
    <row r="274">
      <c r="B274" s="3" t="inlineStr">
        <is>
          <t>OCS</t>
        </is>
      </c>
      <c r="C274" t="inlineStr">
        <is>
          <t>Oculis Holding AG</t>
        </is>
      </c>
      <c r="D274" t="inlineStr">
        <is>
          <t>Pharmaceuticals</t>
        </is>
      </c>
      <c r="E274" s="6" t="inlineStr">
        <is>
          <t>NASDAQ</t>
        </is>
      </c>
      <c r="F274" s="1" t="n">
        <v>7.49</v>
      </c>
      <c r="G274" s="8">
        <f>F274*[272]Main!$C$4</f>
        <v/>
      </c>
      <c r="H274" s="10">
        <f>G274-[272]Main!$C$7+[272]Main!$C$8</f>
        <v/>
      </c>
      <c r="J274" s="1">
        <f>IF(ISNUMBER([272]Main!$C$11),[272]Main!$C$11,"")</f>
        <v/>
      </c>
      <c r="K274" s="57">
        <f>IFERROR(J274/F274-1,"")</f>
        <v/>
      </c>
      <c r="L274" s="12">
        <f>[272]Main!$C$15&amp;" ("&amp;[272]Main!$C$14&amp;")"</f>
        <v/>
      </c>
      <c r="M274" s="58" t="n">
        <v>46335</v>
      </c>
      <c r="N274" s="17" t="inlineStr">
        <is>
          <t>Earnings Nov 9 (est.) · Readout ~2026-12: Eye disease (other), Phase 2/3</t>
        </is>
      </c>
    </row>
    <row r="275">
      <c r="B275" s="3" t="inlineStr">
        <is>
          <t>PRTA</t>
        </is>
      </c>
      <c r="C275" t="inlineStr">
        <is>
          <t>Prothena Corporation PLC</t>
        </is>
      </c>
      <c r="D275" t="inlineStr">
        <is>
          <t>Biotechnology</t>
        </is>
      </c>
      <c r="E275" s="6" t="inlineStr">
        <is>
          <t>NASDAQ</t>
        </is>
      </c>
      <c r="F275" s="1" t="n">
        <v>8.5</v>
      </c>
      <c r="G275" s="8">
        <f>F275*[273]Main!$C$4</f>
        <v/>
      </c>
      <c r="H275" s="10">
        <f>G275-[273]Main!$C$7+[273]Main!$C$8</f>
        <v/>
      </c>
      <c r="J275" s="1">
        <f>IF(ISNUMBER([273]Main!$C$11),[273]Main!$C$11,"")</f>
        <v/>
      </c>
      <c r="K275" s="57">
        <f>IFERROR(J275/F275-1,"")</f>
        <v/>
      </c>
      <c r="L275" s="12">
        <f>[273]Main!$C$15&amp;" ("&amp;[273]Main!$C$14&amp;")"</f>
        <v/>
      </c>
      <c r="M275" s="58" t="n">
        <v>46331</v>
      </c>
      <c r="N275" s="17" t="inlineStr">
        <is>
          <t>Earnings Nov 5 (est.)</t>
        </is>
      </c>
    </row>
    <row r="276">
      <c r="B276" s="3" t="inlineStr">
        <is>
          <t>ALT</t>
        </is>
      </c>
      <c r="C276" t="inlineStr">
        <is>
          <t>Altimmune Inc</t>
        </is>
      </c>
      <c r="D276" t="inlineStr">
        <is>
          <t>Biotechnology</t>
        </is>
      </c>
      <c r="E276" s="6" t="inlineStr">
        <is>
          <t>NASDAQ</t>
        </is>
      </c>
      <c r="F276" s="1" t="n">
        <v>2.3</v>
      </c>
      <c r="G276" s="8">
        <f>F276*[274]Main!$C$4</f>
        <v/>
      </c>
      <c r="H276" s="10">
        <f>G276-[274]Main!$C$7+[274]Main!$C$8</f>
        <v/>
      </c>
      <c r="J276" s="1">
        <f>IF(ISNUMBER([274]Main!$C$11),[274]Main!$C$11,"")</f>
        <v/>
      </c>
      <c r="K276" s="57">
        <f>IFERROR(J276/F276-1,"")</f>
        <v/>
      </c>
      <c r="L276" s="12">
        <f>[274]Main!$C$15&amp;" ("&amp;[274]Main!$C$14&amp;")"</f>
        <v/>
      </c>
      <c r="M276" s="58" t="n">
        <v>46331</v>
      </c>
      <c r="N276" s="17" t="inlineStr">
        <is>
          <t>Earnings Nov 5 (est.) · Readout ~2027-09-30: Anxiety / PTSD / addiction, Phase 2</t>
        </is>
      </c>
    </row>
    <row r="277">
      <c r="B277" s="3" t="inlineStr">
        <is>
          <t>AUTL</t>
        </is>
      </c>
      <c r="C277" t="inlineStr">
        <is>
          <t>Autolus Therapeutics PLC</t>
        </is>
      </c>
      <c r="D277" t="inlineStr">
        <is>
          <t>Biotechnology</t>
        </is>
      </c>
      <c r="E277" s="6" t="inlineStr">
        <is>
          <t>NASDAQ</t>
        </is>
      </c>
      <c r="F277" s="1" t="n">
        <v>1.66</v>
      </c>
      <c r="G277" s="8">
        <f>F277*[275]Main!$C$4</f>
        <v/>
      </c>
      <c r="H277" s="10">
        <f>G277-[275]Main!$C$7+[275]Main!$C$8</f>
        <v/>
      </c>
      <c r="J277" s="1">
        <f>IF(ISNUMBER([275]Main!$C$11),[275]Main!$C$11,"")</f>
        <v/>
      </c>
      <c r="K277" s="57">
        <f>IFERROR(J277/F277-1,"")</f>
        <v/>
      </c>
      <c r="L277" s="12">
        <f>[275]Main!$C$15&amp;" ("&amp;[275]Main!$C$14&amp;")"</f>
        <v/>
      </c>
      <c r="M277" s="58" t="n">
        <v>46337</v>
      </c>
      <c r="N277" s="17" t="inlineStr">
        <is>
          <t>Earnings Nov 11 (est.)</t>
        </is>
      </c>
    </row>
    <row r="278">
      <c r="B278" s="3" t="inlineStr">
        <is>
          <t>OVID</t>
        </is>
      </c>
      <c r="C278" t="inlineStr">
        <is>
          <t>Ovid Therapeutics Inc.</t>
        </is>
      </c>
      <c r="D278" t="inlineStr">
        <is>
          <t>Biotechnology</t>
        </is>
      </c>
      <c r="E278" s="6" t="inlineStr">
        <is>
          <t>NASDAQ</t>
        </is>
      </c>
      <c r="F278" s="1" t="n">
        <v>2.36</v>
      </c>
      <c r="G278" s="8">
        <f>F278*[276]Main!$C$4</f>
        <v/>
      </c>
      <c r="H278" s="10">
        <f>G278-[276]Main!$C$7+[276]Main!$C$8</f>
        <v/>
      </c>
      <c r="J278" s="1">
        <f>IF(ISNUMBER([276]Main!$C$11),[276]Main!$C$11,"")</f>
        <v/>
      </c>
      <c r="K278" s="57">
        <f>IFERROR(J278/F278-1,"")</f>
        <v/>
      </c>
      <c r="L278" s="12">
        <f>[276]Main!$C$15&amp;" ("&amp;[276]Main!$C$14&amp;")"</f>
        <v/>
      </c>
      <c r="M278" s="58" t="n">
        <v>46337</v>
      </c>
      <c r="N278" s="17" t="inlineStr">
        <is>
          <t>Earnings Nov 11 (est.)</t>
        </is>
      </c>
    </row>
    <row r="279">
      <c r="B279" s="3" t="inlineStr">
        <is>
          <t>YDES</t>
        </is>
      </c>
      <c r="C279" t="inlineStr">
        <is>
          <t>YD Bio Ltd</t>
        </is>
      </c>
      <c r="D279" t="inlineStr">
        <is>
          <t>Biotechnology</t>
        </is>
      </c>
      <c r="E279" s="6" t="inlineStr">
        <is>
          <t>NASDAQ</t>
        </is>
      </c>
      <c r="F279" s="1" t="n">
        <v>5.84</v>
      </c>
      <c r="G279" s="8">
        <f>F279*[277]Main!$C$4</f>
        <v/>
      </c>
      <c r="H279" s="10">
        <f>G279-[277]Main!$C$7+[277]Main!$C$8</f>
        <v/>
      </c>
      <c r="J279" s="1">
        <f>IF(ISNUMBER([277]Main!$C$11),[277]Main!$C$11,"")</f>
        <v/>
      </c>
      <c r="K279" s="57">
        <f>IFERROR(J279/F279-1,"")</f>
        <v/>
      </c>
      <c r="L279" s="12">
        <f>[277]Main!$C$15&amp;" ("&amp;[277]Main!$C$14&amp;")"</f>
        <v/>
      </c>
      <c r="M279" s="58" t="n"/>
      <c r="N279" s="17" t="n"/>
    </row>
    <row r="280">
      <c r="B280" s="3" t="inlineStr">
        <is>
          <t>ASMB</t>
        </is>
      </c>
      <c r="C280" t="inlineStr">
        <is>
          <t>Assembly Biosciences Inc</t>
        </is>
      </c>
      <c r="D280" t="inlineStr">
        <is>
          <t>Biotechnology</t>
        </is>
      </c>
      <c r="E280" s="6" t="inlineStr">
        <is>
          <t>NASDAQ</t>
        </is>
      </c>
      <c r="F280" s="1" t="n">
        <v>21.19</v>
      </c>
      <c r="G280" s="8">
        <f>F280*[278]Main!$C$4</f>
        <v/>
      </c>
      <c r="H280" s="10">
        <f>G280-[278]Main!$C$7+[278]Main!$C$8</f>
        <v/>
      </c>
      <c r="J280" s="1">
        <f>IF(ISNUMBER([278]Main!$C$11),[278]Main!$C$11,"")</f>
        <v/>
      </c>
      <c r="K280" s="57">
        <f>IFERROR(J280/F280-1,"")</f>
        <v/>
      </c>
      <c r="L280" s="12">
        <f>[278]Main!$C$15&amp;" ("&amp;[278]Main!$C$14&amp;")"</f>
        <v/>
      </c>
      <c r="M280" s="58" t="n">
        <v>46335</v>
      </c>
      <c r="N280" s="17" t="inlineStr">
        <is>
          <t>Earnings Nov 9 (est.)</t>
        </is>
      </c>
    </row>
    <row r="281">
      <c r="B281" s="3" t="inlineStr">
        <is>
          <t>EIKN</t>
        </is>
      </c>
      <c r="C281" t="inlineStr">
        <is>
          <t>Eikon Therapeutics, Inc.</t>
        </is>
      </c>
      <c r="D281" t="inlineStr">
        <is>
          <t>Biotechnology</t>
        </is>
      </c>
      <c r="E281" s="6" t="inlineStr">
        <is>
          <t>NASDAQ</t>
        </is>
      </c>
      <c r="F281" s="1" t="n">
        <v>8.18</v>
      </c>
      <c r="G281" s="8">
        <f>F281*[279]Main!$C$4</f>
        <v/>
      </c>
      <c r="H281" s="10">
        <f>G281-[279]Main!$C$7+[279]Main!$C$8</f>
        <v/>
      </c>
      <c r="J281" s="1">
        <f>IF(ISNUMBER([279]Main!$C$11),[279]Main!$C$11,"")</f>
        <v/>
      </c>
      <c r="K281" s="57">
        <f>IFERROR(J281/F281-1,"")</f>
        <v/>
      </c>
      <c r="L281" s="12">
        <f>[279]Main!$C$15&amp;" ("&amp;[279]Main!$C$14&amp;")"</f>
        <v/>
      </c>
      <c r="M281" s="58" t="n">
        <v>46338</v>
      </c>
      <c r="N281" s="17" t="inlineStr">
        <is>
          <t>Earnings Nov 12 (est.) · Readout ~2026-12: Lung cancer, Phase 2/3</t>
        </is>
      </c>
    </row>
    <row r="282">
      <c r="B282" s="3" t="inlineStr">
        <is>
          <t>DMAC</t>
        </is>
      </c>
      <c r="C282" t="inlineStr">
        <is>
          <t>DiaMedica Therapeutics Inc</t>
        </is>
      </c>
      <c r="D282" t="inlineStr">
        <is>
          <t>Biotechnology</t>
        </is>
      </c>
      <c r="E282" s="6" t="inlineStr">
        <is>
          <t>NASDAQ</t>
        </is>
      </c>
      <c r="F282" s="1" t="n">
        <v>8.67</v>
      </c>
      <c r="G282" s="8">
        <f>F282*[280]Main!$C$4</f>
        <v/>
      </c>
      <c r="H282" s="10">
        <f>G282-[280]Main!$C$7+[280]Main!$C$8</f>
        <v/>
      </c>
      <c r="J282" s="1">
        <f>IF(ISNUMBER([280]Main!$C$11),[280]Main!$C$11,"")</f>
        <v/>
      </c>
      <c r="K282" s="57">
        <f>IFERROR(J282/F282-1,"")</f>
        <v/>
      </c>
      <c r="L282" s="12">
        <f>[280]Main!$C$15&amp;" ("&amp;[280]Main!$C$14&amp;")"</f>
        <v/>
      </c>
      <c r="M282" s="58" t="n">
        <v>46337</v>
      </c>
      <c r="N282" s="17" t="inlineStr">
        <is>
          <t>Earnings Nov 11 (est.) · Readout ~2026-12: Thrombosis / cardiovascular, Phase 2/3</t>
        </is>
      </c>
    </row>
    <row r="283">
      <c r="B283" s="3" t="inlineStr">
        <is>
          <t>SPRY</t>
        </is>
      </c>
      <c r="C283" t="inlineStr">
        <is>
          <t>ARS Pharmaceuticals, Inc.</t>
        </is>
      </c>
      <c r="D283" t="inlineStr">
        <is>
          <t>Biotechnology</t>
        </is>
      </c>
      <c r="E283" s="6" t="inlineStr">
        <is>
          <t>NASDAQ</t>
        </is>
      </c>
      <c r="F283" s="1" t="n">
        <v>4.29</v>
      </c>
      <c r="G283" s="8">
        <f>F283*[281]Main!$C$4</f>
        <v/>
      </c>
      <c r="H283" s="10">
        <f>G283-[281]Main!$C$7+[281]Main!$C$8</f>
        <v/>
      </c>
      <c r="J283" s="1">
        <f>IF(ISNUMBER([281]Main!$C$11),[281]Main!$C$11,"")</f>
        <v/>
      </c>
      <c r="K283" s="57">
        <f>IFERROR(J283/F283-1,"")</f>
        <v/>
      </c>
      <c r="L283" s="12">
        <f>[281]Main!$C$15&amp;" ("&amp;[281]Main!$C$14&amp;")"</f>
        <v/>
      </c>
      <c r="M283" s="58" t="n">
        <v>46335</v>
      </c>
      <c r="N283" s="17" t="inlineStr">
        <is>
          <t>Earnings Nov 9 (est.)</t>
        </is>
      </c>
    </row>
    <row r="284">
      <c r="B284" s="3" t="inlineStr">
        <is>
          <t>TECX</t>
        </is>
      </c>
      <c r="C284" t="inlineStr">
        <is>
          <t>Tectonic Therapeutic, Inc.</t>
        </is>
      </c>
      <c r="D284" t="inlineStr">
        <is>
          <t>Biotechnology</t>
        </is>
      </c>
      <c r="E284" s="6" t="inlineStr">
        <is>
          <t>NASDAQ</t>
        </is>
      </c>
      <c r="F284" s="1" t="n">
        <v>21.825</v>
      </c>
      <c r="G284" s="8">
        <f>F284*[282]Main!$C$4</f>
        <v/>
      </c>
      <c r="H284" s="10">
        <f>G284-[282]Main!$C$7+[282]Main!$C$8</f>
        <v/>
      </c>
      <c r="J284" s="1">
        <f>IF(ISNUMBER([282]Main!$C$11),[282]Main!$C$11,"")</f>
        <v/>
      </c>
      <c r="K284" s="57">
        <f>IFERROR(J284/F284-1,"")</f>
        <v/>
      </c>
      <c r="L284" s="12">
        <f>[282]Main!$C$15&amp;" ("&amp;[282]Main!$C$14&amp;")"</f>
        <v/>
      </c>
      <c r="M284" s="58" t="n">
        <v>46331</v>
      </c>
      <c r="N284" s="17" t="inlineStr">
        <is>
          <t>Earnings Nov 5 (est.) · Readout ~2026-11-24: Pulmonary hypertension, Phase 2</t>
        </is>
      </c>
    </row>
    <row r="285">
      <c r="B285" s="3" t="inlineStr">
        <is>
          <t>RCEL</t>
        </is>
      </c>
      <c r="C285" t="inlineStr">
        <is>
          <t>AVITA Medical Inc</t>
        </is>
      </c>
      <c r="D285" t="inlineStr">
        <is>
          <t>Biotechnology</t>
        </is>
      </c>
      <c r="E285" s="6" t="inlineStr">
        <is>
          <t>NASDAQ</t>
        </is>
      </c>
      <c r="F285" s="1" t="n">
        <v>13.8</v>
      </c>
      <c r="G285" s="8">
        <f>F285*[283]Main!$C$4</f>
        <v/>
      </c>
      <c r="H285" s="10">
        <f>G285-[283]Main!$C$7+[283]Main!$C$8</f>
        <v/>
      </c>
      <c r="J285" s="1">
        <f>IF(ISNUMBER([283]Main!$C$11),[283]Main!$C$11,"")</f>
        <v/>
      </c>
      <c r="K285" s="57">
        <f>IFERROR(J285/F285-1,"")</f>
        <v/>
      </c>
      <c r="L285" s="12">
        <f>[283]Main!$C$15&amp;" ("&amp;[283]Main!$C$14&amp;")"</f>
        <v/>
      </c>
      <c r="M285" s="58" t="n">
        <v>46331</v>
      </c>
      <c r="N285" s="17" t="inlineStr">
        <is>
          <t>Earnings Nov 5 (est.)</t>
        </is>
      </c>
    </row>
    <row r="286">
      <c r="B286" s="3" t="inlineStr">
        <is>
          <t>PROK</t>
        </is>
      </c>
      <c r="C286" t="inlineStr">
        <is>
          <t>Prokidney Corp</t>
        </is>
      </c>
      <c r="D286" t="inlineStr">
        <is>
          <t>Biotechnology</t>
        </is>
      </c>
      <c r="E286" s="6" t="inlineStr">
        <is>
          <t>NASDAQ</t>
        </is>
      </c>
      <c r="F286" s="1" t="n">
        <v>1.44</v>
      </c>
      <c r="G286" s="8">
        <f>F286*[284]Main!$C$4</f>
        <v/>
      </c>
      <c r="H286" s="10">
        <f>G286-[284]Main!$C$7+[284]Main!$C$8</f>
        <v/>
      </c>
      <c r="J286" s="1">
        <f>IF(ISNUMBER([284]Main!$C$11),[284]Main!$C$11,"")</f>
        <v/>
      </c>
      <c r="K286" s="57">
        <f>IFERROR(J286/F286-1,"")</f>
        <v/>
      </c>
      <c r="L286" s="12">
        <f>[284]Main!$C$15&amp;" ("&amp;[284]Main!$C$14&amp;")"</f>
        <v/>
      </c>
      <c r="M286" s="58" t="n">
        <v>46335</v>
      </c>
      <c r="N286" s="17" t="inlineStr">
        <is>
          <t>Earnings Nov 9 (est.) · Readout ~2029-12: Type 2 diabetes, Phase 3</t>
        </is>
      </c>
    </row>
    <row r="287">
      <c r="B287" s="3" t="inlineStr">
        <is>
          <t>SCTX</t>
        </is>
      </c>
      <c r="C287" t="inlineStr">
        <is>
          <t>Scribe Therapeutics Inc</t>
        </is>
      </c>
      <c r="D287" t="inlineStr">
        <is>
          <t>Biotechnology</t>
        </is>
      </c>
      <c r="E287" s="6" t="inlineStr">
        <is>
          <t>NASDAQ</t>
        </is>
      </c>
      <c r="F287" s="1" t="n">
        <v>19.81</v>
      </c>
      <c r="G287" s="8">
        <f>F287*[285]Main!$C$4</f>
        <v/>
      </c>
      <c r="H287" s="10">
        <f>G287-[285]Main!$C$7+[285]Main!$C$8</f>
        <v/>
      </c>
      <c r="J287" s="1">
        <f>IF(ISNUMBER([285]Main!$C$11),[285]Main!$C$11,"")</f>
        <v/>
      </c>
      <c r="K287" s="57">
        <f>IFERROR(J287/F287-1,"")</f>
        <v/>
      </c>
      <c r="L287" s="12">
        <f>[285]Main!$C$15&amp;" ("&amp;[285]Main!$C$14&amp;")"</f>
        <v/>
      </c>
      <c r="M287" s="58" t="n">
        <v>46358</v>
      </c>
      <c r="N287" s="17" t="inlineStr">
        <is>
          <t>Earnings Dec 2 (est.)</t>
        </is>
      </c>
    </row>
    <row r="288">
      <c r="B288" s="3" t="inlineStr">
        <is>
          <t>CAPR</t>
        </is>
      </c>
      <c r="C288" t="inlineStr">
        <is>
          <t>Capricor Therapeutics, Inc.</t>
        </is>
      </c>
      <c r="D288" t="inlineStr">
        <is>
          <t>Biotechnology</t>
        </is>
      </c>
      <c r="E288" s="6" t="inlineStr">
        <is>
          <t>NASDAQ</t>
        </is>
      </c>
      <c r="F288" s="1" t="n">
        <v>6.755</v>
      </c>
      <c r="G288" s="8">
        <f>F288*[286]Main!$C$4</f>
        <v/>
      </c>
      <c r="H288" s="10">
        <f>G288-[286]Main!$C$7+[286]Main!$C$8</f>
        <v/>
      </c>
      <c r="J288" s="1">
        <f>[286]Main!$C$11</f>
        <v/>
      </c>
      <c r="K288" s="57">
        <f>IFERROR(J288/F288-1,"")</f>
        <v/>
      </c>
      <c r="L288" s="12">
        <f>"rNPV ("&amp;[286]Main!$C$14&amp;")"</f>
        <v/>
      </c>
      <c r="M288" s="58" t="n">
        <v>46348</v>
      </c>
      <c r="N288" s="59" t="inlineStr">
        <is>
          <t>PDUFA Nov 22: deramiocel · Earnings Nov 9 (est.)</t>
        </is>
      </c>
    </row>
    <row r="289">
      <c r="B289" s="3" t="inlineStr">
        <is>
          <t>MYGN</t>
        </is>
      </c>
      <c r="C289" t="inlineStr">
        <is>
          <t>Myriad Genetics, Inc.</t>
        </is>
      </c>
      <c r="D289" t="inlineStr">
        <is>
          <t>Biotechnology</t>
        </is>
      </c>
      <c r="E289" s="6" t="inlineStr">
        <is>
          <t>NASDAQ</t>
        </is>
      </c>
      <c r="F289" s="1" t="n">
        <v>5.54</v>
      </c>
      <c r="G289" s="8">
        <f>F289*[287]Main!$C$4</f>
        <v/>
      </c>
      <c r="H289" s="10">
        <f>G289-[287]Main!$C$7+[287]Main!$C$8</f>
        <v/>
      </c>
      <c r="J289" s="1">
        <f>IF(ISNUMBER([287]Main!$C$11),[287]Main!$C$11,"")</f>
        <v/>
      </c>
      <c r="K289" s="57">
        <f>IFERROR(J289/F289-1,"")</f>
        <v/>
      </c>
      <c r="L289" s="12">
        <f>[287]Main!$C$15&amp;" ("&amp;[287]Main!$C$14&amp;")"</f>
        <v/>
      </c>
      <c r="M289" s="58" t="n">
        <v>46330</v>
      </c>
      <c r="N289" s="17" t="inlineStr">
        <is>
          <t>Earnings Nov 4 (after close)</t>
        </is>
      </c>
    </row>
    <row r="290">
      <c r="B290" s="3" t="inlineStr">
        <is>
          <t>EDIT</t>
        </is>
      </c>
      <c r="C290" t="inlineStr">
        <is>
          <t>Editas Medicine, Inc.</t>
        </is>
      </c>
      <c r="D290" t="inlineStr">
        <is>
          <t>Biotechnology</t>
        </is>
      </c>
      <c r="E290" s="6" t="inlineStr">
        <is>
          <t>NASDAQ</t>
        </is>
      </c>
      <c r="F290" s="1" t="n">
        <v>2.58</v>
      </c>
      <c r="G290" s="8">
        <f>F290*[288]Main!$C$4</f>
        <v/>
      </c>
      <c r="H290" s="10">
        <f>G290-[288]Main!$C$7+[288]Main!$C$8</f>
        <v/>
      </c>
      <c r="J290" s="1">
        <f>IF(ISNUMBER([288]Main!$C$11),[288]Main!$C$11,"")</f>
        <v/>
      </c>
      <c r="K290" s="57">
        <f>IFERROR(J290/F290-1,"")</f>
        <v/>
      </c>
      <c r="L290" s="12">
        <f>[288]Main!$C$15&amp;" ("&amp;[288]Main!$C$14&amp;")"</f>
        <v/>
      </c>
      <c r="M290" s="58" t="n">
        <v>46335</v>
      </c>
      <c r="N290" s="17" t="inlineStr">
        <is>
          <t>Earnings Nov 9 (est.)</t>
        </is>
      </c>
    </row>
    <row r="291">
      <c r="B291" s="3" t="inlineStr">
        <is>
          <t>ZURA</t>
        </is>
      </c>
      <c r="C291" t="inlineStr">
        <is>
          <t>Zura Bio Ltd</t>
        </is>
      </c>
      <c r="D291" t="inlineStr">
        <is>
          <t>Biotechnology</t>
        </is>
      </c>
      <c r="E291" s="6" t="inlineStr">
        <is>
          <t>NASDAQ</t>
        </is>
      </c>
      <c r="F291" s="1" t="n">
        <v>4</v>
      </c>
      <c r="G291" s="8">
        <f>F291*[289]Main!$C$4</f>
        <v/>
      </c>
      <c r="H291" s="10">
        <f>G291-[289]Main!$C$7+[289]Main!$C$8</f>
        <v/>
      </c>
      <c r="J291" s="1">
        <f>IF(ISNUMBER([289]Main!$C$11),[289]Main!$C$11,"")</f>
        <v/>
      </c>
      <c r="K291" s="57">
        <f>IFERROR(J291/F291-1,"")</f>
        <v/>
      </c>
      <c r="L291" s="12">
        <f>[289]Main!$C$15&amp;" ("&amp;[289]Main!$C$14&amp;")"</f>
        <v/>
      </c>
      <c r="M291" s="58" t="n">
        <v>46338</v>
      </c>
      <c r="N291" s="17" t="inlineStr">
        <is>
          <t>Earnings Nov 12 (est.) · Readout ~2027-05: Rare autoimmune, Phase 2</t>
        </is>
      </c>
    </row>
    <row r="292">
      <c r="B292" s="3" t="inlineStr">
        <is>
          <t>KYTX</t>
        </is>
      </c>
      <c r="C292" t="inlineStr">
        <is>
          <t>Kyverna Therapeutics, Inc.</t>
        </is>
      </c>
      <c r="D292" t="inlineStr">
        <is>
          <t>Biotechnology</t>
        </is>
      </c>
      <c r="E292" s="6" t="inlineStr">
        <is>
          <t>NASDAQ</t>
        </is>
      </c>
      <c r="F292" s="1" t="n">
        <v>6.04</v>
      </c>
      <c r="G292" s="8">
        <f>F292*[290]Main!$C$4</f>
        <v/>
      </c>
      <c r="H292" s="10">
        <f>G292-[290]Main!$C$7+[290]Main!$C$8</f>
        <v/>
      </c>
      <c r="J292" s="1">
        <f>IF(ISNUMBER([290]Main!$C$11),[290]Main!$C$11,"")</f>
        <v/>
      </c>
      <c r="K292" s="57">
        <f>IFERROR(J292/F292-1,"")</f>
        <v/>
      </c>
      <c r="L292" s="12">
        <f>[290]Main!$C$15&amp;" ("&amp;[290]Main!$C$14&amp;")"</f>
        <v/>
      </c>
      <c r="M292" s="58" t="n">
        <v>46337</v>
      </c>
      <c r="N292" s="17" t="inlineStr">
        <is>
          <t>Earnings Nov 11 (est.) · Readout ~2027-04: Multiple sclerosis, Phase 2</t>
        </is>
      </c>
    </row>
    <row r="293">
      <c r="B293" s="3" t="inlineStr">
        <is>
          <t>GALT</t>
        </is>
      </c>
      <c r="C293" t="inlineStr">
        <is>
          <t>Galectin Therapeutics Inc</t>
        </is>
      </c>
      <c r="D293" t="inlineStr">
        <is>
          <t>Biotechnology</t>
        </is>
      </c>
      <c r="E293" s="6" t="inlineStr">
        <is>
          <t>NASDAQ</t>
        </is>
      </c>
      <c r="F293" s="1" t="n">
        <v>3.43</v>
      </c>
      <c r="G293" s="8">
        <f>F293*[291]Main!$C$4</f>
        <v/>
      </c>
      <c r="H293" s="10">
        <f>G293-[291]Main!$C$7+[291]Main!$C$8</f>
        <v/>
      </c>
      <c r="J293" s="1">
        <f>IF(ISNUMBER([291]Main!$C$11),[291]Main!$C$11,"")</f>
        <v/>
      </c>
      <c r="K293" s="57">
        <f>IFERROR(J293/F293-1,"")</f>
        <v/>
      </c>
      <c r="L293" s="12">
        <f>[291]Main!$C$15&amp;" ("&amp;[291]Main!$C$14&amp;")"</f>
        <v/>
      </c>
      <c r="M293" s="58" t="n">
        <v>46339</v>
      </c>
      <c r="N293" s="17" t="inlineStr">
        <is>
          <t>Earnings Nov 13 (est.)</t>
        </is>
      </c>
    </row>
    <row r="294">
      <c r="B294" s="3" t="inlineStr">
        <is>
          <t>MPLT</t>
        </is>
      </c>
      <c r="C294" t="inlineStr">
        <is>
          <t>MapLight Therapeutics, Inc.</t>
        </is>
      </c>
      <c r="D294" t="inlineStr">
        <is>
          <t>Biotechnology</t>
        </is>
      </c>
      <c r="E294" s="6" t="inlineStr">
        <is>
          <t>NASDAQ</t>
        </is>
      </c>
      <c r="F294" s="1" t="n">
        <v>8.24</v>
      </c>
      <c r="G294" s="8">
        <f>F294*[292]Main!$C$4</f>
        <v/>
      </c>
      <c r="H294" s="10">
        <f>G294-[292]Main!$C$7+[292]Main!$C$8</f>
        <v/>
      </c>
      <c r="J294" s="1">
        <f>IF(ISNUMBER([292]Main!$C$11),[292]Main!$C$11,"")</f>
        <v/>
      </c>
      <c r="K294" s="57">
        <f>IFERROR(J294/F294-1,"")</f>
        <v/>
      </c>
      <c r="L294" s="12">
        <f>[292]Main!$C$15&amp;" ("&amp;[292]Main!$C$14&amp;")"</f>
        <v/>
      </c>
      <c r="M294" s="58" t="n">
        <v>46359</v>
      </c>
      <c r="N294" s="17" t="inlineStr">
        <is>
          <t>Earnings Dec 3 (est.) · Readout ~2027-11: Anxiety / PTSD / addiction, Phase 2</t>
        </is>
      </c>
    </row>
    <row r="295">
      <c r="B295" s="3" t="inlineStr">
        <is>
          <t>AVIR</t>
        </is>
      </c>
      <c r="C295" t="inlineStr">
        <is>
          <t>Atea Pharmaceuticals, Inc.</t>
        </is>
      </c>
      <c r="D295" t="inlineStr">
        <is>
          <t>Pharmaceuticals</t>
        </is>
      </c>
      <c r="E295" s="6" t="inlineStr">
        <is>
          <t>NASDAQ</t>
        </is>
      </c>
      <c r="F295" s="1" t="n">
        <v>4.465</v>
      </c>
      <c r="G295" s="8">
        <f>F295*[293]Main!$C$4</f>
        <v/>
      </c>
      <c r="H295" s="10">
        <f>G295-[293]Main!$C$7+[293]Main!$C$8</f>
        <v/>
      </c>
      <c r="J295" s="1">
        <f>IF(ISNUMBER([293]Main!$C$11),[293]Main!$C$11,"")</f>
        <v/>
      </c>
      <c r="K295" s="57">
        <f>IFERROR(J295/F295-1,"")</f>
        <v/>
      </c>
      <c r="L295" s="12">
        <f>[293]Main!$C$15&amp;" ("&amp;[293]Main!$C$14&amp;")"</f>
        <v/>
      </c>
      <c r="M295" s="58" t="n">
        <v>46337</v>
      </c>
      <c r="N295" s="17" t="inlineStr">
        <is>
          <t>Earnings Nov 11 (est.) · Readout ~2026-12: HIV / hepatitis, Phase 3</t>
        </is>
      </c>
    </row>
    <row r="296">
      <c r="B296" s="3" t="inlineStr">
        <is>
          <t>INDP</t>
        </is>
      </c>
      <c r="C296" t="inlineStr">
        <is>
          <t>Indaptus Therapeutics Inc</t>
        </is>
      </c>
      <c r="D296" t="inlineStr">
        <is>
          <t>Biotechnology</t>
        </is>
      </c>
      <c r="E296" s="6" t="inlineStr">
        <is>
          <t>NASDAQ</t>
        </is>
      </c>
      <c r="F296" s="1" t="n">
        <v>2.96</v>
      </c>
      <c r="G296" s="8">
        <f>F296*[294]Main!$C$4</f>
        <v/>
      </c>
      <c r="H296" s="10">
        <f>G296-[294]Main!$C$7+[294]Main!$C$8</f>
        <v/>
      </c>
      <c r="J296" s="1">
        <f>IF(ISNUMBER([294]Main!$C$11),[294]Main!$C$11,"")</f>
        <v/>
      </c>
      <c r="K296" s="57">
        <f>IFERROR(J296/F296-1,"")</f>
        <v/>
      </c>
      <c r="L296" s="12">
        <f>[294]Main!$C$15&amp;" ("&amp;[294]Main!$C$14&amp;")"</f>
        <v/>
      </c>
      <c r="M296" s="58" t="n">
        <v>46337</v>
      </c>
      <c r="N296" s="17" t="inlineStr">
        <is>
          <t>Earnings Nov 11 (est.) · Readout ~2027-06-30: Solid tumors (basket), Phase 1/2</t>
        </is>
      </c>
    </row>
    <row r="297">
      <c r="B297" s="3" t="inlineStr">
        <is>
          <t>FENC</t>
        </is>
      </c>
      <c r="C297" t="inlineStr">
        <is>
          <t>Fennec Pharmaceuticals Inc.</t>
        </is>
      </c>
      <c r="D297" t="inlineStr">
        <is>
          <t>Biotechnology</t>
        </is>
      </c>
      <c r="E297" s="6" t="inlineStr">
        <is>
          <t>NASDAQ</t>
        </is>
      </c>
      <c r="F297" s="1" t="n">
        <v>10.46</v>
      </c>
      <c r="G297" s="8">
        <f>F297*[295]Main!$C$4</f>
        <v/>
      </c>
      <c r="H297" s="10">
        <f>G297-[295]Main!$C$7+[295]Main!$C$8</f>
        <v/>
      </c>
      <c r="J297" s="1">
        <f>IF(ISNUMBER([295]Main!$C$11),[295]Main!$C$11,"")</f>
        <v/>
      </c>
      <c r="K297" s="57">
        <f>IFERROR(J297/F297-1,"")</f>
        <v/>
      </c>
      <c r="L297" s="12">
        <f>[295]Main!$C$15&amp;" ("&amp;[295]Main!$C$14&amp;")"</f>
        <v/>
      </c>
      <c r="M297" s="58" t="n">
        <v>46338</v>
      </c>
      <c r="N297" s="17" t="inlineStr">
        <is>
          <t>Earnings Nov 12 (est.)</t>
        </is>
      </c>
    </row>
    <row r="298">
      <c r="B298" s="3" t="inlineStr">
        <is>
          <t>RZLT</t>
        </is>
      </c>
      <c r="C298" t="inlineStr">
        <is>
          <t>Rezolute, Inc.</t>
        </is>
      </c>
      <c r="D298" t="inlineStr">
        <is>
          <t>Biotechnology</t>
        </is>
      </c>
      <c r="E298" s="6" t="inlineStr">
        <is>
          <t>NASDAQ</t>
        </is>
      </c>
      <c r="F298" s="1" t="n">
        <v>3.7</v>
      </c>
      <c r="G298" s="8">
        <f>F298*[296]Main!$C$4</f>
        <v/>
      </c>
      <c r="H298" s="10">
        <f>G298-[296]Main!$C$7+[296]Main!$C$8</f>
        <v/>
      </c>
      <c r="J298" s="1">
        <f>IF(ISNUMBER([296]Main!$C$11),[296]Main!$C$11,"")</f>
        <v/>
      </c>
      <c r="K298" s="57">
        <f>IFERROR(J298/F298-1,"")</f>
        <v/>
      </c>
      <c r="L298" s="12">
        <f>[296]Main!$C$15&amp;" ("&amp;[296]Main!$C$14&amp;")"</f>
        <v/>
      </c>
      <c r="M298" s="58" t="n">
        <v>46331</v>
      </c>
      <c r="N298" s="17" t="inlineStr">
        <is>
          <t>Earnings Nov 5 (est.) · Readout ~2027-09: Solid tumors (basket), Phase 3</t>
        </is>
      </c>
    </row>
    <row r="299">
      <c r="B299" s="3" t="inlineStr">
        <is>
          <t>TTRX</t>
        </is>
      </c>
      <c r="C299" t="inlineStr">
        <is>
          <t>Turn Therapeutics Inc</t>
        </is>
      </c>
      <c r="D299" t="inlineStr">
        <is>
          <t>Pharmaceuticals</t>
        </is>
      </c>
      <c r="E299" s="6" t="inlineStr">
        <is>
          <t>NASDAQ</t>
        </is>
      </c>
      <c r="F299" s="1" t="n">
        <v>10.47</v>
      </c>
      <c r="G299" s="8">
        <f>F299*[297]Main!$C$4</f>
        <v/>
      </c>
      <c r="H299" s="10">
        <f>G299-[297]Main!$C$7+[297]Main!$C$8</f>
        <v/>
      </c>
      <c r="J299" s="1">
        <f>IF(ISNUMBER([297]Main!$C$11),[297]Main!$C$11,"")</f>
        <v/>
      </c>
      <c r="K299" s="57">
        <f>IFERROR(J299/F299-1,"")</f>
        <v/>
      </c>
      <c r="L299" s="12">
        <f>[297]Main!$C$15&amp;" ("&amp;[297]Main!$C$14&amp;")"</f>
        <v/>
      </c>
      <c r="M299" s="58" t="n">
        <v>46338</v>
      </c>
      <c r="N299" s="17" t="inlineStr">
        <is>
          <t>Earnings Nov 12 (est.) · Readout ~2027-01-20: Atopic dermatitis, Phase 2/3</t>
        </is>
      </c>
    </row>
    <row r="300">
      <c r="B300" s="3" t="inlineStr">
        <is>
          <t>EPRX</t>
        </is>
      </c>
      <c r="C300" t="inlineStr">
        <is>
          <t>Eupraxia Pharmaceuticals Inc</t>
        </is>
      </c>
      <c r="D300" t="inlineStr">
        <is>
          <t>Biotechnology</t>
        </is>
      </c>
      <c r="E300" s="6" t="inlineStr">
        <is>
          <t>NASDAQ</t>
        </is>
      </c>
      <c r="F300" s="1" t="n">
        <v>7.59</v>
      </c>
      <c r="G300" s="8">
        <f>F300*[298]Main!$C$4</f>
        <v/>
      </c>
      <c r="H300" s="10">
        <f>G300-[298]Main!$C$7+[298]Main!$C$8</f>
        <v/>
      </c>
      <c r="J300" s="1">
        <f>IF(ISNUMBER([298]Main!$C$11),[298]Main!$C$11,"")</f>
        <v/>
      </c>
      <c r="K300" s="57">
        <f>IFERROR(J300/F300-1,"")</f>
        <v/>
      </c>
      <c r="L300" s="12">
        <f>[298]Main!$C$15&amp;" ("&amp;[298]Main!$C$14&amp;")"</f>
        <v/>
      </c>
      <c r="M300" s="58" t="n">
        <v>46329</v>
      </c>
      <c r="N300" s="17" t="inlineStr">
        <is>
          <t>Earnings Nov 3 (est.) · Readout ~2026-12: Gastric / esophageal cancer, Phase 1/2</t>
        </is>
      </c>
    </row>
    <row r="301">
      <c r="B301" s="3" t="inlineStr">
        <is>
          <t>RLMD</t>
        </is>
      </c>
      <c r="C301" t="inlineStr">
        <is>
          <t>Relmada Therapeutics Inc</t>
        </is>
      </c>
      <c r="D301" t="inlineStr">
        <is>
          <t>Pharmaceuticals</t>
        </is>
      </c>
      <c r="E301" s="6" t="inlineStr">
        <is>
          <t>NASDAQ</t>
        </is>
      </c>
      <c r="F301" s="1" t="n">
        <v>3.36</v>
      </c>
      <c r="G301" s="8">
        <f>F301*[299]Main!$C$4</f>
        <v/>
      </c>
      <c r="H301" s="10">
        <f>G301-[299]Main!$C$7+[299]Main!$C$8</f>
        <v/>
      </c>
      <c r="J301" s="1">
        <f>IF(ISNUMBER([299]Main!$C$11),[299]Main!$C$11,"")</f>
        <v/>
      </c>
      <c r="K301" s="57">
        <f>IFERROR(J301/F301-1,"")</f>
        <v/>
      </c>
      <c r="L301" s="12">
        <f>[299]Main!$C$15&amp;" ("&amp;[299]Main!$C$14&amp;")"</f>
        <v/>
      </c>
      <c r="M301" s="58" t="n">
        <v>46338</v>
      </c>
      <c r="N301" s="17" t="inlineStr">
        <is>
          <t>Earnings Nov 12 (est.) · Readout ~2027-11: Bladder / urothelial cancer, Phase 3</t>
        </is>
      </c>
    </row>
    <row r="302">
      <c r="B302" s="3" t="inlineStr">
        <is>
          <t>CCCC</t>
        </is>
      </c>
      <c r="C302" t="inlineStr">
        <is>
          <t>C4 Therapeutics, Inc.</t>
        </is>
      </c>
      <c r="D302" t="inlineStr">
        <is>
          <t>Biotechnology</t>
        </is>
      </c>
      <c r="E302" s="6" t="inlineStr">
        <is>
          <t>NASDAQ</t>
        </is>
      </c>
      <c r="F302" s="1" t="n">
        <v>3.16</v>
      </c>
      <c r="G302" s="8">
        <f>F302*[300]Main!$C$4</f>
        <v/>
      </c>
      <c r="H302" s="10">
        <f>G302-[300]Main!$C$7+[300]Main!$C$8</f>
        <v/>
      </c>
      <c r="J302" s="1">
        <f>IF(ISNUMBER([300]Main!$C$11),[300]Main!$C$11,"")</f>
        <v/>
      </c>
      <c r="K302" s="57">
        <f>IFERROR(J302/F302-1,"")</f>
        <v/>
      </c>
      <c r="L302" s="12">
        <f>[300]Main!$C$15&amp;" ("&amp;[300]Main!$C$14&amp;")"</f>
        <v/>
      </c>
      <c r="M302" s="58" t="n">
        <v>46331</v>
      </c>
      <c r="N302" s="17" t="inlineStr">
        <is>
          <t>Earnings Nov 5 (est.) · Readout ~2028-12: Multiple myeloma, Phase 2</t>
        </is>
      </c>
    </row>
    <row r="303">
      <c r="B303" s="3" t="inlineStr">
        <is>
          <t>SNDL</t>
        </is>
      </c>
      <c r="C303" t="inlineStr">
        <is>
          <t>SNDL Inc</t>
        </is>
      </c>
      <c r="D303" t="inlineStr">
        <is>
          <t>Pharmaceuticals</t>
        </is>
      </c>
      <c r="E303" s="6" t="inlineStr">
        <is>
          <t>NASDAQ</t>
        </is>
      </c>
      <c r="F303" s="1" t="n">
        <v>1.28</v>
      </c>
      <c r="G303" s="8">
        <f>F303*[301]Main!$C$4</f>
        <v/>
      </c>
      <c r="H303" s="10">
        <f>G303-[301]Main!$C$7+[301]Main!$C$8</f>
        <v/>
      </c>
      <c r="J303" s="1">
        <f>IF(ISNUMBER([301]Main!$C$11),[301]Main!$C$11,"")</f>
        <v/>
      </c>
      <c r="K303" s="57">
        <f>IFERROR(J303/F303-1,"")</f>
        <v/>
      </c>
      <c r="L303" s="12">
        <f>[301]Main!$C$15&amp;" ("&amp;[301]Main!$C$14&amp;")"</f>
        <v/>
      </c>
      <c r="M303" s="58" t="n">
        <v>46322</v>
      </c>
      <c r="N303" s="17" t="inlineStr">
        <is>
          <t>Earnings Oct 27 (before open)</t>
        </is>
      </c>
    </row>
    <row r="304">
      <c r="B304" s="3" t="inlineStr">
        <is>
          <t>EBS</t>
        </is>
      </c>
      <c r="C304" t="inlineStr">
        <is>
          <t>Emergent BioSolutions Inc.</t>
        </is>
      </c>
      <c r="D304" t="inlineStr">
        <is>
          <t>Biotechnology</t>
        </is>
      </c>
      <c r="E304" s="6" t="inlineStr">
        <is>
          <t>NYSE</t>
        </is>
      </c>
      <c r="F304" s="1" t="n">
        <v>6.29</v>
      </c>
      <c r="G304" s="8">
        <f>F304*[302]Main!$C$4</f>
        <v/>
      </c>
      <c r="H304" s="10">
        <f>G304-[302]Main!$C$7+[302]Main!$C$8</f>
        <v/>
      </c>
      <c r="J304" s="1">
        <f>IF(ISNUMBER([302]Main!$C$11),[302]Main!$C$11,"")</f>
        <v/>
      </c>
      <c r="K304" s="57">
        <f>IFERROR(J304/F304-1,"")</f>
        <v/>
      </c>
      <c r="L304" s="12">
        <f>[302]Main!$C$15&amp;" ("&amp;[302]Main!$C$14&amp;")"</f>
        <v/>
      </c>
      <c r="M304" s="58" t="n">
        <v>46328</v>
      </c>
      <c r="N304" s="17" t="inlineStr">
        <is>
          <t>Earnings Nov 2 (after close)</t>
        </is>
      </c>
    </row>
    <row r="305">
      <c r="B305" s="3" t="inlineStr">
        <is>
          <t>ENTA</t>
        </is>
      </c>
      <c r="C305" t="inlineStr">
        <is>
          <t>Enanta Pharmaceuticals Inc</t>
        </is>
      </c>
      <c r="D305" t="inlineStr">
        <is>
          <t>Biotechnology</t>
        </is>
      </c>
      <c r="E305" s="6" t="inlineStr">
        <is>
          <t>NASDAQ</t>
        </is>
      </c>
      <c r="F305" s="1" t="n">
        <v>11.67</v>
      </c>
      <c r="G305" s="8">
        <f>F305*[303]Main!$C$4</f>
        <v/>
      </c>
      <c r="H305" s="10">
        <f>G305-[303]Main!$C$7+[303]Main!$C$8</f>
        <v/>
      </c>
      <c r="J305" s="1">
        <f>IF(ISNUMBER([303]Main!$C$11),[303]Main!$C$11,"")</f>
        <v/>
      </c>
      <c r="K305" s="57">
        <f>IFERROR(J305/F305-1,"")</f>
        <v/>
      </c>
      <c r="L305" s="12">
        <f>[303]Main!$C$15&amp;" ("&amp;[303]Main!$C$14&amp;")"</f>
        <v/>
      </c>
      <c r="M305" s="58" t="n">
        <v>46342</v>
      </c>
      <c r="N305" s="17" t="inlineStr">
        <is>
          <t>Earnings Nov 16 (est.)</t>
        </is>
      </c>
    </row>
    <row r="306">
      <c r="B306" s="3" t="inlineStr">
        <is>
          <t>IRD</t>
        </is>
      </c>
      <c r="C306" t="inlineStr">
        <is>
          <t>Opus Genetics Inc</t>
        </is>
      </c>
      <c r="D306" t="inlineStr">
        <is>
          <t>Biotechnology</t>
        </is>
      </c>
      <c r="E306" s="6" t="inlineStr">
        <is>
          <t>NASDAQ</t>
        </is>
      </c>
      <c r="F306" s="1" t="n">
        <v>4.01</v>
      </c>
      <c r="G306" s="8">
        <f>F306*[304]Main!$C$4</f>
        <v/>
      </c>
      <c r="H306" s="10">
        <f>G306-[304]Main!$C$7+[304]Main!$C$8</f>
        <v/>
      </c>
      <c r="J306" s="1">
        <f>IF(ISNUMBER([304]Main!$C$11),[304]Main!$C$11,"")</f>
        <v/>
      </c>
      <c r="K306" s="57">
        <f>IFERROR(J306/F306-1,"")</f>
        <v/>
      </c>
      <c r="L306" s="12">
        <f>[304]Main!$C$15&amp;" ("&amp;[304]Main!$C$14&amp;")"</f>
        <v/>
      </c>
      <c r="M306" s="58" t="n">
        <v>46337</v>
      </c>
      <c r="N306" s="17" t="inlineStr">
        <is>
          <t>Earnings Nov 11 (est.) · Readout ~2030-08: Retinal disease (AMD / DME), Phase 2</t>
        </is>
      </c>
    </row>
    <row r="307">
      <c r="B307" s="3" t="inlineStr">
        <is>
          <t>GTBP</t>
        </is>
      </c>
      <c r="C307" t="inlineStr">
        <is>
          <t>GT Biopharma Inc</t>
        </is>
      </c>
      <c r="D307" t="inlineStr">
        <is>
          <t>Biotechnology</t>
        </is>
      </c>
      <c r="E307" s="6" t="inlineStr">
        <is>
          <t>NASDAQ</t>
        </is>
      </c>
      <c r="F307" s="1" t="n">
        <v>7.31</v>
      </c>
      <c r="G307" s="8">
        <f>F307*[305]Main!$C$4</f>
        <v/>
      </c>
      <c r="H307" s="10">
        <f>G307-[305]Main!$C$7+[305]Main!$C$8</f>
        <v/>
      </c>
      <c r="J307" s="1">
        <f>IF(ISNUMBER([305]Main!$C$11),[305]Main!$C$11,"")</f>
        <v/>
      </c>
      <c r="K307" s="57">
        <f>IFERROR(J307/F307-1,"")</f>
        <v/>
      </c>
      <c r="L307" s="12">
        <f>[305]Main!$C$15&amp;" ("&amp;[305]Main!$C$14&amp;")"</f>
        <v/>
      </c>
      <c r="M307" s="58" t="n">
        <v>46339</v>
      </c>
      <c r="N307" s="17" t="inlineStr">
        <is>
          <t>Earnings Nov 13 (est.)</t>
        </is>
      </c>
    </row>
    <row r="308">
      <c r="B308" s="3" t="inlineStr">
        <is>
          <t>CGC</t>
        </is>
      </c>
      <c r="C308" t="inlineStr">
        <is>
          <t>Canopy Growth Corporation</t>
        </is>
      </c>
      <c r="D308" t="inlineStr">
        <is>
          <t>Pharmaceuticals</t>
        </is>
      </c>
      <c r="E308" s="6" t="inlineStr">
        <is>
          <t>NASDAQ</t>
        </is>
      </c>
      <c r="F308" s="1" t="n">
        <v>0.72</v>
      </c>
      <c r="G308" s="8">
        <f>F308*[306]Main!$C$4</f>
        <v/>
      </c>
      <c r="H308" s="10">
        <f>G308-[306]Main!$C$7+[306]Main!$C$8</f>
        <v/>
      </c>
      <c r="J308" s="1">
        <f>IF(ISNUMBER([306]Main!$C$11),[306]Main!$C$11,"")</f>
        <v/>
      </c>
      <c r="K308" s="57">
        <f>IFERROR(J308/F308-1,"")</f>
        <v/>
      </c>
      <c r="L308" s="12">
        <f>[306]Main!$C$15&amp;" ("&amp;[306]Main!$C$14&amp;")"</f>
        <v/>
      </c>
      <c r="M308" s="58" t="n">
        <v>46332</v>
      </c>
      <c r="N308" s="17" t="inlineStr">
        <is>
          <t>Earnings Nov 6 (est.)</t>
        </is>
      </c>
    </row>
    <row r="309">
      <c r="B309" s="3" t="inlineStr">
        <is>
          <t>ARTV</t>
        </is>
      </c>
      <c r="C309" t="inlineStr">
        <is>
          <t>Artiva Biotherapeutics Inc</t>
        </is>
      </c>
      <c r="D309" t="inlineStr">
        <is>
          <t>Biotechnology</t>
        </is>
      </c>
      <c r="E309" s="6" t="inlineStr">
        <is>
          <t>NASDAQ</t>
        </is>
      </c>
      <c r="F309" s="1" t="n">
        <v>6.56</v>
      </c>
      <c r="G309" s="8">
        <f>F309*[307]Main!$C$4</f>
        <v/>
      </c>
      <c r="H309" s="10">
        <f>G309-[307]Main!$C$7+[307]Main!$C$8</f>
        <v/>
      </c>
      <c r="J309" s="1">
        <f>IF(ISNUMBER([307]Main!$C$11),[307]Main!$C$11,"")</f>
        <v/>
      </c>
      <c r="K309" s="57">
        <f>IFERROR(J309/F309-1,"")</f>
        <v/>
      </c>
      <c r="L309" s="12">
        <f>[307]Main!$C$15&amp;" ("&amp;[307]Main!$C$14&amp;")"</f>
        <v/>
      </c>
      <c r="M309" s="58" t="n">
        <v>46337</v>
      </c>
      <c r="N309" s="17" t="inlineStr">
        <is>
          <t>Earnings Nov 11 (est.) · Readout ~2027-08: Lupus / Sjogren's, Phase 1</t>
        </is>
      </c>
    </row>
    <row r="310">
      <c r="B310" s="3" t="inlineStr">
        <is>
          <t>BNTC</t>
        </is>
      </c>
      <c r="C310" t="inlineStr">
        <is>
          <t>Benitec Biopharma Inc</t>
        </is>
      </c>
      <c r="D310" t="inlineStr">
        <is>
          <t>Biotechnology</t>
        </is>
      </c>
      <c r="E310" s="6" t="inlineStr">
        <is>
          <t>NASDAQ</t>
        </is>
      </c>
      <c r="F310" s="1" t="n">
        <v>9.039999999999999</v>
      </c>
      <c r="G310" s="8">
        <f>F310*[308]Main!$C$4</f>
        <v/>
      </c>
      <c r="H310" s="10">
        <f>G310-[308]Main!$C$7+[308]Main!$C$8</f>
        <v/>
      </c>
      <c r="J310" s="1">
        <f>IF(ISNUMBER([308]Main!$C$11),[308]Main!$C$11,"")</f>
        <v/>
      </c>
      <c r="K310" s="57">
        <f>IFERROR(J310/F310-1,"")</f>
        <v/>
      </c>
      <c r="L310" s="12">
        <f>[308]Main!$C$15&amp;" ("&amp;[308]Main!$C$14&amp;")"</f>
        <v/>
      </c>
      <c r="M310" s="58" t="n">
        <v>46339</v>
      </c>
      <c r="N310" s="17" t="inlineStr">
        <is>
          <t>Earnings Nov 13 (est.) · Readout ~2030-11: Muscular dystrophy / SMA, Phase 1/2</t>
        </is>
      </c>
    </row>
    <row r="311">
      <c r="B311" s="3" t="inlineStr">
        <is>
          <t>ARCT</t>
        </is>
      </c>
      <c r="C311" t="inlineStr">
        <is>
          <t>Arcturus Therapeutics Holdings Inc</t>
        </is>
      </c>
      <c r="D311" t="inlineStr">
        <is>
          <t>Biotechnology</t>
        </is>
      </c>
      <c r="E311" s="6" t="inlineStr">
        <is>
          <t>NASDAQ</t>
        </is>
      </c>
      <c r="F311" s="1" t="n">
        <v>10.98</v>
      </c>
      <c r="G311" s="8">
        <f>F311*[309]Main!$C$4</f>
        <v/>
      </c>
      <c r="H311" s="10">
        <f>G311-[309]Main!$C$7+[309]Main!$C$8</f>
        <v/>
      </c>
      <c r="J311" s="1">
        <f>IF(ISNUMBER([309]Main!$C$11),[309]Main!$C$11,"")</f>
        <v/>
      </c>
      <c r="K311" s="57">
        <f>IFERROR(J311/F311-1,"")</f>
        <v/>
      </c>
      <c r="L311" s="12">
        <f>[309]Main!$C$15&amp;" ("&amp;[309]Main!$C$14&amp;")"</f>
        <v/>
      </c>
      <c r="M311" s="58" t="n">
        <v>46335</v>
      </c>
      <c r="N311" s="17" t="inlineStr">
        <is>
          <t>Earnings Nov 9 (est.) · Readout ~2027-06: Cystic fibrosis / bronchiectasis, Phase 2</t>
        </is>
      </c>
    </row>
    <row r="312">
      <c r="B312" s="3" t="inlineStr">
        <is>
          <t>IBO</t>
        </is>
      </c>
      <c r="C312" t="inlineStr">
        <is>
          <t>Impact Biomedical Inc</t>
        </is>
      </c>
      <c r="D312" t="inlineStr">
        <is>
          <t>Pharmaceuticals</t>
        </is>
      </c>
      <c r="E312" s="6" t="inlineStr">
        <is>
          <t>NYSE</t>
        </is>
      </c>
      <c r="F312" s="1" t="n">
        <v>3.2</v>
      </c>
      <c r="G312" s="8">
        <f>F312*[310]Main!$C$4</f>
        <v/>
      </c>
      <c r="H312" s="10">
        <f>G312-[310]Main!$C$7+[310]Main!$C$8</f>
        <v/>
      </c>
      <c r="J312" s="1">
        <f>IF(ISNUMBER([310]Main!$C$11),[310]Main!$C$11,"")</f>
        <v/>
      </c>
      <c r="K312" s="57">
        <f>IFERROR(J312/F312-1,"")</f>
        <v/>
      </c>
      <c r="L312" s="12">
        <f>[310]Main!$C$15&amp;" ("&amp;[310]Main!$C$14&amp;")"</f>
        <v/>
      </c>
      <c r="M312" s="58" t="n">
        <v>46332</v>
      </c>
      <c r="N312" s="17" t="inlineStr">
        <is>
          <t>Earnings Nov 6 (est.)</t>
        </is>
      </c>
    </row>
    <row r="313">
      <c r="B313" s="3" t="inlineStr">
        <is>
          <t>FULC</t>
        </is>
      </c>
      <c r="C313" t="inlineStr">
        <is>
          <t>Fulcrum Therapeutics, Inc.</t>
        </is>
      </c>
      <c r="D313" t="inlineStr">
        <is>
          <t>Pharmaceuticals</t>
        </is>
      </c>
      <c r="E313" s="6" t="inlineStr">
        <is>
          <t>NASDAQ</t>
        </is>
      </c>
      <c r="F313" s="1" t="n">
        <v>3.72</v>
      </c>
      <c r="G313" s="8">
        <f>F313*[311]Main!$C$4</f>
        <v/>
      </c>
      <c r="H313" s="10">
        <f>G313-[311]Main!$C$7+[311]Main!$C$8</f>
        <v/>
      </c>
      <c r="J313" s="1">
        <f>IF(ISNUMBER([311]Main!$C$11),[311]Main!$C$11,"")</f>
        <v/>
      </c>
      <c r="K313" s="57">
        <f>IFERROR(J313/F313-1,"")</f>
        <v/>
      </c>
      <c r="L313" s="12">
        <f>[311]Main!$C$15&amp;" ("&amp;[311]Main!$C$14&amp;")"</f>
        <v/>
      </c>
      <c r="M313" s="58" t="n">
        <v>46330</v>
      </c>
      <c r="N313" s="17" t="inlineStr">
        <is>
          <t>Earnings Nov 4 (est.) · Readout ~2030-02-04: Sickle cell / thalassemia, Phase 2</t>
        </is>
      </c>
    </row>
    <row r="314">
      <c r="B314" s="3" t="inlineStr">
        <is>
          <t>CYPH</t>
        </is>
      </c>
      <c r="C314" t="inlineStr">
        <is>
          <t>Cypherpunk Technologies Inc</t>
        </is>
      </c>
      <c r="D314" t="inlineStr">
        <is>
          <t>Biotechnology</t>
        </is>
      </c>
      <c r="E314" s="6" t="inlineStr">
        <is>
          <t>NASDAQ</t>
        </is>
      </c>
      <c r="F314" s="1" t="n">
        <v>2.81</v>
      </c>
      <c r="G314" s="8">
        <f>F314*[312]Main!$C$4</f>
        <v/>
      </c>
      <c r="H314" s="10">
        <f>G314-[312]Main!$C$7+[312]Main!$C$8</f>
        <v/>
      </c>
      <c r="J314" s="1">
        <f>IF(ISNUMBER([312]Main!$C$11),[312]Main!$C$11,"")</f>
        <v/>
      </c>
      <c r="K314" s="57">
        <f>IFERROR(J314/F314-1,"")</f>
        <v/>
      </c>
      <c r="L314" s="12">
        <f>[312]Main!$C$15&amp;" ("&amp;[312]Main!$C$14&amp;")"</f>
        <v/>
      </c>
      <c r="M314" s="58" t="n">
        <v>46337</v>
      </c>
      <c r="N314" s="17" t="inlineStr">
        <is>
          <t>Earnings Nov 11 (est.)</t>
        </is>
      </c>
    </row>
    <row r="315">
      <c r="B315" s="3" t="inlineStr">
        <is>
          <t>SRZN</t>
        </is>
      </c>
      <c r="C315" t="inlineStr">
        <is>
          <t>Surrozen, Inc.</t>
        </is>
      </c>
      <c r="D315" t="inlineStr">
        <is>
          <t>Biotechnology</t>
        </is>
      </c>
      <c r="E315" s="6" t="inlineStr">
        <is>
          <t>NASDAQ</t>
        </is>
      </c>
      <c r="F315" s="1" t="n">
        <v>25.14</v>
      </c>
      <c r="G315" s="8">
        <f>F315*[313]Main!$C$4</f>
        <v/>
      </c>
      <c r="H315" s="10">
        <f>G315-[313]Main!$C$7+[313]Main!$C$8</f>
        <v/>
      </c>
      <c r="J315" s="1">
        <f>IF(ISNUMBER([313]Main!$C$11),[313]Main!$C$11,"")</f>
        <v/>
      </c>
      <c r="K315" s="57">
        <f>IFERROR(J315/F315-1,"")</f>
        <v/>
      </c>
      <c r="L315" s="12">
        <f>[313]Main!$C$15&amp;" ("&amp;[313]Main!$C$14&amp;")"</f>
        <v/>
      </c>
      <c r="M315" s="58" t="n">
        <v>46332</v>
      </c>
      <c r="N315" s="17" t="inlineStr">
        <is>
          <t>Earnings Nov 6 (est.) · Readout ~2027-08-31: Retinal disease (AMD / DME), Phase 1</t>
        </is>
      </c>
    </row>
    <row r="316">
      <c r="B316" s="3" t="inlineStr">
        <is>
          <t>AGEN</t>
        </is>
      </c>
      <c r="C316" t="inlineStr">
        <is>
          <t>Agenus Inc</t>
        </is>
      </c>
      <c r="D316" t="inlineStr">
        <is>
          <t>Biotechnology</t>
        </is>
      </c>
      <c r="E316" s="6" t="inlineStr">
        <is>
          <t>NASDAQ</t>
        </is>
      </c>
      <c r="F316" s="1" t="n">
        <v>6.42</v>
      </c>
      <c r="G316" s="8">
        <f>F316*[314]Main!$C$4</f>
        <v/>
      </c>
      <c r="H316" s="10">
        <f>G316-[314]Main!$C$7+[314]Main!$C$8</f>
        <v/>
      </c>
      <c r="J316" s="1">
        <f>IF(ISNUMBER([314]Main!$C$11),[314]Main!$C$11,"")</f>
        <v/>
      </c>
      <c r="K316" s="57">
        <f>IFERROR(J316/F316-1,"")</f>
        <v/>
      </c>
      <c r="L316" s="12">
        <f>[314]Main!$C$15&amp;" ("&amp;[314]Main!$C$14&amp;")"</f>
        <v/>
      </c>
      <c r="M316" s="58" t="n">
        <v>46335</v>
      </c>
      <c r="N316" s="17" t="inlineStr">
        <is>
          <t>Earnings Nov 9 (est.)</t>
        </is>
      </c>
    </row>
    <row r="317">
      <c r="B317" s="3" t="inlineStr">
        <is>
          <t>PALI</t>
        </is>
      </c>
      <c r="C317" t="inlineStr">
        <is>
          <t>Palisade Bio Inc</t>
        </is>
      </c>
      <c r="D317" t="inlineStr">
        <is>
          <t>Biotechnology</t>
        </is>
      </c>
      <c r="E317" s="6" t="inlineStr">
        <is>
          <t>NASDAQ</t>
        </is>
      </c>
      <c r="F317" s="1" t="n">
        <v>1.43</v>
      </c>
      <c r="G317" s="8">
        <f>F317*[315]Main!$C$4</f>
        <v/>
      </c>
      <c r="H317" s="10">
        <f>G317-[315]Main!$C$7+[315]Main!$C$8</f>
        <v/>
      </c>
      <c r="J317" s="1">
        <f>IF(ISNUMBER([315]Main!$C$11),[315]Main!$C$11,"")</f>
        <v/>
      </c>
      <c r="K317" s="57">
        <f>IFERROR(J317/F317-1,"")</f>
        <v/>
      </c>
      <c r="L317" s="12">
        <f>[315]Main!$C$15&amp;" ("&amp;[315]Main!$C$14&amp;")"</f>
        <v/>
      </c>
      <c r="M317" s="58" t="n">
        <v>46335</v>
      </c>
      <c r="N317" s="17" t="inlineStr">
        <is>
          <t>Earnings Nov 9 (est.) · Readout ~2027-10: IBD (UC / Crohn's), Phase 2</t>
        </is>
      </c>
    </row>
    <row r="318">
      <c r="B318" s="3" t="inlineStr">
        <is>
          <t>ANIK</t>
        </is>
      </c>
      <c r="C318" t="inlineStr">
        <is>
          <t>Anika Therapeutics Inc</t>
        </is>
      </c>
      <c r="D318" t="inlineStr">
        <is>
          <t>Biotechnology</t>
        </is>
      </c>
      <c r="E318" s="6" t="inlineStr">
        <is>
          <t>NASDAQ</t>
        </is>
      </c>
      <c r="F318" s="1" t="n">
        <v>20.44</v>
      </c>
      <c r="G318" s="8">
        <f>F318*[316]Main!$C$4</f>
        <v/>
      </c>
      <c r="H318" s="10">
        <f>G318-[316]Main!$C$7+[316]Main!$C$8</f>
        <v/>
      </c>
      <c r="J318" s="1">
        <f>IF(ISNUMBER([316]Main!$C$11),[316]Main!$C$11,"")</f>
        <v/>
      </c>
      <c r="K318" s="57">
        <f>IFERROR(J318/F318-1,"")</f>
        <v/>
      </c>
      <c r="L318" s="12">
        <f>[316]Main!$C$15&amp;" ("&amp;[316]Main!$C$14&amp;")"</f>
        <v/>
      </c>
      <c r="M318" s="58" t="n">
        <v>46330</v>
      </c>
      <c r="N318" s="17" t="inlineStr">
        <is>
          <t>Earnings Nov 4 (est.)</t>
        </is>
      </c>
    </row>
    <row r="319">
      <c r="B319" s="3" t="inlineStr">
        <is>
          <t>CATX</t>
        </is>
      </c>
      <c r="C319" t="inlineStr">
        <is>
          <t>Perspective Therapeutics, Inc.</t>
        </is>
      </c>
      <c r="D319" t="inlineStr">
        <is>
          <t>Biotechnology</t>
        </is>
      </c>
      <c r="E319" s="6" t="inlineStr">
        <is>
          <t>NYSE</t>
        </is>
      </c>
      <c r="F319" s="1" t="n">
        <v>2.3</v>
      </c>
      <c r="G319" s="8">
        <f>F319*[317]Main!$C$4</f>
        <v/>
      </c>
      <c r="H319" s="10">
        <f>G319-[317]Main!$C$7+[317]Main!$C$8</f>
        <v/>
      </c>
      <c r="J319" s="1">
        <f>IF(ISNUMBER([317]Main!$C$11),[317]Main!$C$11,"")</f>
        <v/>
      </c>
      <c r="K319" s="57">
        <f>IFERROR(J319/F319-1,"")</f>
        <v/>
      </c>
      <c r="L319" s="12">
        <f>[317]Main!$C$15&amp;" ("&amp;[317]Main!$C$14&amp;")"</f>
        <v/>
      </c>
      <c r="M319" s="58" t="n">
        <v>46335</v>
      </c>
      <c r="N319" s="17" t="inlineStr">
        <is>
          <t>Earnings Nov 9 (est.) · Readout ~2027-12-31: Melanoma, Phase 1/2</t>
        </is>
      </c>
    </row>
    <row r="320">
      <c r="B320" s="3" t="inlineStr">
        <is>
          <t>OCGN</t>
        </is>
      </c>
      <c r="C320" t="inlineStr">
        <is>
          <t>Ocugen, Inc.</t>
        </is>
      </c>
      <c r="D320" t="inlineStr">
        <is>
          <t>Biotechnology</t>
        </is>
      </c>
      <c r="E320" s="6" t="inlineStr">
        <is>
          <t>NASDAQ</t>
        </is>
      </c>
      <c r="F320" s="1" t="n">
        <v>0.8125</v>
      </c>
      <c r="G320" s="8">
        <f>F320*[318]Main!$C$4</f>
        <v/>
      </c>
      <c r="H320" s="10">
        <f>G320-[318]Main!$C$7+[318]Main!$C$8</f>
        <v/>
      </c>
      <c r="J320" s="1">
        <f>IF(ISNUMBER([318]Main!$C$11),[318]Main!$C$11,"")</f>
        <v/>
      </c>
      <c r="K320" s="57">
        <f>IFERROR(J320/F320-1,"")</f>
        <v/>
      </c>
      <c r="L320" s="12">
        <f>[318]Main!$C$15&amp;" ("&amp;[318]Main!$C$14&amp;")"</f>
        <v/>
      </c>
      <c r="M320" s="58" t="n">
        <v>46330</v>
      </c>
      <c r="N320" s="17" t="inlineStr">
        <is>
          <t>Earnings Nov 4 (est.) · Readout ~2027-02-12: Inherited retinal disease, Phase 3</t>
        </is>
      </c>
    </row>
    <row r="321">
      <c r="B321" s="3" t="inlineStr">
        <is>
          <t>XFOR</t>
        </is>
      </c>
      <c r="C321" t="inlineStr">
        <is>
          <t>X4 Pharmaceuticals, Inc.</t>
        </is>
      </c>
      <c r="D321" t="inlineStr">
        <is>
          <t>Biotechnology</t>
        </is>
      </c>
      <c r="E321" s="6" t="inlineStr">
        <is>
          <t>NASDAQ</t>
        </is>
      </c>
      <c r="F321" s="1" t="n">
        <v>3.02</v>
      </c>
      <c r="G321" s="8">
        <f>F321*[319]Main!$C$4</f>
        <v/>
      </c>
      <c r="H321" s="10">
        <f>G321-[319]Main!$C$7+[319]Main!$C$8</f>
        <v/>
      </c>
      <c r="J321" s="1">
        <f>IF(ISNUMBER([319]Main!$C$11),[319]Main!$C$11,"")</f>
        <v/>
      </c>
      <c r="K321" s="57">
        <f>IFERROR(J321/F321-1,"")</f>
        <v/>
      </c>
      <c r="L321" s="12">
        <f>[319]Main!$C$15&amp;" ("&amp;[319]Main!$C$14&amp;")"</f>
        <v/>
      </c>
      <c r="M321" s="58" t="n">
        <v>46330</v>
      </c>
      <c r="N321" s="17" t="inlineStr">
        <is>
          <t>Earnings Nov 4 (est.) · Readout ~2027-09: Rare hematology, Phase 3</t>
        </is>
      </c>
    </row>
    <row r="322">
      <c r="B322" s="3" t="inlineStr">
        <is>
          <t>PRLD</t>
        </is>
      </c>
      <c r="C322" t="inlineStr">
        <is>
          <t>Prelude Therapeutics Incorporated</t>
        </is>
      </c>
      <c r="D322" t="inlineStr">
        <is>
          <t>Biotechnology</t>
        </is>
      </c>
      <c r="E322" s="6" t="inlineStr">
        <is>
          <t>NASDAQ</t>
        </is>
      </c>
      <c r="F322" s="1" t="n">
        <v>3.53</v>
      </c>
      <c r="G322" s="8">
        <f>F322*[320]Main!$C$4</f>
        <v/>
      </c>
      <c r="H322" s="10">
        <f>G322-[320]Main!$C$7+[320]Main!$C$8</f>
        <v/>
      </c>
      <c r="J322" s="1">
        <f>IF(ISNUMBER([320]Main!$C$11),[320]Main!$C$11,"")</f>
        <v/>
      </c>
      <c r="K322" s="57">
        <f>IFERROR(J322/F322-1,"")</f>
        <v/>
      </c>
      <c r="L322" s="12">
        <f>[320]Main!$C$15&amp;" ("&amp;[320]Main!$C$14&amp;")"</f>
        <v/>
      </c>
      <c r="M322" s="58" t="n">
        <v>46337</v>
      </c>
      <c r="N322" s="17" t="inlineStr">
        <is>
          <t>Earnings Nov 11 (est.) · Readout ~2028-04: Myelofibrosis / MDS / MPN, Phase 1</t>
        </is>
      </c>
    </row>
    <row r="323">
      <c r="B323" s="3" t="inlineStr">
        <is>
          <t>RCKT</t>
        </is>
      </c>
      <c r="C323" t="inlineStr">
        <is>
          <t>Rocket Pharmaceuticals, Inc.</t>
        </is>
      </c>
      <c r="D323" t="inlineStr">
        <is>
          <t>Biotechnology</t>
        </is>
      </c>
      <c r="E323" s="6" t="inlineStr">
        <is>
          <t>NASDAQ</t>
        </is>
      </c>
      <c r="F323" s="1" t="n">
        <v>2.34</v>
      </c>
      <c r="G323" s="8">
        <f>F323*[321]Main!$C$4</f>
        <v/>
      </c>
      <c r="H323" s="10">
        <f>G323-[321]Main!$C$7+[321]Main!$C$8</f>
        <v/>
      </c>
      <c r="J323" s="1">
        <f>IF(ISNUMBER([321]Main!$C$11),[321]Main!$C$11,"")</f>
        <v/>
      </c>
      <c r="K323" s="57">
        <f>IFERROR(J323/F323-1,"")</f>
        <v/>
      </c>
      <c r="L323" s="12">
        <f>[321]Main!$C$15&amp;" ("&amp;[321]Main!$C$14&amp;")"</f>
        <v/>
      </c>
      <c r="M323" s="58" t="n">
        <v>46331</v>
      </c>
      <c r="N323" s="17" t="inlineStr">
        <is>
          <t>Earnings Nov 5 (est.) · Readout ~2028-09: Cardiomyopathy, Phase 1</t>
        </is>
      </c>
    </row>
    <row r="324">
      <c r="B324" s="3" t="inlineStr">
        <is>
          <t>EYPT</t>
        </is>
      </c>
      <c r="C324" t="inlineStr">
        <is>
          <t>EyePoint Inc</t>
        </is>
      </c>
      <c r="D324" t="inlineStr">
        <is>
          <t>Pharmaceuticals</t>
        </is>
      </c>
      <c r="E324" s="6" t="inlineStr">
        <is>
          <t>NASDAQ</t>
        </is>
      </c>
      <c r="F324" s="1" t="n">
        <v>0.4052</v>
      </c>
      <c r="G324" s="8">
        <f>F324*[322]Main!$C$4</f>
        <v/>
      </c>
      <c r="H324" s="10">
        <f>G324-[322]Main!$C$7+[322]Main!$C$8</f>
        <v/>
      </c>
      <c r="J324" s="1">
        <f>IF(ISNUMBER([322]Main!$C$11),[322]Main!$C$11,"")</f>
        <v/>
      </c>
      <c r="K324" s="57">
        <f>IFERROR(J324/F324-1,"")</f>
        <v/>
      </c>
      <c r="L324" s="12">
        <f>[322]Main!$C$15&amp;" ("&amp;[322]Main!$C$14&amp;")"</f>
        <v/>
      </c>
      <c r="M324" s="58" t="n">
        <v>46330</v>
      </c>
      <c r="N324" s="17" t="inlineStr">
        <is>
          <t>Earnings Nov 4 (est.) · Readout ~2026-10: Retinal disease (AMD / DME), Phase 3</t>
        </is>
      </c>
    </row>
    <row r="325">
      <c r="B325" s="3" t="inlineStr">
        <is>
          <t>ABEO</t>
        </is>
      </c>
      <c r="C325" t="inlineStr">
        <is>
          <t>Abeona Therapeutics Inc</t>
        </is>
      </c>
      <c r="D325" t="inlineStr">
        <is>
          <t>Biotechnology</t>
        </is>
      </c>
      <c r="E325" s="6" t="inlineStr">
        <is>
          <t>NASDAQ</t>
        </is>
      </c>
      <c r="F325" s="1" t="n">
        <v>4.6</v>
      </c>
      <c r="G325" s="8">
        <f>F325*[323]Main!$C$4</f>
        <v/>
      </c>
      <c r="H325" s="10">
        <f>G325-[323]Main!$C$7+[323]Main!$C$8</f>
        <v/>
      </c>
      <c r="J325" s="1">
        <f>IF(ISNUMBER([323]Main!$C$11),[323]Main!$C$11,"")</f>
        <v/>
      </c>
      <c r="K325" s="57">
        <f>IFERROR(J325/F325-1,"")</f>
        <v/>
      </c>
      <c r="L325" s="12">
        <f>[323]Main!$C$15&amp;" ("&amp;[323]Main!$C$14&amp;")"</f>
        <v/>
      </c>
      <c r="M325" s="58" t="n">
        <v>46337</v>
      </c>
      <c r="N325" s="17" t="inlineStr">
        <is>
          <t>Earnings Nov 11 (est.) · Readout ~2029-03: Rare metabolic / lysosomal, Phase 2/3</t>
        </is>
      </c>
    </row>
    <row r="326">
      <c r="B326" s="3" t="inlineStr">
        <is>
          <t>LCTX</t>
        </is>
      </c>
      <c r="C326" t="inlineStr">
        <is>
          <t>Lineage Cell Therapeutics Inc</t>
        </is>
      </c>
      <c r="D326" t="inlineStr">
        <is>
          <t>Biotechnology</t>
        </is>
      </c>
      <c r="E326" s="6" t="inlineStr">
        <is>
          <t>NYSE</t>
        </is>
      </c>
      <c r="F326" s="1" t="n">
        <v>0.9726</v>
      </c>
      <c r="G326" s="8">
        <f>F326*[324]Main!$C$4</f>
        <v/>
      </c>
      <c r="H326" s="10">
        <f>G326-[324]Main!$C$7+[324]Main!$C$8</f>
        <v/>
      </c>
      <c r="J326" s="1">
        <f>IF(ISNUMBER([324]Main!$C$11),[324]Main!$C$11,"")</f>
        <v/>
      </c>
      <c r="K326" s="57">
        <f>IFERROR(J326/F326-1,"")</f>
        <v/>
      </c>
      <c r="L326" s="12">
        <f>[324]Main!$C$15&amp;" ("&amp;[324]Main!$C$14&amp;")"</f>
        <v/>
      </c>
      <c r="M326" s="58" t="n">
        <v>46331</v>
      </c>
      <c r="N326" s="17" t="inlineStr">
        <is>
          <t>Earnings Nov 5 (est.)</t>
        </is>
      </c>
    </row>
    <row r="327">
      <c r="B327" s="3" t="inlineStr">
        <is>
          <t>IPSC</t>
        </is>
      </c>
      <c r="C327" t="inlineStr">
        <is>
          <t>Century Therapeutics, Inc.</t>
        </is>
      </c>
      <c r="D327" t="inlineStr">
        <is>
          <t>Biotechnology</t>
        </is>
      </c>
      <c r="E327" s="6" t="inlineStr">
        <is>
          <t>NASDAQ</t>
        </is>
      </c>
      <c r="F327" s="1" t="n">
        <v>1.64</v>
      </c>
      <c r="G327" s="8">
        <f>F327*[325]Main!$C$4</f>
        <v/>
      </c>
      <c r="H327" s="10">
        <f>G327-[325]Main!$C$7+[325]Main!$C$8</f>
        <v/>
      </c>
      <c r="J327" s="1">
        <f>IF(ISNUMBER([325]Main!$C$11),[325]Main!$C$11,"")</f>
        <v/>
      </c>
      <c r="K327" s="57">
        <f>IFERROR(J327/F327-1,"")</f>
        <v/>
      </c>
      <c r="L327" s="12">
        <f>[325]Main!$C$15&amp;" ("&amp;[325]Main!$C$14&amp;")"</f>
        <v/>
      </c>
      <c r="M327" s="58" t="n">
        <v>46338</v>
      </c>
      <c r="N327" s="17" t="inlineStr">
        <is>
          <t>Earnings Nov 12 (est.)</t>
        </is>
      </c>
    </row>
    <row r="328">
      <c r="B328" s="3" t="inlineStr">
        <is>
          <t>VNDA</t>
        </is>
      </c>
      <c r="C328" t="inlineStr">
        <is>
          <t>Vanda Pharmaceuticals Inc</t>
        </is>
      </c>
      <c r="D328" t="inlineStr">
        <is>
          <t>Biotechnology</t>
        </is>
      </c>
      <c r="E328" s="6" t="inlineStr">
        <is>
          <t>NASDAQ</t>
        </is>
      </c>
      <c r="F328" s="1" t="n">
        <v>4.17</v>
      </c>
      <c r="G328" s="8">
        <f>F328*[326]Main!$C$4</f>
        <v/>
      </c>
      <c r="H328" s="10">
        <f>G328-[326]Main!$C$7+[326]Main!$C$8</f>
        <v/>
      </c>
      <c r="J328" s="1">
        <f>[326]Main!$C$11</f>
        <v/>
      </c>
      <c r="K328" s="57">
        <f>IFERROR(J328/F328-1,"")</f>
        <v/>
      </c>
      <c r="L328" s="12">
        <f>"rNPV ("&amp;[326]Main!$C$14&amp;")"</f>
        <v/>
      </c>
      <c r="M328" s="58" t="n">
        <v>46368</v>
      </c>
      <c r="N328" s="59" t="inlineStr">
        <is>
          <t>PDUFA Dec 12: Quimilza · Earnings Nov 4 (est.)</t>
        </is>
      </c>
    </row>
    <row r="329">
      <c r="B329" s="3" t="inlineStr">
        <is>
          <t>ACIU</t>
        </is>
      </c>
      <c r="C329" t="inlineStr">
        <is>
          <t>AC Immune AG</t>
        </is>
      </c>
      <c r="D329" t="inlineStr">
        <is>
          <t>Biotechnology</t>
        </is>
      </c>
      <c r="E329" s="6" t="inlineStr">
        <is>
          <t>NASDAQ</t>
        </is>
      </c>
      <c r="F329" s="1" t="n">
        <v>2.49</v>
      </c>
      <c r="G329" s="8">
        <f>F329*[327]Main!$C$4</f>
        <v/>
      </c>
      <c r="H329" s="10">
        <f>G329-[327]Main!$C$7+[327]Main!$C$8</f>
        <v/>
      </c>
      <c r="J329" s="1">
        <f>IF(ISNUMBER([327]Main!$C$11),[327]Main!$C$11,"")</f>
        <v/>
      </c>
      <c r="K329" s="57">
        <f>IFERROR(J329/F329-1,"")</f>
        <v/>
      </c>
      <c r="L329" s="12">
        <f>[327]Main!$C$15&amp;" ("&amp;[327]Main!$C$14&amp;")"</f>
        <v/>
      </c>
      <c r="M329" s="58" t="n">
        <v>46329</v>
      </c>
      <c r="N329" s="17" t="inlineStr">
        <is>
          <t>Earnings Nov 3 (est.) · Readout ~2026-11: Alzheimer's disease, Phase 1/2</t>
        </is>
      </c>
    </row>
    <row r="330">
      <c r="B330" s="3" t="inlineStr">
        <is>
          <t>BCYC</t>
        </is>
      </c>
      <c r="C330" t="inlineStr">
        <is>
          <t>Bicycle Therapeutics PLC</t>
        </is>
      </c>
      <c r="D330" t="inlineStr">
        <is>
          <t>Biotechnology</t>
        </is>
      </c>
      <c r="E330" s="6" t="inlineStr">
        <is>
          <t>NASDAQ</t>
        </is>
      </c>
      <c r="F330" s="1" t="n">
        <v>3.6</v>
      </c>
      <c r="G330" s="8">
        <f>F330*[328]Main!$C$4</f>
        <v/>
      </c>
      <c r="H330" s="10">
        <f>G330-[328]Main!$C$7+[328]Main!$C$8</f>
        <v/>
      </c>
      <c r="J330" s="1">
        <f>IF(ISNUMBER([328]Main!$C$11),[328]Main!$C$11,"")</f>
        <v/>
      </c>
      <c r="K330" s="57">
        <f>IFERROR(J330/F330-1,"")</f>
        <v/>
      </c>
      <c r="L330" s="12">
        <f>[328]Main!$C$15&amp;" ("&amp;[328]Main!$C$14&amp;")"</f>
        <v/>
      </c>
      <c r="M330" s="58" t="n">
        <v>46324</v>
      </c>
      <c r="N330" s="17" t="inlineStr">
        <is>
          <t>Earnings Oct 29 (est.)</t>
        </is>
      </c>
    </row>
    <row r="331">
      <c r="B331" s="3" t="inlineStr">
        <is>
          <t>CABA</t>
        </is>
      </c>
      <c r="C331" t="inlineStr">
        <is>
          <t>Cabaletta Bio, Inc.</t>
        </is>
      </c>
      <c r="D331" t="inlineStr">
        <is>
          <t>Biotechnology</t>
        </is>
      </c>
      <c r="E331" s="6" t="inlineStr">
        <is>
          <t>NASDAQ</t>
        </is>
      </c>
      <c r="F331" s="1" t="n">
        <v>1.61</v>
      </c>
      <c r="G331" s="8">
        <f>F331*[329]Main!$C$4</f>
        <v/>
      </c>
      <c r="H331" s="10">
        <f>G331-[329]Main!$C$7+[329]Main!$C$8</f>
        <v/>
      </c>
      <c r="J331" s="1">
        <f>IF(ISNUMBER([329]Main!$C$11),[329]Main!$C$11,"")</f>
        <v/>
      </c>
      <c r="K331" s="57">
        <f>IFERROR(J331/F331-1,"")</f>
        <v/>
      </c>
      <c r="L331" s="12">
        <f>[329]Main!$C$15&amp;" ("&amp;[329]Main!$C$14&amp;")"</f>
        <v/>
      </c>
      <c r="M331" s="58" t="n">
        <v>46335</v>
      </c>
      <c r="N331" s="17" t="inlineStr">
        <is>
          <t>Earnings Nov 9 (est.) · Readout ~2028-07: Rare autoimmune, Phase 2/3</t>
        </is>
      </c>
    </row>
    <row r="332">
      <c r="B332" s="3" t="inlineStr">
        <is>
          <t>VOGX</t>
        </is>
      </c>
      <c r="C332" t="inlineStr">
        <is>
          <t>Vogenx, Inc.</t>
        </is>
      </c>
      <c r="D332" t="inlineStr">
        <is>
          <t>Pharmaceuticals</t>
        </is>
      </c>
      <c r="E332" s="6" t="inlineStr">
        <is>
          <t>NASDAQ</t>
        </is>
      </c>
      <c r="F332" s="1" t="n">
        <v>18.75</v>
      </c>
      <c r="G332" s="8">
        <f>F332*[330]Main!$C$4</f>
        <v/>
      </c>
      <c r="H332" s="10">
        <f>G332-[330]Main!$C$7+[330]Main!$C$8</f>
        <v/>
      </c>
      <c r="J332" s="1">
        <f>IF(ISNUMBER([330]Main!$C$11),[330]Main!$C$11,"")</f>
        <v/>
      </c>
      <c r="K332" s="57">
        <f>IFERROR(J332/F332-1,"")</f>
        <v/>
      </c>
      <c r="L332" s="12">
        <f>[330]Main!$C$15&amp;" ("&amp;[330]Main!$C$14&amp;")"</f>
        <v/>
      </c>
      <c r="M332" s="58" t="n"/>
      <c r="N332" s="17" t="n"/>
    </row>
    <row r="333">
      <c r="B333" s="3" t="inlineStr">
        <is>
          <t>AMRN</t>
        </is>
      </c>
      <c r="C333" t="inlineStr">
        <is>
          <t>Amarin Corporation PLC</t>
        </is>
      </c>
      <c r="D333" t="inlineStr">
        <is>
          <t>Biotechnology</t>
        </is>
      </c>
      <c r="E333" s="6" t="inlineStr">
        <is>
          <t>NASDAQ</t>
        </is>
      </c>
      <c r="F333" s="1" t="n">
        <v>11.48</v>
      </c>
      <c r="G333" s="8">
        <f>F333*[331]Main!$C$4</f>
        <v/>
      </c>
      <c r="H333" s="10">
        <f>G333-[331]Main!$C$7+[331]Main!$C$8</f>
        <v/>
      </c>
      <c r="J333" s="1">
        <f>IF(ISNUMBER([331]Main!$C$11),[331]Main!$C$11,"")</f>
        <v/>
      </c>
      <c r="K333" s="57">
        <f>IFERROR(J333/F333-1,"")</f>
        <v/>
      </c>
      <c r="L333" s="12">
        <f>[331]Main!$C$15&amp;" ("&amp;[331]Main!$C$14&amp;")"</f>
        <v/>
      </c>
      <c r="M333" s="58" t="n">
        <v>46330</v>
      </c>
      <c r="N333" s="17" t="inlineStr">
        <is>
          <t>Earnings Nov 4 (est.)</t>
        </is>
      </c>
    </row>
    <row r="334">
      <c r="B334" s="3" t="inlineStr">
        <is>
          <t>IMRX</t>
        </is>
      </c>
      <c r="C334" t="inlineStr">
        <is>
          <t>Immuneering Corporation</t>
        </is>
      </c>
      <c r="D334" t="inlineStr">
        <is>
          <t>Biotechnology</t>
        </is>
      </c>
      <c r="E334" s="6" t="inlineStr">
        <is>
          <t>NASDAQ</t>
        </is>
      </c>
      <c r="F334" s="1" t="n">
        <v>3.73</v>
      </c>
      <c r="G334" s="8">
        <f>F334*[332]Main!$C$4</f>
        <v/>
      </c>
      <c r="H334" s="10">
        <f>G334-[332]Main!$C$7+[332]Main!$C$8</f>
        <v/>
      </c>
      <c r="J334" s="1">
        <f>IF(ISNUMBER([332]Main!$C$11),[332]Main!$C$11,"")</f>
        <v/>
      </c>
      <c r="K334" s="57">
        <f>IFERROR(J334/F334-1,"")</f>
        <v/>
      </c>
      <c r="L334" s="12">
        <f>[332]Main!$C$15&amp;" ("&amp;[332]Main!$C$14&amp;")"</f>
        <v/>
      </c>
      <c r="M334" s="58" t="n">
        <v>46337</v>
      </c>
      <c r="N334" s="17" t="inlineStr">
        <is>
          <t>Earnings Nov 11 (est.) · Readout ~2027-06: Solid tumors (basket), Phase 1/2</t>
        </is>
      </c>
    </row>
    <row r="335">
      <c r="B335" s="3" t="inlineStr">
        <is>
          <t>IKT</t>
        </is>
      </c>
      <c r="C335" t="inlineStr">
        <is>
          <t>Inhibikase Therapeutics, Inc.</t>
        </is>
      </c>
      <c r="D335" t="inlineStr">
        <is>
          <t>Biotechnology</t>
        </is>
      </c>
      <c r="E335" s="6" t="inlineStr">
        <is>
          <t>NASDAQ</t>
        </is>
      </c>
      <c r="F335" s="1" t="n">
        <v>1.71</v>
      </c>
      <c r="G335" s="8">
        <f>F335*[333]Main!$C$4</f>
        <v/>
      </c>
      <c r="H335" s="10">
        <f>G335-[333]Main!$C$7+[333]Main!$C$8</f>
        <v/>
      </c>
      <c r="J335" s="1">
        <f>IF(ISNUMBER([333]Main!$C$11),[333]Main!$C$11,"")</f>
        <v/>
      </c>
      <c r="K335" s="57">
        <f>IFERROR(J335/F335-1,"")</f>
        <v/>
      </c>
      <c r="L335" s="12">
        <f>[333]Main!$C$15&amp;" ("&amp;[333]Main!$C$14&amp;")"</f>
        <v/>
      </c>
      <c r="M335" s="58" t="n">
        <v>46339</v>
      </c>
      <c r="N335" s="17" t="inlineStr">
        <is>
          <t>Earnings Nov 13 (est.) · Readout ~2029-06: Pulmonary hypertension, Phase 3</t>
        </is>
      </c>
    </row>
    <row r="336">
      <c r="B336" s="3" t="inlineStr">
        <is>
          <t>SABS</t>
        </is>
      </c>
      <c r="C336" t="inlineStr">
        <is>
          <t>SAB Biotherapeutics, Inc.</t>
        </is>
      </c>
      <c r="D336" t="inlineStr">
        <is>
          <t>Biotechnology</t>
        </is>
      </c>
      <c r="E336" s="6" t="inlineStr">
        <is>
          <t>NASDAQ</t>
        </is>
      </c>
      <c r="F336" s="1" t="n">
        <v>2.88</v>
      </c>
      <c r="G336" s="8">
        <f>F336*[334]Main!$C$4</f>
        <v/>
      </c>
      <c r="H336" s="10">
        <f>G336-[334]Main!$C$7+[334]Main!$C$8</f>
        <v/>
      </c>
      <c r="J336" s="1">
        <f>IF(ISNUMBER([334]Main!$C$11),[334]Main!$C$11,"")</f>
        <v/>
      </c>
      <c r="K336" s="57">
        <f>IFERROR(J336/F336-1,"")</f>
        <v/>
      </c>
      <c r="L336" s="12">
        <f>[334]Main!$C$15&amp;" ("&amp;[334]Main!$C$14&amp;")"</f>
        <v/>
      </c>
      <c r="M336" s="58" t="n">
        <v>46339</v>
      </c>
      <c r="N336" s="17" t="inlineStr">
        <is>
          <t>Earnings Nov 13 (est.) · Readout ~2027-11: Type 2 diabetes, Phase 2</t>
        </is>
      </c>
    </row>
    <row r="337">
      <c r="B337" s="3" t="inlineStr">
        <is>
          <t>HELP</t>
        </is>
      </c>
      <c r="C337" t="inlineStr">
        <is>
          <t>Helus Pharma Inc.</t>
        </is>
      </c>
      <c r="D337" t="inlineStr">
        <is>
          <t>Pharmaceuticals</t>
        </is>
      </c>
      <c r="E337" s="6" t="inlineStr">
        <is>
          <t>NASDAQ</t>
        </is>
      </c>
      <c r="F337" s="1" t="n">
        <v>10.94</v>
      </c>
      <c r="G337" s="8">
        <f>F337*[335]Main!$C$4</f>
        <v/>
      </c>
      <c r="H337" s="10">
        <f>G337-[335]Main!$C$7+[335]Main!$C$8</f>
        <v/>
      </c>
      <c r="J337" s="1">
        <f>IF(ISNUMBER([335]Main!$C$11),[335]Main!$C$11,"")</f>
        <v/>
      </c>
      <c r="K337" s="57">
        <f>IFERROR(J337/F337-1,"")</f>
        <v/>
      </c>
      <c r="L337" s="12">
        <f>[335]Main!$C$15&amp;" ("&amp;[335]Main!$C$14&amp;")"</f>
        <v/>
      </c>
      <c r="M337" s="58" t="n">
        <v>46338</v>
      </c>
      <c r="N337" s="17" t="inlineStr">
        <is>
          <t>Earnings Nov 12 (est.)</t>
        </is>
      </c>
    </row>
    <row r="338">
      <c r="B338" s="3" t="inlineStr">
        <is>
          <t>SIGA</t>
        </is>
      </c>
      <c r="C338" t="inlineStr">
        <is>
          <t>SIGA Technologies Inc</t>
        </is>
      </c>
      <c r="D338" t="inlineStr">
        <is>
          <t>Pharmaceuticals</t>
        </is>
      </c>
      <c r="E338" s="6" t="inlineStr">
        <is>
          <t>NASDAQ</t>
        </is>
      </c>
      <c r="F338" s="1" t="n">
        <v>3.15</v>
      </c>
      <c r="G338" s="8">
        <f>F338*[336]Main!$C$4</f>
        <v/>
      </c>
      <c r="H338" s="10">
        <f>G338-[336]Main!$C$7+[336]Main!$C$8</f>
        <v/>
      </c>
      <c r="J338" s="1">
        <f>IF(ISNUMBER([336]Main!$C$11),[336]Main!$C$11,"")</f>
        <v/>
      </c>
      <c r="K338" s="57">
        <f>IFERROR(J338/F338-1,"")</f>
        <v/>
      </c>
      <c r="L338" s="12">
        <f>[336]Main!$C$15&amp;" ("&amp;[336]Main!$C$14&amp;")"</f>
        <v/>
      </c>
      <c r="M338" s="58" t="n">
        <v>46331</v>
      </c>
      <c r="N338" s="17" t="inlineStr">
        <is>
          <t>Earnings Nov 5 (est.)</t>
        </is>
      </c>
    </row>
    <row r="339">
      <c r="B339" s="3" t="inlineStr">
        <is>
          <t>LXEO</t>
        </is>
      </c>
      <c r="C339" t="inlineStr">
        <is>
          <t>Lexeo Therapeutics, Inc.</t>
        </is>
      </c>
      <c r="D339" t="inlineStr">
        <is>
          <t>Biotechnology</t>
        </is>
      </c>
      <c r="E339" s="6" t="inlineStr">
        <is>
          <t>NASDAQ</t>
        </is>
      </c>
      <c r="F339" s="1" t="n">
        <v>3.02</v>
      </c>
      <c r="G339" s="8">
        <f>F339*[337]Main!$C$4</f>
        <v/>
      </c>
      <c r="H339" s="10">
        <f>G339-[337]Main!$C$7+[337]Main!$C$8</f>
        <v/>
      </c>
      <c r="J339" s="1">
        <f>IF(ISNUMBER([337]Main!$C$11),[337]Main!$C$11,"")</f>
        <v/>
      </c>
      <c r="K339" s="57">
        <f>IFERROR(J339/F339-1,"")</f>
        <v/>
      </c>
      <c r="L339" s="12">
        <f>[337]Main!$C$15&amp;" ("&amp;[337]Main!$C$14&amp;")"</f>
        <v/>
      </c>
      <c r="M339" s="58" t="n">
        <v>46330</v>
      </c>
      <c r="N339" s="17" t="inlineStr">
        <is>
          <t>Earnings Nov 4 (est.) · Readout ~2026-12: Cardiomyopathy, Phase 1/2</t>
        </is>
      </c>
    </row>
    <row r="340">
      <c r="B340" s="3" t="inlineStr">
        <is>
          <t>BBOT</t>
        </is>
      </c>
      <c r="C340" t="inlineStr">
        <is>
          <t>BridgeBio Oncology Therapeutics Inc</t>
        </is>
      </c>
      <c r="D340" t="inlineStr">
        <is>
          <t>Biotechnology</t>
        </is>
      </c>
      <c r="E340" s="6" t="inlineStr">
        <is>
          <t>NASDAQ</t>
        </is>
      </c>
      <c r="F340" s="1" t="n">
        <v>2.72</v>
      </c>
      <c r="G340" s="8">
        <f>F340*[338]Main!$C$4</f>
        <v/>
      </c>
      <c r="H340" s="10">
        <f>G340-[338]Main!$C$7+[338]Main!$C$8</f>
        <v/>
      </c>
      <c r="J340" s="1">
        <f>IF(ISNUMBER([338]Main!$C$11),[338]Main!$C$11,"")</f>
        <v/>
      </c>
      <c r="K340" s="57">
        <f>IFERROR(J340/F340-1,"")</f>
        <v/>
      </c>
      <c r="L340" s="12">
        <f>[338]Main!$C$15&amp;" ("&amp;[338]Main!$C$14&amp;")"</f>
        <v/>
      </c>
      <c r="M340" s="58" t="n">
        <v>46337</v>
      </c>
      <c r="N340" s="17" t="inlineStr">
        <is>
          <t>Earnings Nov 11 (est.) · Readout ~2027-08: Lung cancer, Phase 1</t>
        </is>
      </c>
    </row>
    <row r="341">
      <c r="B341" s="3" t="inlineStr">
        <is>
          <t>ACB</t>
        </is>
      </c>
      <c r="C341" t="inlineStr">
        <is>
          <t>Aurora Cannabis Inc.</t>
        </is>
      </c>
      <c r="D341" t="inlineStr">
        <is>
          <t>Pharmaceuticals</t>
        </is>
      </c>
      <c r="E341" s="6" t="inlineStr">
        <is>
          <t>NASDAQ</t>
        </is>
      </c>
      <c r="F341" s="1" t="n">
        <v>3.97</v>
      </c>
      <c r="G341" s="8">
        <f>F341*[339]Main!$C$4</f>
        <v/>
      </c>
      <c r="H341" s="10">
        <f>G341-[339]Main!$C$7+[339]Main!$C$8</f>
        <v/>
      </c>
      <c r="J341" s="1">
        <f>IF(ISNUMBER([339]Main!$C$11),[339]Main!$C$11,"")</f>
        <v/>
      </c>
      <c r="K341" s="57">
        <f>IFERROR(J341/F341-1,"")</f>
        <v/>
      </c>
      <c r="L341" s="12">
        <f>[339]Main!$C$15&amp;" ("&amp;[339]Main!$C$14&amp;")"</f>
        <v/>
      </c>
      <c r="M341" s="58" t="n">
        <v>46330</v>
      </c>
      <c r="N341" s="17" t="inlineStr">
        <is>
          <t>Earnings Nov 4 (est.)</t>
        </is>
      </c>
    </row>
    <row r="342">
      <c r="B342" s="3" t="inlineStr">
        <is>
          <t>HITI</t>
        </is>
      </c>
      <c r="C342" t="inlineStr">
        <is>
          <t>High Tide Inc</t>
        </is>
      </c>
      <c r="D342" t="inlineStr">
        <is>
          <t>Pharmaceuticals</t>
        </is>
      </c>
      <c r="E342" s="6" t="inlineStr">
        <is>
          <t>NASDAQ</t>
        </is>
      </c>
      <c r="F342" s="1" t="n">
        <v>2.65</v>
      </c>
      <c r="G342" s="8">
        <f>F342*[340]Main!$C$4</f>
        <v/>
      </c>
      <c r="H342" s="10">
        <f>G342-[340]Main!$C$7+[340]Main!$C$8</f>
        <v/>
      </c>
      <c r="J342" s="1">
        <f>IF(ISNUMBER([340]Main!$C$11),[340]Main!$C$11,"")</f>
        <v/>
      </c>
      <c r="K342" s="57">
        <f>IFERROR(J342/F342-1,"")</f>
        <v/>
      </c>
      <c r="L342" s="12">
        <f>[340]Main!$C$15&amp;" ("&amp;[340]Main!$C$14&amp;")"</f>
        <v/>
      </c>
      <c r="M342" s="58" t="n"/>
      <c r="N342" s="17" t="n"/>
    </row>
    <row r="343">
      <c r="B343" s="3" t="inlineStr">
        <is>
          <t>QTTB</t>
        </is>
      </c>
      <c r="C343" t="inlineStr">
        <is>
          <t>Q32 Bio Inc.</t>
        </is>
      </c>
      <c r="D343" t="inlineStr">
        <is>
          <t>Biotechnology</t>
        </is>
      </c>
      <c r="E343" s="6" t="inlineStr">
        <is>
          <t>NASDAQ</t>
        </is>
      </c>
      <c r="F343" s="1" t="n">
        <v>8.619999999999999</v>
      </c>
      <c r="G343" s="8">
        <f>F343*[341]Main!$C$4</f>
        <v/>
      </c>
      <c r="H343" s="10">
        <f>G343-[341]Main!$C$7+[341]Main!$C$8</f>
        <v/>
      </c>
      <c r="J343" s="1">
        <f>IF(ISNUMBER([341]Main!$C$11),[341]Main!$C$11,"")</f>
        <v/>
      </c>
      <c r="K343" s="57">
        <f>IFERROR(J343/F343-1,"")</f>
        <v/>
      </c>
      <c r="L343" s="12">
        <f>[341]Main!$C$15&amp;" ("&amp;[341]Main!$C$14&amp;")"</f>
        <v/>
      </c>
      <c r="M343" s="58" t="n">
        <v>46338</v>
      </c>
      <c r="N343" s="17" t="inlineStr">
        <is>
          <t>Earnings Nov 12 (est.)</t>
        </is>
      </c>
    </row>
    <row r="344">
      <c r="B344" s="3" t="inlineStr">
        <is>
          <t>TLSI</t>
        </is>
      </c>
      <c r="C344" t="inlineStr">
        <is>
          <t>TriSalus Life Sciences Inc</t>
        </is>
      </c>
      <c r="D344" t="inlineStr">
        <is>
          <t>Biotechnology</t>
        </is>
      </c>
      <c r="E344" s="6" t="inlineStr">
        <is>
          <t>NASDAQ</t>
        </is>
      </c>
      <c r="F344" s="1" t="n">
        <v>3.66</v>
      </c>
      <c r="G344" s="8">
        <f>F344*[342]Main!$C$4</f>
        <v/>
      </c>
      <c r="H344" s="10">
        <f>G344-[342]Main!$C$7+[342]Main!$C$8</f>
        <v/>
      </c>
      <c r="J344" s="1">
        <f>IF(ISNUMBER([342]Main!$C$11),[342]Main!$C$11,"")</f>
        <v/>
      </c>
      <c r="K344" s="57">
        <f>IFERROR(J344/F344-1,"")</f>
        <v/>
      </c>
      <c r="L344" s="12">
        <f>[342]Main!$C$15&amp;" ("&amp;[342]Main!$C$14&amp;")"</f>
        <v/>
      </c>
      <c r="M344" s="58" t="n">
        <v>46338</v>
      </c>
      <c r="N344" s="17" t="inlineStr">
        <is>
          <t>Earnings Nov 12 (est.) · Readout ~2027-09: Pancreatic cancer, Phase 1</t>
        </is>
      </c>
    </row>
    <row r="345">
      <c r="B345" s="3" t="inlineStr">
        <is>
          <t>BIOA</t>
        </is>
      </c>
      <c r="C345" t="inlineStr">
        <is>
          <t>BioAge Labs, Inc.</t>
        </is>
      </c>
      <c r="D345" t="inlineStr">
        <is>
          <t>Pharmaceuticals</t>
        </is>
      </c>
      <c r="E345" s="6" t="inlineStr">
        <is>
          <t>NASDAQ</t>
        </is>
      </c>
      <c r="F345" s="1" t="n">
        <v>5.28</v>
      </c>
      <c r="G345" s="8">
        <f>F345*[343]Main!$C$4</f>
        <v/>
      </c>
      <c r="H345" s="10">
        <f>G345-[343]Main!$C$7+[343]Main!$C$8</f>
        <v/>
      </c>
      <c r="J345" s="1">
        <f>IF(ISNUMBER([343]Main!$C$11),[343]Main!$C$11,"")</f>
        <v/>
      </c>
      <c r="K345" s="57">
        <f>IFERROR(J345/F345-1,"")</f>
        <v/>
      </c>
      <c r="L345" s="12">
        <f>[343]Main!$C$15&amp;" ("&amp;[343]Main!$C$14&amp;")"</f>
        <v/>
      </c>
      <c r="M345" s="58" t="n">
        <v>46331</v>
      </c>
      <c r="N345" s="17" t="inlineStr">
        <is>
          <t>Earnings Nov 5 (est.) · Readout ~2026-11-30: Obesity, Phase 2</t>
        </is>
      </c>
    </row>
    <row r="346">
      <c r="B346" s="3" t="inlineStr">
        <is>
          <t>KROS</t>
        </is>
      </c>
      <c r="C346" t="inlineStr">
        <is>
          <t>Keros Therapeutics, Inc.</t>
        </is>
      </c>
      <c r="D346" t="inlineStr">
        <is>
          <t>Biotechnology</t>
        </is>
      </c>
      <c r="E346" s="6" t="inlineStr">
        <is>
          <t>NASDAQ</t>
        </is>
      </c>
      <c r="F346" s="1" t="n">
        <v>11.4</v>
      </c>
      <c r="G346" s="8">
        <f>F346*[344]Main!$C$4</f>
        <v/>
      </c>
      <c r="H346" s="10">
        <f>G346-[344]Main!$C$7+[344]Main!$C$8</f>
        <v/>
      </c>
      <c r="J346" s="1">
        <f>IF(ISNUMBER([344]Main!$C$11),[344]Main!$C$11,"")</f>
        <v/>
      </c>
      <c r="K346" s="57">
        <f>IFERROR(J346/F346-1,"")</f>
        <v/>
      </c>
      <c r="L346" s="12">
        <f>[344]Main!$C$15&amp;" ("&amp;[344]Main!$C$14&amp;")"</f>
        <v/>
      </c>
      <c r="M346" s="58" t="n">
        <v>46330</v>
      </c>
      <c r="N346" s="17" t="inlineStr">
        <is>
          <t>Earnings Nov 4 (est.) · Readout ~2028-08-26: Muscular dystrophy / SMA, Phase 2</t>
        </is>
      </c>
    </row>
    <row r="347">
      <c r="B347" s="3" t="inlineStr">
        <is>
          <t>FATE</t>
        </is>
      </c>
      <c r="C347" t="inlineStr">
        <is>
          <t>Fate Therapeutics Inc</t>
        </is>
      </c>
      <c r="D347" t="inlineStr">
        <is>
          <t>Biotechnology</t>
        </is>
      </c>
      <c r="E347" s="6" t="inlineStr">
        <is>
          <t>NASDAQ</t>
        </is>
      </c>
      <c r="F347" s="1" t="n">
        <v>2.06</v>
      </c>
      <c r="G347" s="8">
        <f>F347*[345]Main!$C$4</f>
        <v/>
      </c>
      <c r="H347" s="10">
        <f>G347-[345]Main!$C$7+[345]Main!$C$8</f>
        <v/>
      </c>
      <c r="J347" s="1">
        <f>IF(ISNUMBER([345]Main!$C$11),[345]Main!$C$11,"")</f>
        <v/>
      </c>
      <c r="K347" s="57">
        <f>IFERROR(J347/F347-1,"")</f>
        <v/>
      </c>
      <c r="L347" s="12">
        <f>[345]Main!$C$15&amp;" ("&amp;[345]Main!$C$14&amp;")"</f>
        <v/>
      </c>
      <c r="M347" s="58" t="n">
        <v>46338</v>
      </c>
      <c r="N347" s="17" t="inlineStr">
        <is>
          <t>Earnings Nov 12 (est.) · Readout ~2027-09-30: Rare autoimmune, Phase 1/2</t>
        </is>
      </c>
    </row>
    <row r="348">
      <c r="B348" s="3" t="inlineStr">
        <is>
          <t>GLSI</t>
        </is>
      </c>
      <c r="C348" t="inlineStr">
        <is>
          <t>Greenwich Lifesciences Inc</t>
        </is>
      </c>
      <c r="D348" t="inlineStr">
        <is>
          <t>Biotechnology</t>
        </is>
      </c>
      <c r="E348" s="6" t="inlineStr">
        <is>
          <t>NASDAQ</t>
        </is>
      </c>
      <c r="F348" s="1" t="n">
        <v>16.24</v>
      </c>
      <c r="G348" s="8">
        <f>F348*[346]Main!$C$4</f>
        <v/>
      </c>
      <c r="H348" s="10">
        <f>G348-[346]Main!$C$7+[346]Main!$C$8</f>
        <v/>
      </c>
      <c r="J348" s="1">
        <f>IF(ISNUMBER([346]Main!$C$11),[346]Main!$C$11,"")</f>
        <v/>
      </c>
      <c r="K348" s="57">
        <f>IFERROR(J348/F348-1,"")</f>
        <v/>
      </c>
      <c r="L348" s="12">
        <f>[346]Main!$C$15&amp;" ("&amp;[346]Main!$C$14&amp;")"</f>
        <v/>
      </c>
      <c r="M348" s="58" t="n">
        <v>46339</v>
      </c>
      <c r="N348" s="17" t="inlineStr">
        <is>
          <t>Earnings Nov 13 (est.) · Readout ~2031-12: Breast cancer, Phase 3</t>
        </is>
      </c>
    </row>
    <row r="349">
      <c r="B349" s="3" t="inlineStr">
        <is>
          <t>PLX</t>
        </is>
      </c>
      <c r="C349" t="inlineStr">
        <is>
          <t>Protalix BioTherapeutics, Inc.</t>
        </is>
      </c>
      <c r="D349" t="inlineStr">
        <is>
          <t>Biotechnology</t>
        </is>
      </c>
      <c r="E349" s="6" t="inlineStr">
        <is>
          <t>NYSE</t>
        </is>
      </c>
      <c r="F349" s="1" t="n">
        <v>2.635</v>
      </c>
      <c r="G349" s="8">
        <f>F349*[347]Main!$C$4</f>
        <v/>
      </c>
      <c r="H349" s="10">
        <f>G349-[347]Main!$C$7+[347]Main!$C$8</f>
        <v/>
      </c>
      <c r="J349" s="1">
        <f>IF(ISNUMBER([347]Main!$C$11),[347]Main!$C$11,"")</f>
        <v/>
      </c>
      <c r="K349" s="57">
        <f>IFERROR(J349/F349-1,"")</f>
        <v/>
      </c>
      <c r="L349" s="12">
        <f>[347]Main!$C$15&amp;" ("&amp;[347]Main!$C$14&amp;")"</f>
        <v/>
      </c>
      <c r="M349" s="58" t="n">
        <v>46338</v>
      </c>
      <c r="N349" s="17" t="inlineStr">
        <is>
          <t>Earnings Nov 12 (est.)</t>
        </is>
      </c>
    </row>
    <row r="350">
      <c r="B350" s="3" t="inlineStr">
        <is>
          <t>MGNX</t>
        </is>
      </c>
      <c r="C350" t="inlineStr">
        <is>
          <t>MacroGenics Inc</t>
        </is>
      </c>
      <c r="D350" t="inlineStr">
        <is>
          <t>Biotechnology</t>
        </is>
      </c>
      <c r="E350" s="6" t="inlineStr">
        <is>
          <t>NASDAQ</t>
        </is>
      </c>
      <c r="F350" s="1" t="n">
        <v>3.49</v>
      </c>
      <c r="G350" s="8">
        <f>F350*[348]Main!$C$4</f>
        <v/>
      </c>
      <c r="H350" s="10">
        <f>G350-[348]Main!$C$7+[348]Main!$C$8</f>
        <v/>
      </c>
      <c r="J350" s="1">
        <f>IF(ISNUMBER([348]Main!$C$11),[348]Main!$C$11,"")</f>
        <v/>
      </c>
      <c r="K350" s="57">
        <f>IFERROR(J350/F350-1,"")</f>
        <v/>
      </c>
      <c r="L350" s="12">
        <f>[348]Main!$C$15&amp;" ("&amp;[348]Main!$C$14&amp;")"</f>
        <v/>
      </c>
      <c r="M350" s="58" t="n">
        <v>46337</v>
      </c>
      <c r="N350" s="17" t="inlineStr">
        <is>
          <t>Earnings Nov 11 (est.)</t>
        </is>
      </c>
    </row>
    <row r="351">
      <c r="B351" s="3" t="inlineStr">
        <is>
          <t>LRMR</t>
        </is>
      </c>
      <c r="C351" t="inlineStr">
        <is>
          <t>Larimar Therapeutics, Inc.</t>
        </is>
      </c>
      <c r="D351" t="inlineStr">
        <is>
          <t>Biotechnology</t>
        </is>
      </c>
      <c r="E351" s="6" t="inlineStr">
        <is>
          <t>NASDAQ</t>
        </is>
      </c>
      <c r="F351" s="1" t="n">
        <v>2.44</v>
      </c>
      <c r="G351" s="8">
        <f>F351*[349]Main!$C$4</f>
        <v/>
      </c>
      <c r="H351" s="10">
        <f>G351-[349]Main!$C$7+[349]Main!$C$8</f>
        <v/>
      </c>
      <c r="J351" s="1">
        <f>IF(ISNUMBER([349]Main!$C$11),[349]Main!$C$11,"")</f>
        <v/>
      </c>
      <c r="K351" s="57">
        <f>IFERROR(J351/F351-1,"")</f>
        <v/>
      </c>
      <c r="L351" s="12">
        <f>[349]Main!$C$15&amp;" ("&amp;[349]Main!$C$14&amp;")"</f>
        <v/>
      </c>
      <c r="M351" s="58" t="n">
        <v>46330</v>
      </c>
      <c r="N351" s="17" t="inlineStr">
        <is>
          <t>Earnings Nov 4 (est.) · Readout ~2027-01: Muscular dystrophy / SMA, Phase 3</t>
        </is>
      </c>
    </row>
    <row r="352">
      <c r="B352" s="3" t="inlineStr">
        <is>
          <t>ALEC</t>
        </is>
      </c>
      <c r="C352" t="inlineStr">
        <is>
          <t>Alector, Inc.</t>
        </is>
      </c>
      <c r="D352" t="inlineStr">
        <is>
          <t>Biotechnology</t>
        </is>
      </c>
      <c r="E352" s="6" t="inlineStr">
        <is>
          <t>NASDAQ</t>
        </is>
      </c>
      <c r="F352" s="1" t="n">
        <v>1.97</v>
      </c>
      <c r="G352" s="8">
        <f>F352*[350]Main!$C$4</f>
        <v/>
      </c>
      <c r="H352" s="10">
        <f>G352-[350]Main!$C$7+[350]Main!$C$8</f>
        <v/>
      </c>
      <c r="J352" s="1">
        <f>IF(ISNUMBER([350]Main!$C$11),[350]Main!$C$11,"")</f>
        <v/>
      </c>
      <c r="K352" s="57">
        <f>IFERROR(J352/F352-1,"")</f>
        <v/>
      </c>
      <c r="L352" s="12">
        <f>[350]Main!$C$15&amp;" ("&amp;[350]Main!$C$14&amp;")"</f>
        <v/>
      </c>
      <c r="M352" s="58" t="n">
        <v>46331</v>
      </c>
      <c r="N352" s="17" t="inlineStr">
        <is>
          <t>Earnings Nov 5 (est.) · Readout ~2028-09-15: Alzheimer's disease, Phase 2</t>
        </is>
      </c>
    </row>
    <row r="353">
      <c r="B353" s="3" t="inlineStr">
        <is>
          <t>MDCX</t>
        </is>
      </c>
      <c r="C353" t="inlineStr">
        <is>
          <t>Medicus Pharma Ltd</t>
        </is>
      </c>
      <c r="D353" t="inlineStr">
        <is>
          <t>Biotechnology</t>
        </is>
      </c>
      <c r="E353" s="6" t="inlineStr">
        <is>
          <t>NASDAQ</t>
        </is>
      </c>
      <c r="F353" s="1" t="n">
        <v>2.72</v>
      </c>
      <c r="G353" s="8">
        <f>F353*[351]Main!$C$4</f>
        <v/>
      </c>
      <c r="H353" s="10">
        <f>G353-[351]Main!$C$7+[351]Main!$C$8</f>
        <v/>
      </c>
      <c r="J353" s="1">
        <f>IF(ISNUMBER([351]Main!$C$11),[351]Main!$C$11,"")</f>
        <v/>
      </c>
      <c r="K353" s="57">
        <f>IFERROR(J353/F353-1,"")</f>
        <v/>
      </c>
      <c r="L353" s="12">
        <f>[351]Main!$C$15&amp;" ("&amp;[351]Main!$C$14&amp;")"</f>
        <v/>
      </c>
      <c r="M353" s="58" t="n">
        <v>46339</v>
      </c>
      <c r="N353" s="17" t="inlineStr">
        <is>
          <t>Earnings Nov 13 (est.)</t>
        </is>
      </c>
    </row>
    <row r="354">
      <c r="B354" s="3" t="inlineStr">
        <is>
          <t>LIMN</t>
        </is>
      </c>
      <c r="C354" t="inlineStr">
        <is>
          <t>Liminatus Pharma Inc</t>
        </is>
      </c>
      <c r="D354" t="inlineStr">
        <is>
          <t>Biotechnology</t>
        </is>
      </c>
      <c r="E354" s="6" t="inlineStr">
        <is>
          <t>NASDAQ</t>
        </is>
      </c>
      <c r="F354" s="1" t="n">
        <v>3.19</v>
      </c>
      <c r="G354" s="8">
        <f>F354*[352]Main!$C$4</f>
        <v/>
      </c>
      <c r="H354" s="10">
        <f>G354-[352]Main!$C$7+[352]Main!$C$8</f>
        <v/>
      </c>
      <c r="J354" s="1">
        <f>IF(ISNUMBER([352]Main!$C$11),[352]Main!$C$11,"")</f>
        <v/>
      </c>
      <c r="K354" s="57">
        <f>IFERROR(J354/F354-1,"")</f>
        <v/>
      </c>
      <c r="L354" s="12">
        <f>[352]Main!$C$15&amp;" ("&amp;[352]Main!$C$14&amp;")"</f>
        <v/>
      </c>
      <c r="M354" s="58" t="n">
        <v>46338</v>
      </c>
      <c r="N354" s="17" t="inlineStr">
        <is>
          <t>Earnings Nov 12 (est.)</t>
        </is>
      </c>
    </row>
    <row r="355">
      <c r="B355" s="3" t="inlineStr">
        <is>
          <t>LYEL</t>
        </is>
      </c>
      <c r="C355" t="inlineStr">
        <is>
          <t>Lyell Immunopharma, Inc.</t>
        </is>
      </c>
      <c r="D355" t="inlineStr">
        <is>
          <t>Biotechnology</t>
        </is>
      </c>
      <c r="E355" s="6" t="inlineStr">
        <is>
          <t>NASDAQ</t>
        </is>
      </c>
      <c r="F355" s="1" t="n">
        <v>9.699999999999999</v>
      </c>
      <c r="G355" s="8">
        <f>F355*[353]Main!$C$4</f>
        <v/>
      </c>
      <c r="H355" s="10">
        <f>G355-[353]Main!$C$7+[353]Main!$C$8</f>
        <v/>
      </c>
      <c r="J355" s="1">
        <f>IF(ISNUMBER([353]Main!$C$11),[353]Main!$C$11,"")</f>
        <v/>
      </c>
      <c r="K355" s="57">
        <f>IFERROR(J355/F355-1,"")</f>
        <v/>
      </c>
      <c r="L355" s="12">
        <f>[353]Main!$C$15&amp;" ("&amp;[353]Main!$C$14&amp;")"</f>
        <v/>
      </c>
      <c r="M355" s="58" t="n">
        <v>46337</v>
      </c>
      <c r="N355" s="17" t="inlineStr">
        <is>
          <t>Earnings Nov 11 (est.) · Readout ~2028-06: Colorectal cancer, Phase 1/2</t>
        </is>
      </c>
    </row>
    <row r="356">
      <c r="B356" s="3" t="inlineStr">
        <is>
          <t>RNAC</t>
        </is>
      </c>
      <c r="C356" t="inlineStr">
        <is>
          <t>Cartesian Therapeutics, Inc.</t>
        </is>
      </c>
      <c r="D356" t="inlineStr">
        <is>
          <t>Biotechnology</t>
        </is>
      </c>
      <c r="E356" s="6" t="inlineStr">
        <is>
          <t>NASDAQ</t>
        </is>
      </c>
      <c r="F356" s="1" t="n">
        <v>6.395</v>
      </c>
      <c r="G356" s="8">
        <f>F356*[354]Main!$C$4</f>
        <v/>
      </c>
      <c r="H356" s="10">
        <f>G356-[354]Main!$C$7+[354]Main!$C$8</f>
        <v/>
      </c>
      <c r="J356" s="1">
        <f>IF(ISNUMBER([354]Main!$C$11),[354]Main!$C$11,"")</f>
        <v/>
      </c>
      <c r="K356" s="57">
        <f>IFERROR(J356/F356-1,"")</f>
        <v/>
      </c>
      <c r="L356" s="12">
        <f>[354]Main!$C$15&amp;" ("&amp;[354]Main!$C$14&amp;")"</f>
        <v/>
      </c>
      <c r="M356" s="58" t="n">
        <v>46331</v>
      </c>
      <c r="N356" s="17" t="inlineStr">
        <is>
          <t>Earnings Nov 5 (est.) · Readout ~2026-12-01: Lupus / Sjogren's, Phase 2</t>
        </is>
      </c>
    </row>
    <row r="357">
      <c r="B357" s="3" t="inlineStr">
        <is>
          <t>CAMP</t>
        </is>
      </c>
      <c r="C357" t="inlineStr">
        <is>
          <t>CAMP4 Therapeutics Corp</t>
        </is>
      </c>
      <c r="D357" t="inlineStr">
        <is>
          <t>Biotechnology</t>
        </is>
      </c>
      <c r="E357" s="6" t="inlineStr">
        <is>
          <t>NASDAQ</t>
        </is>
      </c>
      <c r="F357" s="1" t="n">
        <v>3.16</v>
      </c>
      <c r="G357" s="8">
        <f>F357*[355]Main!$C$4</f>
        <v/>
      </c>
      <c r="H357" s="10">
        <f>G357-[355]Main!$C$7+[355]Main!$C$8</f>
        <v/>
      </c>
      <c r="J357" s="1">
        <f>IF(ISNUMBER([355]Main!$C$11),[355]Main!$C$11,"")</f>
        <v/>
      </c>
      <c r="K357" s="57">
        <f>IFERROR(J357/F357-1,"")</f>
        <v/>
      </c>
      <c r="L357" s="12">
        <f>[355]Main!$C$15&amp;" ("&amp;[355]Main!$C$14&amp;")"</f>
        <v/>
      </c>
      <c r="M357" s="58" t="n">
        <v>46331</v>
      </c>
      <c r="N357" s="17" t="inlineStr">
        <is>
          <t>Earnings Nov 5 (est.)</t>
        </is>
      </c>
    </row>
    <row r="358">
      <c r="B358" s="3" t="inlineStr">
        <is>
          <t>CGEN</t>
        </is>
      </c>
      <c r="C358" t="inlineStr">
        <is>
          <t>Compugen Ltd.</t>
        </is>
      </c>
      <c r="D358" t="inlineStr">
        <is>
          <t>Biotechnology</t>
        </is>
      </c>
      <c r="E358" s="6" t="inlineStr">
        <is>
          <t>NASDAQ</t>
        </is>
      </c>
      <c r="F358" s="1" t="n">
        <v>2.14</v>
      </c>
      <c r="G358" s="8">
        <f>F358*[356]Main!$C$4</f>
        <v/>
      </c>
      <c r="H358" s="10">
        <f>G358-[356]Main!$C$7+[356]Main!$C$8</f>
        <v/>
      </c>
      <c r="J358" s="1">
        <f>IF(ISNUMBER([356]Main!$C$11),[356]Main!$C$11,"")</f>
        <v/>
      </c>
      <c r="K358" s="57">
        <f>IFERROR(J358/F358-1,"")</f>
        <v/>
      </c>
      <c r="L358" s="12">
        <f>[356]Main!$C$15&amp;" ("&amp;[356]Main!$C$14&amp;")"</f>
        <v/>
      </c>
      <c r="M358" s="58" t="n">
        <v>46335</v>
      </c>
      <c r="N358" s="17" t="inlineStr">
        <is>
          <t>Earnings Nov 9 (est.)</t>
        </is>
      </c>
    </row>
    <row r="359">
      <c r="B359" s="3" t="inlineStr">
        <is>
          <t>EVMN</t>
        </is>
      </c>
      <c r="C359" t="inlineStr">
        <is>
          <t>Evommune, Inc.</t>
        </is>
      </c>
      <c r="D359" t="inlineStr">
        <is>
          <t>Biotechnology</t>
        </is>
      </c>
      <c r="E359" s="6" t="inlineStr">
        <is>
          <t>NYSE</t>
        </is>
      </c>
      <c r="F359" s="1" t="n">
        <v>5.35</v>
      </c>
      <c r="G359" s="8">
        <f>F359*[357]Main!$C$4</f>
        <v/>
      </c>
      <c r="H359" s="10">
        <f>G359-[357]Main!$C$7+[357]Main!$C$8</f>
        <v/>
      </c>
      <c r="J359" s="1">
        <f>[357]Main!$C$11</f>
        <v/>
      </c>
      <c r="K359" s="57">
        <f>IFERROR(J359/F359-1,"")</f>
        <v/>
      </c>
      <c r="L359" s="12">
        <f>"rNPV ("&amp;[357]Main!$C$14&amp;")"</f>
        <v/>
      </c>
      <c r="M359" s="58" t="n">
        <v>46366</v>
      </c>
      <c r="N359" s="17" t="inlineStr">
        <is>
          <t>Earnings Dec 10 (est.)</t>
        </is>
      </c>
    </row>
    <row r="360">
      <c r="B360" s="3" t="inlineStr">
        <is>
          <t>XGN</t>
        </is>
      </c>
      <c r="C360" t="inlineStr">
        <is>
          <t>Exagen Inc.</t>
        </is>
      </c>
      <c r="D360" t="inlineStr">
        <is>
          <t>Biotechnology</t>
        </is>
      </c>
      <c r="E360" s="6" t="inlineStr">
        <is>
          <t>NASDAQ</t>
        </is>
      </c>
      <c r="F360" s="1" t="n">
        <v>7.41</v>
      </c>
      <c r="G360" s="8">
        <f>F360*[358]Main!$C$4</f>
        <v/>
      </c>
      <c r="H360" s="10">
        <f>G360-[358]Main!$C$7+[358]Main!$C$8</f>
        <v/>
      </c>
      <c r="J360" s="1">
        <f>IF(ISNUMBER([358]Main!$C$11),[358]Main!$C$11,"")</f>
        <v/>
      </c>
      <c r="K360" s="57">
        <f>IFERROR(J360/F360-1,"")</f>
        <v/>
      </c>
      <c r="L360" s="12">
        <f>[358]Main!$C$15&amp;" ("&amp;[358]Main!$C$14&amp;")"</f>
        <v/>
      </c>
      <c r="M360" s="58" t="n">
        <v>46329</v>
      </c>
      <c r="N360" s="17" t="inlineStr">
        <is>
          <t>Earnings Nov 3 (est.)</t>
        </is>
      </c>
    </row>
    <row r="361">
      <c r="B361" s="3" t="inlineStr">
        <is>
          <t>TRDA</t>
        </is>
      </c>
      <c r="C361" t="inlineStr">
        <is>
          <t>Entrada Therapeutics, Inc.</t>
        </is>
      </c>
      <c r="D361" t="inlineStr">
        <is>
          <t>Biotechnology</t>
        </is>
      </c>
      <c r="E361" s="6" t="inlineStr">
        <is>
          <t>NASDAQ</t>
        </is>
      </c>
      <c r="F361" s="1" t="n">
        <v>4.99</v>
      </c>
      <c r="G361" s="8">
        <f>F361*[359]Main!$C$4</f>
        <v/>
      </c>
      <c r="H361" s="10">
        <f>G361-[359]Main!$C$7+[359]Main!$C$8</f>
        <v/>
      </c>
      <c r="J361" s="1">
        <f>IF(ISNUMBER([359]Main!$C$11),[359]Main!$C$11,"")</f>
        <v/>
      </c>
      <c r="K361" s="57">
        <f>IFERROR(J361/F361-1,"")</f>
        <v/>
      </c>
      <c r="L361" s="12">
        <f>[359]Main!$C$15&amp;" ("&amp;[359]Main!$C$14&amp;")"</f>
        <v/>
      </c>
      <c r="M361" s="58" t="n">
        <v>46331</v>
      </c>
      <c r="N361" s="17" t="inlineStr">
        <is>
          <t>Earnings Nov 5 (est.) · Readout ~2029-03-01: Muscular dystrophy / SMA, Phase 2</t>
        </is>
      </c>
    </row>
    <row r="362">
      <c r="B362" s="3" t="inlineStr">
        <is>
          <t>AKBA</t>
        </is>
      </c>
      <c r="C362" t="inlineStr">
        <is>
          <t>Akebia Therapeutics Inc</t>
        </is>
      </c>
      <c r="D362" t="inlineStr">
        <is>
          <t>Biotechnology</t>
        </is>
      </c>
      <c r="E362" s="6" t="inlineStr">
        <is>
          <t>NASDAQ</t>
        </is>
      </c>
      <c r="F362" s="1" t="n">
        <v>0.6181</v>
      </c>
      <c r="G362" s="8">
        <f>F362*[360]Main!$C$4</f>
        <v/>
      </c>
      <c r="H362" s="10">
        <f>G362-[360]Main!$C$7+[360]Main!$C$8</f>
        <v/>
      </c>
      <c r="J362" s="1">
        <f>IF(ISNUMBER([360]Main!$C$11),[360]Main!$C$11,"")</f>
        <v/>
      </c>
      <c r="K362" s="57">
        <f>IFERROR(J362/F362-1,"")</f>
        <v/>
      </c>
      <c r="L362" s="12">
        <f>[360]Main!$C$15&amp;" ("&amp;[360]Main!$C$14&amp;")"</f>
        <v/>
      </c>
      <c r="M362" s="58" t="n">
        <v>46335</v>
      </c>
      <c r="N362" s="17" t="inlineStr">
        <is>
          <t>Earnings Nov 9 (est.)</t>
        </is>
      </c>
    </row>
    <row r="363">
      <c r="B363" s="3" t="inlineStr">
        <is>
          <t>ELDN</t>
        </is>
      </c>
      <c r="C363" t="inlineStr">
        <is>
          <t>Eledon Pharmaceuticals Inc</t>
        </is>
      </c>
      <c r="D363" t="inlineStr">
        <is>
          <t>Biotechnology</t>
        </is>
      </c>
      <c r="E363" s="6" t="inlineStr">
        <is>
          <t>NASDAQ</t>
        </is>
      </c>
      <c r="F363" s="1" t="n">
        <v>2.255</v>
      </c>
      <c r="G363" s="8">
        <f>F363*[361]Main!$C$4</f>
        <v/>
      </c>
      <c r="H363" s="10">
        <f>G363-[361]Main!$C$7+[361]Main!$C$8</f>
        <v/>
      </c>
      <c r="J363" s="1">
        <f>IF(ISNUMBER([361]Main!$C$11),[361]Main!$C$11,"")</f>
        <v/>
      </c>
      <c r="K363" s="57">
        <f>IFERROR(J363/F363-1,"")</f>
        <v/>
      </c>
      <c r="L363" s="12">
        <f>[361]Main!$C$15&amp;" ("&amp;[361]Main!$C$14&amp;")"</f>
        <v/>
      </c>
      <c r="M363" s="58" t="n">
        <v>46339</v>
      </c>
      <c r="N363" s="17" t="inlineStr">
        <is>
          <t>Earnings Nov 13 (est.) · Readout ~2027-01: Kidney disease, Phase 3</t>
        </is>
      </c>
    </row>
    <row r="364">
      <c r="B364" s="3" t="inlineStr">
        <is>
          <t>IVVD</t>
        </is>
      </c>
      <c r="C364" t="inlineStr">
        <is>
          <t>Invivyd, Inc.</t>
        </is>
      </c>
      <c r="D364" t="inlineStr">
        <is>
          <t>Biotechnology</t>
        </is>
      </c>
      <c r="E364" s="6" t="inlineStr">
        <is>
          <t>NASDAQ</t>
        </is>
      </c>
      <c r="F364" s="1" t="n">
        <v>0.6366000000000001</v>
      </c>
      <c r="G364" s="8">
        <f>F364*[362]Main!$C$4</f>
        <v/>
      </c>
      <c r="H364" s="10">
        <f>G364-[362]Main!$C$7+[362]Main!$C$8</f>
        <v/>
      </c>
      <c r="J364" s="1">
        <f>IF(ISNUMBER([362]Main!$C$11),[362]Main!$C$11,"")</f>
        <v/>
      </c>
      <c r="K364" s="57">
        <f>IFERROR(J364/F364-1,"")</f>
        <v/>
      </c>
      <c r="L364" s="12">
        <f>[362]Main!$C$15&amp;" ("&amp;[362]Main!$C$14&amp;")"</f>
        <v/>
      </c>
      <c r="M364" s="58" t="n">
        <v>46331</v>
      </c>
      <c r="N364" s="17" t="inlineStr">
        <is>
          <t>Earnings Nov 5 (est.)</t>
        </is>
      </c>
    </row>
    <row r="365">
      <c r="B365" s="3" t="inlineStr">
        <is>
          <t>STRO</t>
        </is>
      </c>
      <c r="C365" t="inlineStr">
        <is>
          <t>Sutro Biopharma Inc</t>
        </is>
      </c>
      <c r="D365" t="inlineStr">
        <is>
          <t>Biotechnology</t>
        </is>
      </c>
      <c r="E365" s="6" t="inlineStr">
        <is>
          <t>NASDAQ</t>
        </is>
      </c>
      <c r="F365" s="1" t="n">
        <v>11.54</v>
      </c>
      <c r="G365" s="8">
        <f>F365*[363]Main!$C$4</f>
        <v/>
      </c>
      <c r="H365" s="10">
        <f>G365-[363]Main!$C$7+[363]Main!$C$8</f>
        <v/>
      </c>
      <c r="J365" s="1">
        <f>IF(ISNUMBER([363]Main!$C$11),[363]Main!$C$11,"")</f>
        <v/>
      </c>
      <c r="K365" s="57">
        <f>IFERROR(J365/F365-1,"")</f>
        <v/>
      </c>
      <c r="L365" s="12">
        <f>[363]Main!$C$15&amp;" ("&amp;[363]Main!$C$14&amp;")"</f>
        <v/>
      </c>
      <c r="M365" s="58" t="n">
        <v>46331</v>
      </c>
      <c r="N365" s="17" t="inlineStr">
        <is>
          <t>Earnings Nov 5 (est.) · Readout ~2027-12: Gastric / esophageal cancer, Phase 1</t>
        </is>
      </c>
    </row>
    <row r="366">
      <c r="B366" s="3" t="inlineStr">
        <is>
          <t>PEPG</t>
        </is>
      </c>
      <c r="C366" t="inlineStr">
        <is>
          <t>PepGen Inc.</t>
        </is>
      </c>
      <c r="D366" t="inlineStr">
        <is>
          <t>Biotechnology</t>
        </is>
      </c>
      <c r="E366" s="6" t="inlineStr">
        <is>
          <t>NASDAQ</t>
        </is>
      </c>
      <c r="F366" s="1" t="n">
        <v>2.875</v>
      </c>
      <c r="G366" s="8">
        <f>F366*[364]Main!$C$4</f>
        <v/>
      </c>
      <c r="H366" s="10">
        <f>G366-[364]Main!$C$7+[364]Main!$C$8</f>
        <v/>
      </c>
      <c r="J366" s="1">
        <f>IF(ISNUMBER([364]Main!$C$11),[364]Main!$C$11,"")</f>
        <v/>
      </c>
      <c r="K366" s="57">
        <f>IFERROR(J366/F366-1,"")</f>
        <v/>
      </c>
      <c r="L366" s="12">
        <f>[364]Main!$C$15&amp;" ("&amp;[364]Main!$C$14&amp;")"</f>
        <v/>
      </c>
      <c r="M366" s="58" t="n">
        <v>46337</v>
      </c>
      <c r="N366" s="17" t="inlineStr">
        <is>
          <t>Earnings Nov 11 (est.) · Readout ~2027-03: Muscular dystrophy / SMA, Phase 2</t>
        </is>
      </c>
    </row>
    <row r="367">
      <c r="B367" s="3" t="inlineStr">
        <is>
          <t>ADCT</t>
        </is>
      </c>
      <c r="C367" t="inlineStr">
        <is>
          <t>Adc Therapeutics Ltd</t>
        </is>
      </c>
      <c r="D367" t="inlineStr">
        <is>
          <t>Biotechnology</t>
        </is>
      </c>
      <c r="E367" s="6" t="inlineStr">
        <is>
          <t>NYSE</t>
        </is>
      </c>
      <c r="F367" s="1" t="n">
        <v>1.53</v>
      </c>
      <c r="G367" s="8">
        <f>F367*[365]Main!$C$4</f>
        <v/>
      </c>
      <c r="H367" s="10">
        <f>G367-[365]Main!$C$7+[365]Main!$C$8</f>
        <v/>
      </c>
      <c r="J367" s="1">
        <f>IF(ISNUMBER([365]Main!$C$11),[365]Main!$C$11,"")</f>
        <v/>
      </c>
      <c r="K367" s="57">
        <f>IFERROR(J367/F367-1,"")</f>
        <v/>
      </c>
      <c r="L367" s="12">
        <f>[365]Main!$C$15&amp;" ("&amp;[365]Main!$C$14&amp;")"</f>
        <v/>
      </c>
      <c r="M367" s="58" t="n">
        <v>46335</v>
      </c>
      <c r="N367" s="17" t="inlineStr">
        <is>
          <t>Earnings Nov 9 (est.)</t>
        </is>
      </c>
    </row>
    <row r="368">
      <c r="B368" s="3" t="inlineStr">
        <is>
          <t>SLGL</t>
        </is>
      </c>
      <c r="C368" t="inlineStr">
        <is>
          <t>SOL-GEL TECHNOLOGIES LTD.</t>
        </is>
      </c>
      <c r="D368" t="inlineStr">
        <is>
          <t>Pharmaceuticals</t>
        </is>
      </c>
      <c r="E368" s="6" t="inlineStr">
        <is>
          <t>NASDAQ</t>
        </is>
      </c>
      <c r="F368" s="1" t="n">
        <v>65.81</v>
      </c>
      <c r="G368" s="8">
        <f>F368*[366]Main!$C$4</f>
        <v/>
      </c>
      <c r="H368" s="10">
        <f>G368-[366]Main!$C$7+[366]Main!$C$8</f>
        <v/>
      </c>
      <c r="J368" s="1">
        <f>IF(ISNUMBER([366]Main!$C$11),[366]Main!$C$11,"")</f>
        <v/>
      </c>
      <c r="K368" s="57">
        <f>IFERROR(J368/F368-1,"")</f>
        <v/>
      </c>
      <c r="L368" s="12">
        <f>[366]Main!$C$15&amp;" ("&amp;[366]Main!$C$14&amp;")"</f>
        <v/>
      </c>
      <c r="M368" s="58" t="n">
        <v>46345</v>
      </c>
      <c r="N368" s="17" t="inlineStr">
        <is>
          <t>Earnings Nov 19 (est.)</t>
        </is>
      </c>
    </row>
    <row r="369">
      <c r="B369" s="3" t="inlineStr">
        <is>
          <t>ACOG</t>
        </is>
      </c>
      <c r="C369" t="inlineStr">
        <is>
          <t>Alpha Cognition Inc</t>
        </is>
      </c>
      <c r="D369" t="inlineStr">
        <is>
          <t>Biotechnology</t>
        </is>
      </c>
      <c r="E369" s="6" t="inlineStr">
        <is>
          <t>NASDAQ</t>
        </is>
      </c>
      <c r="F369" s="1" t="n">
        <v>8.58</v>
      </c>
      <c r="G369" s="8">
        <f>F369*[367]Main!$C$4</f>
        <v/>
      </c>
      <c r="H369" s="10">
        <f>G369-[367]Main!$C$7+[367]Main!$C$8</f>
        <v/>
      </c>
      <c r="J369" s="1">
        <f>IF(ISNUMBER([367]Main!$C$11),[367]Main!$C$11,"")</f>
        <v/>
      </c>
      <c r="K369" s="57">
        <f>IFERROR(J369/F369-1,"")</f>
        <v/>
      </c>
      <c r="L369" s="12">
        <f>[367]Main!$C$15&amp;" ("&amp;[367]Main!$C$14&amp;")"</f>
        <v/>
      </c>
      <c r="M369" s="58" t="n">
        <v>46338</v>
      </c>
      <c r="N369" s="17" t="inlineStr">
        <is>
          <t>Earnings Nov 12 (est.)</t>
        </is>
      </c>
    </row>
    <row r="370">
      <c r="B370" s="3" t="inlineStr">
        <is>
          <t>SION</t>
        </is>
      </c>
      <c r="C370" t="inlineStr">
        <is>
          <t>Sionna Therapeutics, Inc.</t>
        </is>
      </c>
      <c r="D370" t="inlineStr">
        <is>
          <t>Biotechnology</t>
        </is>
      </c>
      <c r="E370" s="6" t="inlineStr">
        <is>
          <t>NASDAQ</t>
        </is>
      </c>
      <c r="F370" s="1" t="n">
        <v>4.15</v>
      </c>
      <c r="G370" s="8">
        <f>F370*[368]Main!$C$4</f>
        <v/>
      </c>
      <c r="H370" s="10">
        <f>G370-[368]Main!$C$7+[368]Main!$C$8</f>
        <v/>
      </c>
      <c r="J370" s="1">
        <f>IF(ISNUMBER([368]Main!$C$11),[368]Main!$C$11,"")</f>
        <v/>
      </c>
      <c r="K370" s="57">
        <f>IFERROR(J370/F370-1,"")</f>
        <v/>
      </c>
      <c r="L370" s="12">
        <f>[368]Main!$C$15&amp;" ("&amp;[368]Main!$C$14&amp;")"</f>
        <v/>
      </c>
      <c r="M370" s="58" t="n">
        <v>46330</v>
      </c>
      <c r="N370" s="17" t="inlineStr">
        <is>
          <t>Earnings Nov 4 (est.)</t>
        </is>
      </c>
    </row>
    <row r="371">
      <c r="B371" s="3" t="inlineStr">
        <is>
          <t>ORMP</t>
        </is>
      </c>
      <c r="C371" t="inlineStr">
        <is>
          <t>Oramed Pharmaceuticals Inc</t>
        </is>
      </c>
      <c r="D371" t="inlineStr">
        <is>
          <t>Pharmaceuticals</t>
        </is>
      </c>
      <c r="E371" s="6" t="inlineStr">
        <is>
          <t>NASDAQ</t>
        </is>
      </c>
      <c r="F371" s="1" t="n">
        <v>4.15</v>
      </c>
      <c r="G371" s="8">
        <f>F371*[369]Main!$C$4</f>
        <v/>
      </c>
      <c r="H371" s="10">
        <f>G371-[369]Main!$C$7+[369]Main!$C$8</f>
        <v/>
      </c>
      <c r="J371" s="1">
        <f>IF(ISNUMBER([369]Main!$C$11),[369]Main!$C$11,"")</f>
        <v/>
      </c>
      <c r="K371" s="57">
        <f>IFERROR(J371/F371-1,"")</f>
        <v/>
      </c>
      <c r="L371" s="12">
        <f>[369]Main!$C$15&amp;" ("&amp;[369]Main!$C$14&amp;")"</f>
        <v/>
      </c>
      <c r="M371" s="58" t="n">
        <v>46338</v>
      </c>
      <c r="N371" s="17" t="inlineStr">
        <is>
          <t>Earnings Nov 12 (est.) · Readout ~2027-04-25: Type 2 diabetes, Phase 3</t>
        </is>
      </c>
    </row>
    <row r="372">
      <c r="B372" s="3" t="inlineStr">
        <is>
          <t>WHWK</t>
        </is>
      </c>
      <c r="C372" t="inlineStr">
        <is>
          <t>Whitehawk Therapeutics, Inc.</t>
        </is>
      </c>
      <c r="D372" t="inlineStr">
        <is>
          <t>Biotechnology</t>
        </is>
      </c>
      <c r="E372" s="6" t="inlineStr">
        <is>
          <t>NASDAQ</t>
        </is>
      </c>
      <c r="F372" s="1" t="n">
        <v>3.19</v>
      </c>
      <c r="G372" s="8">
        <f>F372*[370]Main!$C$4</f>
        <v/>
      </c>
      <c r="H372" s="10">
        <f>G372-[370]Main!$C$7+[370]Main!$C$8</f>
        <v/>
      </c>
      <c r="J372" s="1">
        <f>IF(ISNUMBER([370]Main!$C$11),[370]Main!$C$11,"")</f>
        <v/>
      </c>
      <c r="K372" s="57">
        <f>IFERROR(J372/F372-1,"")</f>
        <v/>
      </c>
      <c r="L372" s="12">
        <f>[370]Main!$C$15&amp;" ("&amp;[370]Main!$C$14&amp;")"</f>
        <v/>
      </c>
      <c r="M372" s="58" t="n">
        <v>46331</v>
      </c>
      <c r="N372" s="17" t="inlineStr">
        <is>
          <t>Earnings Nov 5 (est.) · Readout ~2028-02: Ovarian cancer, Phase 1</t>
        </is>
      </c>
    </row>
    <row r="373">
      <c r="B373" s="3" t="inlineStr">
        <is>
          <t>CTNM</t>
        </is>
      </c>
      <c r="C373" t="inlineStr">
        <is>
          <t>Contineum Therapeutics, Inc.</t>
        </is>
      </c>
      <c r="D373" t="inlineStr">
        <is>
          <t>Pharmaceuticals</t>
        </is>
      </c>
      <c r="E373" s="6" t="inlineStr">
        <is>
          <t>NASDAQ</t>
        </is>
      </c>
      <c r="F373" s="1" t="n">
        <v>8.460000000000001</v>
      </c>
      <c r="G373" s="8">
        <f>F373*[371]Main!$C$4</f>
        <v/>
      </c>
      <c r="H373" s="10">
        <f>G373-[371]Main!$C$7+[371]Main!$C$8</f>
        <v/>
      </c>
      <c r="J373" s="1">
        <f>IF(ISNUMBER([371]Main!$C$11),[371]Main!$C$11,"")</f>
        <v/>
      </c>
      <c r="K373" s="57">
        <f>IFERROR(J373/F373-1,"")</f>
        <v/>
      </c>
      <c r="L373" s="12">
        <f>[371]Main!$C$15&amp;" ("&amp;[371]Main!$C$14&amp;")"</f>
        <v/>
      </c>
      <c r="M373" s="58" t="n">
        <v>46324</v>
      </c>
      <c r="N373" s="17" t="inlineStr">
        <is>
          <t>Earnings Oct 29 (est.) · Readout ~2028-05: Idiopathic pulmonary fibrosis, Phase 2</t>
        </is>
      </c>
    </row>
    <row r="374">
      <c r="B374" s="3" t="inlineStr">
        <is>
          <t>DTIL</t>
        </is>
      </c>
      <c r="C374" t="inlineStr">
        <is>
          <t>Precision Biosciences, Inc</t>
        </is>
      </c>
      <c r="D374" t="inlineStr">
        <is>
          <t>Biotechnology</t>
        </is>
      </c>
      <c r="E374" s="6" t="inlineStr">
        <is>
          <t>NASDAQ</t>
        </is>
      </c>
      <c r="F374" s="1" t="n">
        <v>6.56</v>
      </c>
      <c r="G374" s="8">
        <f>F374*[372]Main!$C$4</f>
        <v/>
      </c>
      <c r="H374" s="10">
        <f>G374-[372]Main!$C$7+[372]Main!$C$8</f>
        <v/>
      </c>
      <c r="J374" s="1">
        <f>IF(ISNUMBER([372]Main!$C$11),[372]Main!$C$11,"")</f>
        <v/>
      </c>
      <c r="K374" s="57">
        <f>IFERROR(J374/F374-1,"")</f>
        <v/>
      </c>
      <c r="L374" s="12">
        <f>[372]Main!$C$15&amp;" ("&amp;[372]Main!$C$14&amp;")"</f>
        <v/>
      </c>
      <c r="M374" s="58" t="n">
        <v>46328</v>
      </c>
      <c r="N374" s="17" t="inlineStr">
        <is>
          <t>Earnings Nov 2 (est.) · Readout ~2026-12: HIV / hepatitis, Phase 1</t>
        </is>
      </c>
    </row>
    <row r="375">
      <c r="B375" s="3" t="inlineStr">
        <is>
          <t>CMPX</t>
        </is>
      </c>
      <c r="C375" t="inlineStr">
        <is>
          <t>Compass Therapeutics Inc.</t>
        </is>
      </c>
      <c r="D375" t="inlineStr">
        <is>
          <t>Biotechnology</t>
        </is>
      </c>
      <c r="E375" s="6" t="inlineStr">
        <is>
          <t>NASDAQ</t>
        </is>
      </c>
      <c r="F375" s="1" t="n">
        <v>0.8333</v>
      </c>
      <c r="G375" s="8">
        <f>F375*[373]Main!$C$4</f>
        <v/>
      </c>
      <c r="H375" s="10">
        <f>G375-[373]Main!$C$7+[373]Main!$C$8</f>
        <v/>
      </c>
      <c r="J375" s="1">
        <f>IF(ISNUMBER([373]Main!$C$11),[373]Main!$C$11,"")</f>
        <v/>
      </c>
      <c r="K375" s="57">
        <f>IFERROR(J375/F375-1,"")</f>
        <v/>
      </c>
      <c r="L375" s="12">
        <f>[373]Main!$C$15&amp;" ("&amp;[373]Main!$C$14&amp;")"</f>
        <v/>
      </c>
      <c r="M375" s="58" t="n">
        <v>46330</v>
      </c>
      <c r="N375" s="17" t="inlineStr">
        <is>
          <t>Earnings Nov 4 (est.) · Readout ~2026-12: Lung cancer, Phase 1</t>
        </is>
      </c>
    </row>
    <row r="376">
      <c r="B376" s="3" t="inlineStr">
        <is>
          <t>CHRS</t>
        </is>
      </c>
      <c r="C376" t="inlineStr">
        <is>
          <t>Coherus Oncology Inc</t>
        </is>
      </c>
      <c r="D376" t="inlineStr">
        <is>
          <t>Biotechnology</t>
        </is>
      </c>
      <c r="E376" s="6" t="inlineStr">
        <is>
          <t>NASDAQ</t>
        </is>
      </c>
      <c r="F376" s="1" t="n">
        <v>1</v>
      </c>
      <c r="G376" s="8">
        <f>F376*[374]Main!$C$4</f>
        <v/>
      </c>
      <c r="H376" s="10">
        <f>G376-[374]Main!$C$7+[374]Main!$C$8</f>
        <v/>
      </c>
      <c r="J376" s="1">
        <f>IF(ISNUMBER([374]Main!$C$11),[374]Main!$C$11,"")</f>
        <v/>
      </c>
      <c r="K376" s="57">
        <f>IFERROR(J376/F376-1,"")</f>
        <v/>
      </c>
      <c r="L376" s="12">
        <f>[374]Main!$C$15&amp;" ("&amp;[374]Main!$C$14&amp;")"</f>
        <v/>
      </c>
      <c r="M376" s="58" t="n">
        <v>46331</v>
      </c>
      <c r="N376" s="17" t="inlineStr">
        <is>
          <t>Earnings Nov 5 (est.)</t>
        </is>
      </c>
    </row>
    <row r="377">
      <c r="B377" s="3" t="inlineStr">
        <is>
          <t>PRQR</t>
        </is>
      </c>
      <c r="C377" t="inlineStr">
        <is>
          <t>ProQR Therapeutics NV</t>
        </is>
      </c>
      <c r="D377" t="inlineStr">
        <is>
          <t>Biotechnology</t>
        </is>
      </c>
      <c r="E377" s="6" t="inlineStr">
        <is>
          <t>NASDAQ</t>
        </is>
      </c>
      <c r="F377" s="1" t="n">
        <v>1.38</v>
      </c>
      <c r="G377" s="8">
        <f>F377*[375]Main!$C$4</f>
        <v/>
      </c>
      <c r="H377" s="10">
        <f>G377-[375]Main!$C$7+[375]Main!$C$8</f>
        <v/>
      </c>
      <c r="J377" s="1">
        <f>IF(ISNUMBER([375]Main!$C$11),[375]Main!$C$11,"")</f>
        <v/>
      </c>
      <c r="K377" s="57">
        <f>IFERROR(J377/F377-1,"")</f>
        <v/>
      </c>
      <c r="L377" s="12">
        <f>[375]Main!$C$15&amp;" ("&amp;[375]Main!$C$14&amp;")"</f>
        <v/>
      </c>
      <c r="M377" s="58" t="n">
        <v>46331</v>
      </c>
      <c r="N377" s="17" t="inlineStr">
        <is>
          <t>Earnings Nov 5 (est.)</t>
        </is>
      </c>
    </row>
    <row r="378">
      <c r="B378" s="3" t="inlineStr">
        <is>
          <t>ZNTL</t>
        </is>
      </c>
      <c r="C378" t="inlineStr">
        <is>
          <t>Zentalis Pharmaceuticals, Inc.</t>
        </is>
      </c>
      <c r="D378" t="inlineStr">
        <is>
          <t>Biotechnology</t>
        </is>
      </c>
      <c r="E378" s="6" t="inlineStr">
        <is>
          <t>NASDAQ</t>
        </is>
      </c>
      <c r="F378" s="1" t="n">
        <v>2.39</v>
      </c>
      <c r="G378" s="8">
        <f>F378*[376]Main!$C$4</f>
        <v/>
      </c>
      <c r="H378" s="10">
        <f>G378-[376]Main!$C$7+[376]Main!$C$8</f>
        <v/>
      </c>
      <c r="J378" s="1">
        <f>IF(ISNUMBER([376]Main!$C$11),[376]Main!$C$11,"")</f>
        <v/>
      </c>
      <c r="K378" s="57">
        <f>IFERROR(J378/F378-1,"")</f>
        <v/>
      </c>
      <c r="L378" s="12">
        <f>[376]Main!$C$15&amp;" ("&amp;[376]Main!$C$14&amp;")"</f>
        <v/>
      </c>
      <c r="M378" s="58" t="n">
        <v>46335</v>
      </c>
      <c r="N378" s="17" t="inlineStr">
        <is>
          <t>Earnings Nov 9 (est.) · Readout ~2026-12-01: Ovarian cancer, Phase 3</t>
        </is>
      </c>
    </row>
    <row r="379">
      <c r="B379" s="3" t="inlineStr">
        <is>
          <t>MDWD</t>
        </is>
      </c>
      <c r="C379" t="inlineStr">
        <is>
          <t>Mediwound Ltd</t>
        </is>
      </c>
      <c r="D379" t="inlineStr">
        <is>
          <t>Pharmaceuticals</t>
        </is>
      </c>
      <c r="E379" s="6" t="inlineStr">
        <is>
          <t>NASDAQ</t>
        </is>
      </c>
      <c r="F379" s="1" t="n">
        <v>12.1</v>
      </c>
      <c r="G379" s="8">
        <f>F379*[377]Main!$C$4</f>
        <v/>
      </c>
      <c r="H379" s="10">
        <f>G379-[377]Main!$C$7+[377]Main!$C$8</f>
        <v/>
      </c>
      <c r="J379" s="1">
        <f>IF(ISNUMBER([377]Main!$C$11),[377]Main!$C$11,"")</f>
        <v/>
      </c>
      <c r="K379" s="57">
        <f>IFERROR(J379/F379-1,"")</f>
        <v/>
      </c>
      <c r="L379" s="12">
        <f>[377]Main!$C$15&amp;" ("&amp;[377]Main!$C$14&amp;")"</f>
        <v/>
      </c>
      <c r="M379" s="58" t="n">
        <v>46345</v>
      </c>
      <c r="N379" s="17" t="inlineStr">
        <is>
          <t>Earnings Nov 19 (est.)</t>
        </is>
      </c>
    </row>
    <row r="380">
      <c r="B380" s="3" t="inlineStr">
        <is>
          <t>KRSA</t>
        </is>
      </c>
      <c r="C380" t="inlineStr">
        <is>
          <t>Korsana Biosciences, Inc.</t>
        </is>
      </c>
      <c r="D380" t="inlineStr">
        <is>
          <t>Biotechnology</t>
        </is>
      </c>
      <c r="E380" s="6" t="inlineStr">
        <is>
          <t>NASDAQ</t>
        </is>
      </c>
      <c r="F380" s="1" t="n">
        <v>31.03</v>
      </c>
      <c r="G380" s="8">
        <f>F380*[378]Main!$C$4</f>
        <v/>
      </c>
      <c r="H380" s="10">
        <f>G380-[378]Main!$C$7+[378]Main!$C$8</f>
        <v/>
      </c>
      <c r="J380" s="1">
        <f>IF(ISNUMBER([378]Main!$C$11),[378]Main!$C$11,"")</f>
        <v/>
      </c>
      <c r="K380" s="57">
        <f>IFERROR(J380/F380-1,"")</f>
        <v/>
      </c>
      <c r="L380" s="12">
        <f>[378]Main!$C$15&amp;" ("&amp;[378]Main!$C$14&amp;")"</f>
        <v/>
      </c>
      <c r="M380" s="58" t="n">
        <v>46337</v>
      </c>
      <c r="N380" s="17" t="inlineStr">
        <is>
          <t>Earnings Nov 11 (est.)</t>
        </is>
      </c>
    </row>
    <row r="381">
      <c r="B381" s="3" t="inlineStr">
        <is>
          <t>UPB</t>
        </is>
      </c>
      <c r="C381" t="inlineStr">
        <is>
          <t>Upstream Bio, Inc.</t>
        </is>
      </c>
      <c r="D381" t="inlineStr">
        <is>
          <t>Biotechnology</t>
        </is>
      </c>
      <c r="E381" s="6" t="inlineStr">
        <is>
          <t>NASDAQ</t>
        </is>
      </c>
      <c r="F381" s="1" t="n">
        <v>2.82</v>
      </c>
      <c r="G381" s="8">
        <f>F381*[379]Main!$C$4</f>
        <v/>
      </c>
      <c r="H381" s="10">
        <f>G381-[379]Main!$C$7+[379]Main!$C$8</f>
        <v/>
      </c>
      <c r="J381" s="1">
        <f>IF(ISNUMBER([379]Main!$C$11),[379]Main!$C$11,"")</f>
        <v/>
      </c>
      <c r="K381" s="57">
        <f>IFERROR(J381/F381-1,"")</f>
        <v/>
      </c>
      <c r="L381" s="12">
        <f>[379]Main!$C$15&amp;" ("&amp;[379]Main!$C$14&amp;")"</f>
        <v/>
      </c>
      <c r="M381" s="58" t="n">
        <v>46330</v>
      </c>
      <c r="N381" s="17" t="inlineStr">
        <is>
          <t>Earnings Nov 4 (est.) · Readout ~2027-09: Asthma / COPD, Phase 2</t>
        </is>
      </c>
    </row>
    <row r="382">
      <c r="B382" s="3" t="inlineStr">
        <is>
          <t>MENS</t>
        </is>
      </c>
      <c r="C382" t="inlineStr">
        <is>
          <t>Jyong Biotech Ltd</t>
        </is>
      </c>
      <c r="D382" t="inlineStr">
        <is>
          <t>Biotechnology</t>
        </is>
      </c>
      <c r="E382" s="6" t="inlineStr">
        <is>
          <t>NASDAQ</t>
        </is>
      </c>
      <c r="F382" s="1" t="n">
        <v>1.86</v>
      </c>
      <c r="G382" s="8">
        <f>F382*[380]Main!$C$4</f>
        <v/>
      </c>
      <c r="H382" s="10">
        <f>G382-[380]Main!$C$7+[380]Main!$C$8</f>
        <v/>
      </c>
      <c r="J382" s="1">
        <f>IF(ISNUMBER([380]Main!$C$11),[380]Main!$C$11,"")</f>
        <v/>
      </c>
      <c r="K382" s="57">
        <f>IFERROR(J382/F382-1,"")</f>
        <v/>
      </c>
      <c r="L382" s="12">
        <f>[380]Main!$C$15&amp;" ("&amp;[380]Main!$C$14&amp;")"</f>
        <v/>
      </c>
      <c r="M382" s="58" t="n"/>
      <c r="N382" s="17" t="n"/>
    </row>
    <row r="383">
      <c r="B383" s="3" t="inlineStr">
        <is>
          <t>PYXS</t>
        </is>
      </c>
      <c r="C383" t="inlineStr">
        <is>
          <t>Pyxis Oncology Inc</t>
        </is>
      </c>
      <c r="D383" t="inlineStr">
        <is>
          <t>Biotechnology</t>
        </is>
      </c>
      <c r="E383" s="6" t="inlineStr">
        <is>
          <t>NASDAQ</t>
        </is>
      </c>
      <c r="F383" s="1" t="n">
        <v>1.84</v>
      </c>
      <c r="G383" s="8">
        <f>F383*[381]Main!$C$4</f>
        <v/>
      </c>
      <c r="H383" s="10">
        <f>G383-[381]Main!$C$7+[381]Main!$C$8</f>
        <v/>
      </c>
      <c r="J383" s="1">
        <f>IF(ISNUMBER([381]Main!$C$11),[381]Main!$C$11,"")</f>
        <v/>
      </c>
      <c r="K383" s="57">
        <f>IFERROR(J383/F383-1,"")</f>
        <v/>
      </c>
      <c r="L383" s="12">
        <f>[381]Main!$C$15&amp;" ("&amp;[381]Main!$C$14&amp;")"</f>
        <v/>
      </c>
      <c r="M383" s="58" t="n">
        <v>46328</v>
      </c>
      <c r="N383" s="17" t="inlineStr">
        <is>
          <t>Earnings Nov 2 (est.) · Readout ~2027-04-25: Solid tumors (basket), Phase 1/2</t>
        </is>
      </c>
    </row>
    <row r="384">
      <c r="B384" s="3" t="inlineStr">
        <is>
          <t>CNTN</t>
        </is>
      </c>
      <c r="C384" t="inlineStr">
        <is>
          <t>Canton Strategic Holdings Inc</t>
        </is>
      </c>
      <c r="D384" t="inlineStr">
        <is>
          <t>Biotechnology</t>
        </is>
      </c>
      <c r="E384" s="6" t="inlineStr">
        <is>
          <t>NASDAQ</t>
        </is>
      </c>
      <c r="F384" s="1" t="n">
        <v>1.73</v>
      </c>
      <c r="G384" s="8">
        <f>F384*[382]Main!$C$4</f>
        <v/>
      </c>
      <c r="H384" s="10">
        <f>G384-[382]Main!$C$7+[382]Main!$C$8</f>
        <v/>
      </c>
      <c r="J384" s="1">
        <f>IF(ISNUMBER([382]Main!$C$11),[382]Main!$C$11,"")</f>
        <v/>
      </c>
      <c r="K384" s="57">
        <f>IFERROR(J384/F384-1,"")</f>
        <v/>
      </c>
      <c r="L384" s="12">
        <f>[382]Main!$C$15&amp;" ("&amp;[382]Main!$C$14&amp;")"</f>
        <v/>
      </c>
      <c r="M384" s="58" t="n">
        <v>46337</v>
      </c>
      <c r="N384" s="17" t="inlineStr">
        <is>
          <t>Earnings Nov 11 (est.)</t>
        </is>
      </c>
    </row>
    <row r="385">
      <c r="B385" s="3" t="inlineStr">
        <is>
          <t>ALXO</t>
        </is>
      </c>
      <c r="C385" t="inlineStr">
        <is>
          <t>ALX Oncology Holdings Inc</t>
        </is>
      </c>
      <c r="D385" t="inlineStr">
        <is>
          <t>Biotechnology</t>
        </is>
      </c>
      <c r="E385" s="6" t="inlineStr">
        <is>
          <t>NASDAQ</t>
        </is>
      </c>
      <c r="F385" s="1" t="n">
        <v>1.14</v>
      </c>
      <c r="G385" s="8">
        <f>F385*[383]Main!$C$4</f>
        <v/>
      </c>
      <c r="H385" s="10">
        <f>G385-[383]Main!$C$7+[383]Main!$C$8</f>
        <v/>
      </c>
      <c r="J385" s="1">
        <f>IF(ISNUMBER([383]Main!$C$11),[383]Main!$C$11,"")</f>
        <v/>
      </c>
      <c r="K385" s="57">
        <f>IFERROR(J385/F385-1,"")</f>
        <v/>
      </c>
      <c r="L385" s="12">
        <f>[383]Main!$C$15&amp;" ("&amp;[383]Main!$C$14&amp;")"</f>
        <v/>
      </c>
      <c r="M385" s="58" t="n">
        <v>46332</v>
      </c>
      <c r="N385" s="17" t="inlineStr">
        <is>
          <t>Earnings Nov 6 (est.) · Readout ~2027-06: Head and neck cancer, Phase 2</t>
        </is>
      </c>
    </row>
    <row r="386">
      <c r="B386" s="3" t="inlineStr">
        <is>
          <t>NBP</t>
        </is>
      </c>
      <c r="C386" t="inlineStr">
        <is>
          <t>NovaBridge Biosciences</t>
        </is>
      </c>
      <c r="D386" t="inlineStr">
        <is>
          <t>Biotechnology</t>
        </is>
      </c>
      <c r="E386" s="6" t="inlineStr">
        <is>
          <t>NASDAQ</t>
        </is>
      </c>
      <c r="F386" s="1" t="n">
        <v>1.425</v>
      </c>
      <c r="G386" s="8">
        <f>F386*[384]Main!$C$4</f>
        <v/>
      </c>
      <c r="H386" s="10">
        <f>G386-[384]Main!$C$7+[384]Main!$C$8</f>
        <v/>
      </c>
      <c r="J386" s="1">
        <f>IF(ISNUMBER([384]Main!$C$11),[384]Main!$C$11,"")</f>
        <v/>
      </c>
      <c r="K386" s="57">
        <f>IFERROR(J386/F386-1,"")</f>
        <v/>
      </c>
      <c r="L386" s="12">
        <f>[384]Main!$C$15&amp;" ("&amp;[384]Main!$C$14&amp;")"</f>
        <v/>
      </c>
      <c r="M386" s="58" t="n"/>
      <c r="N386" s="17" t="n"/>
    </row>
    <row r="387">
      <c r="B387" s="3" t="inlineStr">
        <is>
          <t>CURX</t>
        </is>
      </c>
      <c r="C387" t="inlineStr">
        <is>
          <t>Curanex Pharmaceuticals Inc</t>
        </is>
      </c>
      <c r="D387" t="inlineStr">
        <is>
          <t>Pharmaceuticals</t>
        </is>
      </c>
      <c r="E387" s="6" t="inlineStr">
        <is>
          <t>NASDAQ</t>
        </is>
      </c>
      <c r="F387" s="1" t="n">
        <v>4.92</v>
      </c>
      <c r="G387" s="8">
        <f>F387*[385]Main!$C$4</f>
        <v/>
      </c>
      <c r="H387" s="10">
        <f>G387-[385]Main!$C$7+[385]Main!$C$8</f>
        <v/>
      </c>
      <c r="J387" s="1">
        <f>IF(ISNUMBER([385]Main!$C$11),[385]Main!$C$11,"")</f>
        <v/>
      </c>
      <c r="K387" s="57">
        <f>IFERROR(J387/F387-1,"")</f>
        <v/>
      </c>
      <c r="L387" s="12">
        <f>[385]Main!$C$15&amp;" ("&amp;[385]Main!$C$14&amp;")"</f>
        <v/>
      </c>
      <c r="M387" s="58" t="n">
        <v>46339</v>
      </c>
      <c r="N387" s="17" t="inlineStr">
        <is>
          <t>Earnings Nov 13 (est.)</t>
        </is>
      </c>
    </row>
    <row r="388">
      <c r="B388" s="3" t="inlineStr">
        <is>
          <t>MOLN</t>
        </is>
      </c>
      <c r="C388" t="inlineStr">
        <is>
          <t>Molecular Partners AG</t>
        </is>
      </c>
      <c r="D388" t="inlineStr">
        <is>
          <t>Biotechnology</t>
        </is>
      </c>
      <c r="E388" s="6" t="inlineStr">
        <is>
          <t>NASDAQ</t>
        </is>
      </c>
      <c r="F388" s="1" t="n">
        <v>3.7</v>
      </c>
      <c r="G388" s="8">
        <f>F388*[386]Main!$C$4</f>
        <v/>
      </c>
      <c r="H388" s="10">
        <f>G388-[386]Main!$C$7+[386]Main!$C$8</f>
        <v/>
      </c>
      <c r="J388" s="1">
        <f>IF(ISNUMBER([386]Main!$C$11),[386]Main!$C$11,"")</f>
        <v/>
      </c>
      <c r="K388" s="57">
        <f>IFERROR(J388/F388-1,"")</f>
        <v/>
      </c>
      <c r="L388" s="12">
        <f>[386]Main!$C$15&amp;" ("&amp;[386]Main!$C$14&amp;")"</f>
        <v/>
      </c>
      <c r="M388" s="58" t="n">
        <v>46324</v>
      </c>
      <c r="N388" s="17" t="inlineStr">
        <is>
          <t>Earnings Oct 29 (before open) · Readout ~2028-09: Thyroid / neuroendocrine cancer, Phase 1/2</t>
        </is>
      </c>
    </row>
    <row r="389">
      <c r="B389" s="3" t="inlineStr">
        <is>
          <t>DERM</t>
        </is>
      </c>
      <c r="C389" t="inlineStr">
        <is>
          <t>Journey Medical Corp</t>
        </is>
      </c>
      <c r="D389" t="inlineStr">
        <is>
          <t>Pharmaceuticals</t>
        </is>
      </c>
      <c r="E389" s="6" t="inlineStr">
        <is>
          <t>NASDAQ</t>
        </is>
      </c>
      <c r="F389" s="1" t="n">
        <v>5.22</v>
      </c>
      <c r="G389" s="8">
        <f>F389*[387]Main!$C$4</f>
        <v/>
      </c>
      <c r="H389" s="10">
        <f>G389-[387]Main!$C$7+[387]Main!$C$8</f>
        <v/>
      </c>
      <c r="J389" s="1">
        <f>IF(ISNUMBER([387]Main!$C$11),[387]Main!$C$11,"")</f>
        <v/>
      </c>
      <c r="K389" s="57">
        <f>IFERROR(J389/F389-1,"")</f>
        <v/>
      </c>
      <c r="L389" s="12">
        <f>[387]Main!$C$15&amp;" ("&amp;[387]Main!$C$14&amp;")"</f>
        <v/>
      </c>
      <c r="M389" s="58" t="n">
        <v>46337</v>
      </c>
      <c r="N389" s="17" t="inlineStr">
        <is>
          <t>Earnings Nov 11 (est.)</t>
        </is>
      </c>
    </row>
    <row r="390">
      <c r="B390" s="3" t="inlineStr">
        <is>
          <t>IPHA</t>
        </is>
      </c>
      <c r="C390" t="inlineStr">
        <is>
          <t>Innate Pharma SA</t>
        </is>
      </c>
      <c r="D390" t="inlineStr">
        <is>
          <t>Biotechnology</t>
        </is>
      </c>
      <c r="E390" s="6" t="inlineStr">
        <is>
          <t>NASDAQ</t>
        </is>
      </c>
      <c r="F390" s="1" t="n">
        <v>1.578</v>
      </c>
      <c r="G390" s="8">
        <f>F390*[388]Main!$C$4</f>
        <v/>
      </c>
      <c r="H390" s="10">
        <f>G390-[388]Main!$C$7+[388]Main!$C$8</f>
        <v/>
      </c>
      <c r="J390" s="1">
        <f>IF(ISNUMBER([388]Main!$C$11),[388]Main!$C$11,"")</f>
        <v/>
      </c>
      <c r="K390" s="57">
        <f>IFERROR(J390/F390-1,"")</f>
        <v/>
      </c>
      <c r="L390" s="12">
        <f>[388]Main!$C$15&amp;" ("&amp;[388]Main!$C$14&amp;")"</f>
        <v/>
      </c>
      <c r="M390" s="58" t="n"/>
      <c r="N390" s="17" t="inlineStr">
        <is>
          <t>Readout ~2027-06: Lung cancer, Phase 2</t>
        </is>
      </c>
    </row>
    <row r="391">
      <c r="B391" s="3" t="inlineStr">
        <is>
          <t>TARA</t>
        </is>
      </c>
      <c r="C391" t="inlineStr">
        <is>
          <t>Protara Therapeutics Inc</t>
        </is>
      </c>
      <c r="D391" t="inlineStr">
        <is>
          <t>Biotechnology</t>
        </is>
      </c>
      <c r="E391" s="6" t="inlineStr">
        <is>
          <t>NASDAQ</t>
        </is>
      </c>
      <c r="F391" s="1" t="n">
        <v>2.56</v>
      </c>
      <c r="G391" s="8">
        <f>F391*[389]Main!$C$4</f>
        <v/>
      </c>
      <c r="H391" s="10">
        <f>G391-[389]Main!$C$7+[389]Main!$C$8</f>
        <v/>
      </c>
      <c r="J391" s="1">
        <f>IF(ISNUMBER([389]Main!$C$11),[389]Main!$C$11,"")</f>
        <v/>
      </c>
      <c r="K391" s="57">
        <f>IFERROR(J391/F391-1,"")</f>
        <v/>
      </c>
      <c r="L391" s="12">
        <f>[389]Main!$C$15&amp;" ("&amp;[389]Main!$C$14&amp;")"</f>
        <v/>
      </c>
      <c r="M391" s="58" t="n">
        <v>46335</v>
      </c>
      <c r="N391" s="17" t="inlineStr">
        <is>
          <t>Earnings Nov 9 (est.) · Readout ~2028-04: Bladder / urothelial cancer, Phase 3</t>
        </is>
      </c>
    </row>
    <row r="392">
      <c r="B392" s="3" t="inlineStr">
        <is>
          <t>RNA</t>
        </is>
      </c>
      <c r="C392" t="inlineStr">
        <is>
          <t>Atrium Therapeutics Inc</t>
        </is>
      </c>
      <c r="D392" t="inlineStr">
        <is>
          <t>Biotechnology</t>
        </is>
      </c>
      <c r="E392" s="6" t="inlineStr">
        <is>
          <t>NASDAQ</t>
        </is>
      </c>
      <c r="F392" s="1" t="n">
        <v>7.98</v>
      </c>
      <c r="G392" s="8">
        <f>F392*[390]Main!$C$4</f>
        <v/>
      </c>
      <c r="H392" s="10">
        <f>G392-[390]Main!$C$7+[390]Main!$C$8</f>
        <v/>
      </c>
      <c r="J392" s="1">
        <f>IF(ISNUMBER([390]Main!$C$11),[390]Main!$C$11,"")</f>
        <v/>
      </c>
      <c r="K392" s="57">
        <f>IFERROR(J392/F392-1,"")</f>
        <v/>
      </c>
      <c r="L392" s="12">
        <f>[390]Main!$C$15&amp;" ("&amp;[390]Main!$C$14&amp;")"</f>
        <v/>
      </c>
      <c r="M392" s="58" t="n">
        <v>46338</v>
      </c>
      <c r="N392" s="17" t="inlineStr">
        <is>
          <t>Earnings Nov 12 (est.) · Readout ~2028-05: Cardiomyopathy, Phase 1/2</t>
        </is>
      </c>
    </row>
    <row r="393">
      <c r="B393" s="3" t="inlineStr">
        <is>
          <t>NKTX</t>
        </is>
      </c>
      <c r="C393" t="inlineStr">
        <is>
          <t>Nkarta, Inc.</t>
        </is>
      </c>
      <c r="D393" t="inlineStr">
        <is>
          <t>Biotechnology</t>
        </is>
      </c>
      <c r="E393" s="6" t="inlineStr">
        <is>
          <t>NASDAQ</t>
        </is>
      </c>
      <c r="F393" s="1" t="n">
        <v>1.74</v>
      </c>
      <c r="G393" s="8">
        <f>F393*[391]Main!$C$4</f>
        <v/>
      </c>
      <c r="H393" s="10">
        <f>G393-[391]Main!$C$7+[391]Main!$C$8</f>
        <v/>
      </c>
      <c r="J393" s="1">
        <f>IF(ISNUMBER([391]Main!$C$11),[391]Main!$C$11,"")</f>
        <v/>
      </c>
      <c r="K393" s="57">
        <f>IFERROR(J393/F393-1,"")</f>
        <v/>
      </c>
      <c r="L393" s="12">
        <f>[391]Main!$C$15&amp;" ("&amp;[391]Main!$C$14&amp;")"</f>
        <v/>
      </c>
      <c r="M393" s="58" t="n">
        <v>46335</v>
      </c>
      <c r="N393" s="17" t="inlineStr">
        <is>
          <t>Earnings Nov 9 (est.) · Readout ~2027-04: Lupus / Sjogren's, Phase 1/2</t>
        </is>
      </c>
    </row>
    <row r="394">
      <c r="B394" s="3" t="inlineStr">
        <is>
          <t>ORGO</t>
        </is>
      </c>
      <c r="C394" t="inlineStr">
        <is>
          <t>Organogenesis Holdings Inc.</t>
        </is>
      </c>
      <c r="D394" t="inlineStr">
        <is>
          <t>Biotechnology</t>
        </is>
      </c>
      <c r="E394" s="6" t="inlineStr">
        <is>
          <t>NASDAQ</t>
        </is>
      </c>
      <c r="F394" s="1" t="n">
        <v>1.02</v>
      </c>
      <c r="G394" s="8">
        <f>F394*[392]Main!$C$4</f>
        <v/>
      </c>
      <c r="H394" s="10">
        <f>G394-[392]Main!$C$7+[392]Main!$C$8</f>
        <v/>
      </c>
      <c r="J394" s="1">
        <f>IF(ISNUMBER([392]Main!$C$11),[392]Main!$C$11,"")</f>
        <v/>
      </c>
      <c r="K394" s="57">
        <f>IFERROR(J394/F394-1,"")</f>
        <v/>
      </c>
      <c r="L394" s="12">
        <f>[392]Main!$C$15&amp;" ("&amp;[392]Main!$C$14&amp;")"</f>
        <v/>
      </c>
      <c r="M394" s="58" t="n">
        <v>46331</v>
      </c>
      <c r="N394" s="17" t="inlineStr">
        <is>
          <t>Earnings Nov 5 (after close)</t>
        </is>
      </c>
    </row>
    <row r="395">
      <c r="B395" s="3" t="inlineStr">
        <is>
          <t>ANTX</t>
        </is>
      </c>
      <c r="C395" t="inlineStr">
        <is>
          <t>AN2 Therapeutics Inc</t>
        </is>
      </c>
      <c r="D395" t="inlineStr">
        <is>
          <t>Pharmaceuticals</t>
        </is>
      </c>
      <c r="E395" s="6" t="inlineStr">
        <is>
          <t>NASDAQ</t>
        </is>
      </c>
      <c r="F395" s="1" t="n">
        <v>3.56</v>
      </c>
      <c r="G395" s="8">
        <f>F395*[393]Main!$C$4</f>
        <v/>
      </c>
      <c r="H395" s="10">
        <f>G395-[393]Main!$C$7+[393]Main!$C$8</f>
        <v/>
      </c>
      <c r="J395" s="1">
        <f>IF(ISNUMBER([393]Main!$C$11),[393]Main!$C$11,"")</f>
        <v/>
      </c>
      <c r="K395" s="57">
        <f>IFERROR(J395/F395-1,"")</f>
        <v/>
      </c>
      <c r="L395" s="12">
        <f>[393]Main!$C$15&amp;" ("&amp;[393]Main!$C$14&amp;")"</f>
        <v/>
      </c>
      <c r="M395" s="58" t="n">
        <v>46337</v>
      </c>
      <c r="N395" s="17" t="inlineStr">
        <is>
          <t>Earnings Nov 11 (est.)</t>
        </is>
      </c>
    </row>
    <row r="396">
      <c r="B396" s="3" t="inlineStr">
        <is>
          <t>NGEN</t>
        </is>
      </c>
      <c r="C396" t="inlineStr">
        <is>
          <t>NervGen Pharma Corp</t>
        </is>
      </c>
      <c r="D396" t="inlineStr">
        <is>
          <t>Pharmaceuticals</t>
        </is>
      </c>
      <c r="E396" s="6" t="inlineStr">
        <is>
          <t>NASDAQ</t>
        </is>
      </c>
      <c r="F396" s="1" t="n">
        <v>1.54</v>
      </c>
      <c r="G396" s="8">
        <f>F396*[394]Main!$C$4</f>
        <v/>
      </c>
      <c r="H396" s="10">
        <f>G396-[394]Main!$C$7+[394]Main!$C$8</f>
        <v/>
      </c>
      <c r="J396" s="1">
        <f>IF(ISNUMBER([394]Main!$C$11),[394]Main!$C$11,"")</f>
        <v/>
      </c>
      <c r="K396" s="57">
        <f>IFERROR(J396/F396-1,"")</f>
        <v/>
      </c>
      <c r="L396" s="12">
        <f>[394]Main!$C$15&amp;" ("&amp;[394]Main!$C$14&amp;")"</f>
        <v/>
      </c>
      <c r="M396" s="58" t="n">
        <v>46338</v>
      </c>
      <c r="N396" s="17" t="inlineStr">
        <is>
          <t>Earnings Nov 12 (est.)</t>
        </is>
      </c>
    </row>
    <row r="397">
      <c r="B397" s="3" t="inlineStr">
        <is>
          <t>ARMP</t>
        </is>
      </c>
      <c r="C397" t="inlineStr">
        <is>
          <t>Armata Pharmaceuticals, Inc.</t>
        </is>
      </c>
      <c r="D397" t="inlineStr">
        <is>
          <t>Biotechnology</t>
        </is>
      </c>
      <c r="E397" s="6" t="inlineStr">
        <is>
          <t>NYSE</t>
        </is>
      </c>
      <c r="F397" s="1" t="n">
        <v>3.18</v>
      </c>
      <c r="G397" s="8">
        <f>F397*[395]Main!$C$4</f>
        <v/>
      </c>
      <c r="H397" s="10">
        <f>G397-[395]Main!$C$7+[395]Main!$C$8</f>
        <v/>
      </c>
      <c r="J397" s="1">
        <f>IF(ISNUMBER([395]Main!$C$11),[395]Main!$C$11,"")</f>
        <v/>
      </c>
      <c r="K397" s="57">
        <f>IFERROR(J397/F397-1,"")</f>
        <v/>
      </c>
      <c r="L397" s="12">
        <f>[395]Main!$C$15&amp;" ("&amp;[395]Main!$C$14&amp;")"</f>
        <v/>
      </c>
      <c r="M397" s="58" t="n">
        <v>46337</v>
      </c>
      <c r="N397" s="17" t="inlineStr">
        <is>
          <t>Earnings Nov 11 (est.)</t>
        </is>
      </c>
    </row>
    <row r="398">
      <c r="B398" s="3" t="inlineStr">
        <is>
          <t>KRRO</t>
        </is>
      </c>
      <c r="C398" t="inlineStr">
        <is>
          <t>Korro Bio, Inc.</t>
        </is>
      </c>
      <c r="D398" t="inlineStr">
        <is>
          <t>Biotechnology</t>
        </is>
      </c>
      <c r="E398" s="6" t="inlineStr">
        <is>
          <t>NASDAQ</t>
        </is>
      </c>
      <c r="F398" s="1" t="n">
        <v>9.44</v>
      </c>
      <c r="G398" s="8">
        <f>F398*[396]Main!$C$4</f>
        <v/>
      </c>
      <c r="H398" s="10">
        <f>G398-[396]Main!$C$7+[396]Main!$C$8</f>
        <v/>
      </c>
      <c r="J398" s="1">
        <f>IF(ISNUMBER([396]Main!$C$11),[396]Main!$C$11,"")</f>
        <v/>
      </c>
      <c r="K398" s="57">
        <f>IFERROR(J398/F398-1,"")</f>
        <v/>
      </c>
      <c r="L398" s="12">
        <f>[396]Main!$C$15&amp;" ("&amp;[396]Main!$C$14&amp;")"</f>
        <v/>
      </c>
      <c r="M398" s="58" t="n">
        <v>46337</v>
      </c>
      <c r="N398" s="17" t="inlineStr">
        <is>
          <t>Earnings Nov 11 (est.) · Readout ~2027-08: Rare metabolic / lysosomal, Phase 1/2</t>
        </is>
      </c>
    </row>
    <row r="399">
      <c r="B399" s="3" t="inlineStr">
        <is>
          <t>ABOS</t>
        </is>
      </c>
      <c r="C399" t="inlineStr">
        <is>
          <t>Acumen Pharmaceuticals Inc</t>
        </is>
      </c>
      <c r="D399" t="inlineStr">
        <is>
          <t>Biotechnology</t>
        </is>
      </c>
      <c r="E399" s="6" t="inlineStr">
        <is>
          <t>NASDAQ</t>
        </is>
      </c>
      <c r="F399" s="1" t="n">
        <v>2.015</v>
      </c>
      <c r="G399" s="8">
        <f>F399*[397]Main!$C$4</f>
        <v/>
      </c>
      <c r="H399" s="10">
        <f>G399-[397]Main!$C$7+[397]Main!$C$8</f>
        <v/>
      </c>
      <c r="J399" s="1">
        <f>IF(ISNUMBER([397]Main!$C$11),[397]Main!$C$11,"")</f>
        <v/>
      </c>
      <c r="K399" s="57">
        <f>IFERROR(J399/F399-1,"")</f>
        <v/>
      </c>
      <c r="L399" s="12">
        <f>[397]Main!$C$15&amp;" ("&amp;[397]Main!$C$14&amp;")"</f>
        <v/>
      </c>
      <c r="M399" s="58" t="n">
        <v>46337</v>
      </c>
      <c r="N399" s="17" t="inlineStr">
        <is>
          <t>Earnings Nov 11 (est.) · Readout ~2026-10: Alzheimer's disease, Phase 2</t>
        </is>
      </c>
    </row>
    <row r="400">
      <c r="B400" s="3" t="inlineStr">
        <is>
          <t>AVXL</t>
        </is>
      </c>
      <c r="C400" t="inlineStr">
        <is>
          <t>Anavex Life Sciences Corp</t>
        </is>
      </c>
      <c r="D400" t="inlineStr">
        <is>
          <t>Biotechnology</t>
        </is>
      </c>
      <c r="E400" s="6" t="inlineStr">
        <is>
          <t>NASDAQ</t>
        </is>
      </c>
      <c r="F400" s="1" t="n">
        <v>1.36</v>
      </c>
      <c r="G400" s="8">
        <f>F400*[398]Main!$C$4</f>
        <v/>
      </c>
      <c r="H400" s="10">
        <f>G400-[398]Main!$C$7+[398]Main!$C$8</f>
        <v/>
      </c>
      <c r="J400" s="1">
        <f>IF(ISNUMBER([398]Main!$C$11),[398]Main!$C$11,"")</f>
        <v/>
      </c>
      <c r="K400" s="57">
        <f>IFERROR(J400/F400-1,"")</f>
        <v/>
      </c>
      <c r="L400" s="12">
        <f>[398]Main!$C$15&amp;" ("&amp;[398]Main!$C$14&amp;")"</f>
        <v/>
      </c>
      <c r="M400" s="58" t="n">
        <v>46350</v>
      </c>
      <c r="N400" s="17" t="inlineStr">
        <is>
          <t>Earnings Nov 24 (est.)</t>
        </is>
      </c>
    </row>
    <row r="401">
      <c r="B401" s="3" t="inlineStr">
        <is>
          <t>CUE</t>
        </is>
      </c>
      <c r="C401" t="inlineStr">
        <is>
          <t>Cue Biopharma, Inc.</t>
        </is>
      </c>
      <c r="D401" t="inlineStr">
        <is>
          <t>Biotechnology</t>
        </is>
      </c>
      <c r="E401" s="6" t="inlineStr">
        <is>
          <t>NASDAQ</t>
        </is>
      </c>
      <c r="F401" s="1" t="n">
        <v>17.04</v>
      </c>
      <c r="G401" s="8">
        <f>F401*[399]Main!$C$4</f>
        <v/>
      </c>
      <c r="H401" s="10">
        <f>G401-[399]Main!$C$7+[399]Main!$C$8</f>
        <v/>
      </c>
      <c r="J401" s="1">
        <f>IF(ISNUMBER([399]Main!$C$11),[399]Main!$C$11,"")</f>
        <v/>
      </c>
      <c r="K401" s="57">
        <f>IFERROR(J401/F401-1,"")</f>
        <v/>
      </c>
      <c r="L401" s="12">
        <f>[399]Main!$C$15&amp;" ("&amp;[399]Main!$C$14&amp;")"</f>
        <v/>
      </c>
      <c r="M401" s="58" t="n">
        <v>46337</v>
      </c>
      <c r="N401" s="17" t="inlineStr">
        <is>
          <t>Earnings Nov 11 (est.)</t>
        </is>
      </c>
    </row>
    <row r="402">
      <c r="B402" s="3" t="inlineStr">
        <is>
          <t>HUMA</t>
        </is>
      </c>
      <c r="C402" t="inlineStr">
        <is>
          <t>Humacyte Inc</t>
        </is>
      </c>
      <c r="D402" t="inlineStr">
        <is>
          <t>Biotechnology</t>
        </is>
      </c>
      <c r="E402" s="6" t="inlineStr">
        <is>
          <t>NASDAQ</t>
        </is>
      </c>
      <c r="F402" s="1" t="n">
        <v>0.406</v>
      </c>
      <c r="G402" s="8">
        <f>F402*[400]Main!$C$4</f>
        <v/>
      </c>
      <c r="H402" s="10">
        <f>G402-[400]Main!$C$7+[400]Main!$C$8</f>
        <v/>
      </c>
      <c r="J402" s="1">
        <f>IF(ISNUMBER([400]Main!$C$11),[400]Main!$C$11,"")</f>
        <v/>
      </c>
      <c r="K402" s="57">
        <f>IFERROR(J402/F402-1,"")</f>
        <v/>
      </c>
      <c r="L402" s="12">
        <f>[400]Main!$C$15&amp;" ("&amp;[400]Main!$C$14&amp;")"</f>
        <v/>
      </c>
      <c r="M402" s="58" t="n">
        <v>46337</v>
      </c>
      <c r="N402" s="17" t="inlineStr">
        <is>
          <t>Earnings Nov 11 (est.) · Readout ~2027-06: Kidney disease, Phase 3</t>
        </is>
      </c>
    </row>
    <row r="403">
      <c r="B403" s="3" t="inlineStr">
        <is>
          <t>OTLK</t>
        </is>
      </c>
      <c r="C403" t="inlineStr">
        <is>
          <t>Outlook Therapeutics Inc</t>
        </is>
      </c>
      <c r="D403" t="inlineStr">
        <is>
          <t>Biotechnology</t>
        </is>
      </c>
      <c r="E403" s="6" t="inlineStr">
        <is>
          <t>NASDAQ</t>
        </is>
      </c>
      <c r="F403" s="1" t="n">
        <v>0.52</v>
      </c>
      <c r="G403" s="8">
        <f>F403*[401]Main!$C$4</f>
        <v/>
      </c>
      <c r="H403" s="10">
        <f>G403-[401]Main!$C$7+[401]Main!$C$8</f>
        <v/>
      </c>
      <c r="J403" s="1">
        <f>IF(ISNUMBER([401]Main!$C$11),[401]Main!$C$11,"")</f>
        <v/>
      </c>
      <c r="K403" s="57">
        <f>IFERROR(J403/F403-1,"")</f>
        <v/>
      </c>
      <c r="L403" s="12">
        <f>[401]Main!$C$15&amp;" ("&amp;[401]Main!$C$14&amp;")"</f>
        <v/>
      </c>
      <c r="M403" s="58" t="n"/>
      <c r="N403" s="17" t="n"/>
    </row>
    <row r="404">
      <c r="B404" s="3" t="inlineStr">
        <is>
          <t>VYGR</t>
        </is>
      </c>
      <c r="C404" t="inlineStr">
        <is>
          <t>Voyager Therapeutics, Inc.</t>
        </is>
      </c>
      <c r="D404" t="inlineStr">
        <is>
          <t>Biotechnology</t>
        </is>
      </c>
      <c r="E404" s="6" t="inlineStr">
        <is>
          <t>NASDAQ</t>
        </is>
      </c>
      <c r="F404" s="1" t="n">
        <v>2.19</v>
      </c>
      <c r="G404" s="8">
        <f>F404*[402]Main!$C$4</f>
        <v/>
      </c>
      <c r="H404" s="10">
        <f>G404-[402]Main!$C$7+[402]Main!$C$8</f>
        <v/>
      </c>
      <c r="J404" s="1">
        <f>IF(ISNUMBER([402]Main!$C$11),[402]Main!$C$11,"")</f>
        <v/>
      </c>
      <c r="K404" s="57">
        <f>IFERROR(J404/F404-1,"")</f>
        <v/>
      </c>
      <c r="L404" s="12">
        <f>[402]Main!$C$15&amp;" ("&amp;[402]Main!$C$14&amp;")"</f>
        <v/>
      </c>
      <c r="M404" s="58" t="n">
        <v>46335</v>
      </c>
      <c r="N404" s="17" t="inlineStr">
        <is>
          <t>Earnings Nov 9 (est.) · Readout ~2027-05: Alzheimer's disease, Phase 1/2</t>
        </is>
      </c>
    </row>
    <row r="405">
      <c r="B405" s="3" t="inlineStr">
        <is>
          <t>SPRB</t>
        </is>
      </c>
      <c r="C405" t="inlineStr">
        <is>
          <t>Spruce Biosciences, Inc.</t>
        </is>
      </c>
      <c r="D405" t="inlineStr">
        <is>
          <t>Biotechnology</t>
        </is>
      </c>
      <c r="E405" s="6" t="inlineStr">
        <is>
          <t>NASDAQ</t>
        </is>
      </c>
      <c r="F405" s="1" t="n">
        <v>41.23</v>
      </c>
      <c r="G405" s="8">
        <f>F405*[403]Main!$C$4</f>
        <v/>
      </c>
      <c r="H405" s="10">
        <f>G405-[403]Main!$C$7+[403]Main!$C$8</f>
        <v/>
      </c>
      <c r="J405" s="1">
        <f>IF(ISNUMBER([403]Main!$C$11),[403]Main!$C$11,"")</f>
        <v/>
      </c>
      <c r="K405" s="57">
        <f>IFERROR(J405/F405-1,"")</f>
        <v/>
      </c>
      <c r="L405" s="12">
        <f>[403]Main!$C$15&amp;" ("&amp;[403]Main!$C$14&amp;")"</f>
        <v/>
      </c>
      <c r="M405" s="58" t="n">
        <v>46335</v>
      </c>
      <c r="N405" s="17" t="inlineStr">
        <is>
          <t>Earnings Nov 9 (est.)</t>
        </is>
      </c>
    </row>
    <row r="406">
      <c r="B406" s="3" t="inlineStr">
        <is>
          <t>NRXP</t>
        </is>
      </c>
      <c r="C406" t="inlineStr">
        <is>
          <t>NRX Pharmaceuticals Inc</t>
        </is>
      </c>
      <c r="D406" t="inlineStr">
        <is>
          <t>Pharmaceuticals</t>
        </is>
      </c>
      <c r="E406" s="6" t="inlineStr">
        <is>
          <t>NASDAQ</t>
        </is>
      </c>
      <c r="F406" s="1" t="n">
        <v>2.62</v>
      </c>
      <c r="G406" s="8">
        <f>F406*[404]Main!$C$4</f>
        <v/>
      </c>
      <c r="H406" s="10">
        <f>G406-[404]Main!$C$7+[404]Main!$C$8</f>
        <v/>
      </c>
      <c r="J406" s="1">
        <f>IF(ISNUMBER([404]Main!$C$11),[404]Main!$C$11,"")</f>
        <v/>
      </c>
      <c r="K406" s="57">
        <f>IFERROR(J406/F406-1,"")</f>
        <v/>
      </c>
      <c r="L406" s="12">
        <f>[404]Main!$C$15&amp;" ("&amp;[404]Main!$C$14&amp;")"</f>
        <v/>
      </c>
      <c r="M406" s="58" t="n">
        <v>46339</v>
      </c>
      <c r="N406" s="17" t="inlineStr">
        <is>
          <t>Earnings Nov 13 (est.)</t>
        </is>
      </c>
    </row>
    <row r="407">
      <c r="B407" s="3" t="inlineStr">
        <is>
          <t>NERV</t>
        </is>
      </c>
      <c r="C407" t="inlineStr">
        <is>
          <t>Minerva Neurosciences, Inc</t>
        </is>
      </c>
      <c r="D407" t="inlineStr">
        <is>
          <t>Biotechnology</t>
        </is>
      </c>
      <c r="E407" s="6" t="inlineStr">
        <is>
          <t>NASDAQ</t>
        </is>
      </c>
      <c r="F407" s="1" t="n">
        <v>2.53</v>
      </c>
      <c r="G407" s="8">
        <f>F407*[405]Main!$C$4</f>
        <v/>
      </c>
      <c r="H407" s="10">
        <f>G407-[405]Main!$C$7+[405]Main!$C$8</f>
        <v/>
      </c>
      <c r="J407" s="1">
        <f>IF(ISNUMBER([405]Main!$C$11),[405]Main!$C$11,"")</f>
        <v/>
      </c>
      <c r="K407" s="57">
        <f>IFERROR(J407/F407-1,"")</f>
        <v/>
      </c>
      <c r="L407" s="12">
        <f>[405]Main!$C$15&amp;" ("&amp;[405]Main!$C$14&amp;")"</f>
        <v/>
      </c>
      <c r="M407" s="58" t="n">
        <v>46330</v>
      </c>
      <c r="N407" s="17" t="inlineStr">
        <is>
          <t>Earnings Nov 4 (est.) · Readout ~2027-12: Schizophrenia / psychosis, Phase 3</t>
        </is>
      </c>
    </row>
    <row r="408">
      <c r="B408" s="3" t="inlineStr">
        <is>
          <t>HURA</t>
        </is>
      </c>
      <c r="C408" t="inlineStr">
        <is>
          <t>TuHURA Biosciences Inc</t>
        </is>
      </c>
      <c r="D408" t="inlineStr">
        <is>
          <t>Biotechnology</t>
        </is>
      </c>
      <c r="E408" s="6" t="inlineStr">
        <is>
          <t>NASDAQ</t>
        </is>
      </c>
      <c r="F408" s="1" t="n">
        <v>1.76</v>
      </c>
      <c r="G408" s="8">
        <f>F408*[406]Main!$C$4</f>
        <v/>
      </c>
      <c r="H408" s="10">
        <f>G408-[406]Main!$C$7+[406]Main!$C$8</f>
        <v/>
      </c>
      <c r="J408" s="1">
        <f>IF(ISNUMBER([406]Main!$C$11),[406]Main!$C$11,"")</f>
        <v/>
      </c>
      <c r="K408" s="57">
        <f>IFERROR(J408/F408-1,"")</f>
        <v/>
      </c>
      <c r="L408" s="12">
        <f>[406]Main!$C$15&amp;" ("&amp;[406]Main!$C$14&amp;")"</f>
        <v/>
      </c>
      <c r="M408" s="58" t="n">
        <v>46339</v>
      </c>
      <c r="N408" s="17" t="inlineStr">
        <is>
          <t>Earnings Nov 13 (est.) · Readout ~2027-03-31: Solid tumors (basket), Phase 2/3</t>
        </is>
      </c>
    </row>
    <row r="409">
      <c r="B409" s="3" t="inlineStr">
        <is>
          <t>ENGN</t>
        </is>
      </c>
      <c r="C409" t="inlineStr">
        <is>
          <t>enGene Therapeutics Inc.</t>
        </is>
      </c>
      <c r="D409" t="inlineStr">
        <is>
          <t>Biotechnology</t>
        </is>
      </c>
      <c r="E409" s="6" t="inlineStr">
        <is>
          <t>NASDAQ</t>
        </is>
      </c>
      <c r="F409" s="1" t="n">
        <v>1.67</v>
      </c>
      <c r="G409" s="8">
        <f>F409*[407]Main!$C$4</f>
        <v/>
      </c>
      <c r="H409" s="10">
        <f>G409-[407]Main!$C$7+[407]Main!$C$8</f>
        <v/>
      </c>
      <c r="J409" s="1">
        <f>IF(ISNUMBER([407]Main!$C$11),[407]Main!$C$11,"")</f>
        <v/>
      </c>
      <c r="K409" s="57">
        <f>IFERROR(J409/F409-1,"")</f>
        <v/>
      </c>
      <c r="L409" s="12">
        <f>[407]Main!$C$15&amp;" ("&amp;[407]Main!$C$14&amp;")"</f>
        <v/>
      </c>
      <c r="M409" s="58" t="n"/>
      <c r="N409" s="17" t="inlineStr">
        <is>
          <t>Readout ~2028-04-30: Bladder / urothelial cancer, Phase 1/2</t>
        </is>
      </c>
    </row>
    <row r="410">
      <c r="B410" s="3" t="inlineStr">
        <is>
          <t>CRDL</t>
        </is>
      </c>
      <c r="C410" t="inlineStr">
        <is>
          <t>Cardiol Therapeutics Inc</t>
        </is>
      </c>
      <c r="D410" t="inlineStr">
        <is>
          <t>Pharmaceuticals</t>
        </is>
      </c>
      <c r="E410" s="6" t="inlineStr">
        <is>
          <t>NASDAQ</t>
        </is>
      </c>
      <c r="F410" s="1" t="n">
        <v>1.15</v>
      </c>
      <c r="G410" s="8">
        <f>F410*[408]Main!$C$4</f>
        <v/>
      </c>
      <c r="H410" s="10">
        <f>G410-[408]Main!$C$7+[408]Main!$C$8</f>
        <v/>
      </c>
      <c r="J410" s="1">
        <f>IF(ISNUMBER([408]Main!$C$11),[408]Main!$C$11,"")</f>
        <v/>
      </c>
      <c r="K410" s="57">
        <f>IFERROR(J410/F410-1,"")</f>
        <v/>
      </c>
      <c r="L410" s="12">
        <f>[408]Main!$C$15&amp;" ("&amp;[408]Main!$C$14&amp;")"</f>
        <v/>
      </c>
      <c r="M410" s="58" t="n">
        <v>46338</v>
      </c>
      <c r="N410" s="17" t="inlineStr">
        <is>
          <t>Earnings Nov 12 (est.)</t>
        </is>
      </c>
    </row>
    <row r="411">
      <c r="B411" s="3" t="inlineStr">
        <is>
          <t>FHTX</t>
        </is>
      </c>
      <c r="C411" t="inlineStr">
        <is>
          <t>Foghorn Therapeutics Inc.</t>
        </is>
      </c>
      <c r="D411" t="inlineStr">
        <is>
          <t>Biotechnology</t>
        </is>
      </c>
      <c r="E411" s="6" t="inlineStr">
        <is>
          <t>NASDAQ</t>
        </is>
      </c>
      <c r="F411" s="1" t="n">
        <v>2.01</v>
      </c>
      <c r="G411" s="8">
        <f>F411*[409]Main!$C$4</f>
        <v/>
      </c>
      <c r="H411" s="10">
        <f>G411-[409]Main!$C$7+[409]Main!$C$8</f>
        <v/>
      </c>
      <c r="J411" s="1">
        <f>IF(ISNUMBER([409]Main!$C$11),[409]Main!$C$11,"")</f>
        <v/>
      </c>
      <c r="K411" s="57">
        <f>IFERROR(J411/F411-1,"")</f>
        <v/>
      </c>
      <c r="L411" s="12">
        <f>[409]Main!$C$15&amp;" ("&amp;[409]Main!$C$14&amp;")"</f>
        <v/>
      </c>
      <c r="M411" s="58" t="n">
        <v>46330</v>
      </c>
      <c r="N411" s="17" t="inlineStr">
        <is>
          <t>Earnings Nov 4 (est.)</t>
        </is>
      </c>
    </row>
    <row r="412">
      <c r="B412" s="3" t="inlineStr">
        <is>
          <t>GNLX</t>
        </is>
      </c>
      <c r="C412" t="inlineStr">
        <is>
          <t>Genelux Corporation</t>
        </is>
      </c>
      <c r="D412" t="inlineStr">
        <is>
          <t>Biotechnology</t>
        </is>
      </c>
      <c r="E412" s="6" t="inlineStr">
        <is>
          <t>NASDAQ</t>
        </is>
      </c>
      <c r="F412" s="1" t="n">
        <v>2.5</v>
      </c>
      <c r="G412" s="8">
        <f>F412*[410]Main!$C$4</f>
        <v/>
      </c>
      <c r="H412" s="10">
        <f>G412-[410]Main!$C$7+[410]Main!$C$8</f>
        <v/>
      </c>
      <c r="J412" s="1">
        <f>IF(ISNUMBER([410]Main!$C$11),[410]Main!$C$11,"")</f>
        <v/>
      </c>
      <c r="K412" s="57">
        <f>IFERROR(J412/F412-1,"")</f>
        <v/>
      </c>
      <c r="L412" s="12">
        <f>[410]Main!$C$15&amp;" ("&amp;[410]Main!$C$14&amp;")"</f>
        <v/>
      </c>
      <c r="M412" s="58" t="n">
        <v>46330</v>
      </c>
      <c r="N412" s="17" t="inlineStr">
        <is>
          <t>Earnings Nov 4 (est.) · Readout ~2026-12: Ovarian cancer, Phase 3</t>
        </is>
      </c>
    </row>
    <row r="413">
      <c r="B413" s="3" t="inlineStr">
        <is>
          <t>PYPD</t>
        </is>
      </c>
      <c r="C413" t="inlineStr">
        <is>
          <t>PolyPid Ltd</t>
        </is>
      </c>
      <c r="D413" t="inlineStr">
        <is>
          <t>Pharmaceuticals</t>
        </is>
      </c>
      <c r="E413" s="6" t="inlineStr">
        <is>
          <t>NASDAQ</t>
        </is>
      </c>
      <c r="F413" s="1" t="n">
        <v>5.15</v>
      </c>
      <c r="G413" s="8">
        <f>F413*[411]Main!$C$4</f>
        <v/>
      </c>
      <c r="H413" s="10">
        <f>G413-[411]Main!$C$7+[411]Main!$C$8</f>
        <v/>
      </c>
      <c r="J413" s="1">
        <f>[411]Main!$C$11</f>
        <v/>
      </c>
      <c r="K413" s="57">
        <f>IFERROR(J413/F413-1,"")</f>
        <v/>
      </c>
      <c r="L413" s="12">
        <f>"rNPV ("&amp;[411]Main!$C$14&amp;")"</f>
        <v/>
      </c>
      <c r="M413" s="58" t="n">
        <v>46354</v>
      </c>
      <c r="N413" s="59" t="inlineStr">
        <is>
          <t>PDUFA Nov 28: D-PLEX₁₀₀ · Earnings Nov 11 (est.)</t>
        </is>
      </c>
    </row>
    <row r="414">
      <c r="B414" s="3" t="inlineStr">
        <is>
          <t>CPIX</t>
        </is>
      </c>
      <c r="C414" t="inlineStr">
        <is>
          <t>Cumberland Pharmaceuticals Inc.</t>
        </is>
      </c>
      <c r="D414" t="inlineStr">
        <is>
          <t>Pharmaceuticals</t>
        </is>
      </c>
      <c r="E414" s="6" t="inlineStr">
        <is>
          <t>NASDAQ</t>
        </is>
      </c>
      <c r="F414" s="1" t="n">
        <v>7.96</v>
      </c>
      <c r="G414" s="8">
        <f>F414*[412]Main!$C$4</f>
        <v/>
      </c>
      <c r="H414" s="10">
        <f>G414-[412]Main!$C$7+[412]Main!$C$8</f>
        <v/>
      </c>
      <c r="J414" s="1">
        <f>IF(ISNUMBER([412]Main!$C$11),[412]Main!$C$11,"")</f>
        <v/>
      </c>
      <c r="K414" s="57">
        <f>IFERROR(J414/F414-1,"")</f>
        <v/>
      </c>
      <c r="L414" s="12">
        <f>[412]Main!$C$15&amp;" ("&amp;[412]Main!$C$14&amp;")"</f>
        <v/>
      </c>
      <c r="M414" s="58" t="n">
        <v>46329</v>
      </c>
      <c r="N414" s="17" t="inlineStr">
        <is>
          <t>Earnings Nov 3 (est.) · Readout ~2028-01: Idiopathic pulmonary fibrosis, Phase 2</t>
        </is>
      </c>
    </row>
    <row r="415">
      <c r="B415" s="3" t="inlineStr">
        <is>
          <t>MSLE</t>
        </is>
      </c>
      <c r="C415" t="inlineStr">
        <is>
          <t>Satellos Bioscience Inc.</t>
        </is>
      </c>
      <c r="D415" t="inlineStr">
        <is>
          <t>Biotechnology</t>
        </is>
      </c>
      <c r="E415" s="6" t="inlineStr">
        <is>
          <t>NASDAQ</t>
        </is>
      </c>
      <c r="F415" s="1" t="n">
        <v>7</v>
      </c>
      <c r="G415" s="8">
        <f>F415*[413]Main!$C$4</f>
        <v/>
      </c>
      <c r="H415" s="10">
        <f>G415-[413]Main!$C$7+[413]Main!$C$8</f>
        <v/>
      </c>
      <c r="J415" s="1">
        <f>IF(ISNUMBER([413]Main!$C$11),[413]Main!$C$11,"")</f>
        <v/>
      </c>
      <c r="K415" s="57">
        <f>IFERROR(J415/F415-1,"")</f>
        <v/>
      </c>
      <c r="L415" s="12">
        <f>[413]Main!$C$15&amp;" ("&amp;[413]Main!$C$14&amp;")"</f>
        <v/>
      </c>
      <c r="M415" s="58" t="n">
        <v>46339</v>
      </c>
      <c r="N415" s="17" t="inlineStr">
        <is>
          <t>Earnings Nov 13 (est.) · Readout ~2027-03-31: Muscular dystrophy / SMA, Phase 2</t>
        </is>
      </c>
    </row>
    <row r="416">
      <c r="B416" s="3" t="inlineStr">
        <is>
          <t>VTVT</t>
        </is>
      </c>
      <c r="C416" t="inlineStr">
        <is>
          <t>vTv Therapeutics Inc</t>
        </is>
      </c>
      <c r="D416" t="inlineStr">
        <is>
          <t>Biotechnology</t>
        </is>
      </c>
      <c r="E416" s="6" t="inlineStr">
        <is>
          <t>NASDAQ</t>
        </is>
      </c>
      <c r="F416" s="1" t="n">
        <v>27.845</v>
      </c>
      <c r="G416" s="8">
        <f>F416*[414]Main!$C$4</f>
        <v/>
      </c>
      <c r="H416" s="10">
        <f>G416-[414]Main!$C$7+[414]Main!$C$8</f>
        <v/>
      </c>
      <c r="J416" s="1">
        <f>IF(ISNUMBER([414]Main!$C$11),[414]Main!$C$11,"")</f>
        <v/>
      </c>
      <c r="K416" s="57">
        <f>IFERROR(J416/F416-1,"")</f>
        <v/>
      </c>
      <c r="L416" s="12">
        <f>[414]Main!$C$15&amp;" ("&amp;[414]Main!$C$14&amp;")"</f>
        <v/>
      </c>
      <c r="M416" s="58" t="n">
        <v>46331</v>
      </c>
      <c r="N416" s="17" t="inlineStr">
        <is>
          <t>Earnings Nov 5 (est.) · Readout ~2027-06: Type 2 diabetes, Phase 2</t>
        </is>
      </c>
    </row>
    <row r="417">
      <c r="B417" s="3" t="inlineStr">
        <is>
          <t>FRNM</t>
        </is>
      </c>
      <c r="C417" t="inlineStr">
        <is>
          <t>Freenome, Inc.</t>
        </is>
      </c>
      <c r="D417" t="inlineStr">
        <is>
          <t>Biotechnology</t>
        </is>
      </c>
      <c r="E417" s="6" t="inlineStr">
        <is>
          <t>NASDAQ</t>
        </is>
      </c>
      <c r="F417" s="1" t="n">
        <v>14.06</v>
      </c>
      <c r="G417" s="8">
        <f>F417*[415]Main!$C$4</f>
        <v/>
      </c>
      <c r="H417" s="10">
        <f>G417-[415]Main!$C$7+[415]Main!$C$8</f>
        <v/>
      </c>
      <c r="J417" s="1">
        <f>IF(ISNUMBER([415]Main!$C$11),[415]Main!$C$11,"")</f>
        <v/>
      </c>
      <c r="K417" s="57">
        <f>IFERROR(J417/F417-1,"")</f>
        <v/>
      </c>
      <c r="L417" s="12">
        <f>[415]Main!$C$15&amp;" ("&amp;[415]Main!$C$14&amp;")"</f>
        <v/>
      </c>
      <c r="M417" s="58" t="n">
        <v>46336</v>
      </c>
      <c r="N417" s="17" t="inlineStr">
        <is>
          <t>Earnings Nov 10 (after close)</t>
        </is>
      </c>
    </row>
    <row r="418">
      <c r="B418" s="3" t="inlineStr">
        <is>
          <t>CLLS</t>
        </is>
      </c>
      <c r="C418" t="inlineStr">
        <is>
          <t>Cellectis SA</t>
        </is>
      </c>
      <c r="D418" t="inlineStr">
        <is>
          <t>Biotechnology</t>
        </is>
      </c>
      <c r="E418" s="6" t="inlineStr">
        <is>
          <t>NASDAQ</t>
        </is>
      </c>
      <c r="F418" s="1" t="n">
        <v>0.99</v>
      </c>
      <c r="G418" s="8">
        <f>F418*[416]Main!$C$4</f>
        <v/>
      </c>
      <c r="H418" s="10">
        <f>G418-[416]Main!$C$7+[416]Main!$C$8</f>
        <v/>
      </c>
      <c r="J418" s="1">
        <f>IF(ISNUMBER([416]Main!$C$11),[416]Main!$C$11,"")</f>
        <v/>
      </c>
      <c r="K418" s="57">
        <f>IFERROR(J418/F418-1,"")</f>
        <v/>
      </c>
      <c r="L418" s="12">
        <f>[416]Main!$C$15&amp;" ("&amp;[416]Main!$C$14&amp;")"</f>
        <v/>
      </c>
      <c r="M418" s="58" t="n">
        <v>46332</v>
      </c>
      <c r="N418" s="17" t="inlineStr">
        <is>
          <t>Earnings Nov 6 (est.)</t>
        </is>
      </c>
    </row>
    <row r="419">
      <c r="B419" s="3" t="inlineStr">
        <is>
          <t>IFRX</t>
        </is>
      </c>
      <c r="C419" t="inlineStr">
        <is>
          <t>InflaRx NV</t>
        </is>
      </c>
      <c r="D419" t="inlineStr">
        <is>
          <t>Biotechnology</t>
        </is>
      </c>
      <c r="E419" s="6" t="inlineStr">
        <is>
          <t>NASDAQ</t>
        </is>
      </c>
      <c r="F419" s="1" t="n">
        <v>1.54</v>
      </c>
      <c r="G419" s="8">
        <f>F419*[417]Main!$C$4</f>
        <v/>
      </c>
      <c r="H419" s="10">
        <f>G419-[417]Main!$C$7+[417]Main!$C$8</f>
        <v/>
      </c>
      <c r="J419" s="1">
        <f>IF(ISNUMBER([417]Main!$C$11),[417]Main!$C$11,"")</f>
        <v/>
      </c>
      <c r="K419" s="57">
        <f>IFERROR(J419/F419-1,"")</f>
        <v/>
      </c>
      <c r="L419" s="12">
        <f>[417]Main!$C$15&amp;" ("&amp;[417]Main!$C$14&amp;")"</f>
        <v/>
      </c>
      <c r="M419" s="58" t="n">
        <v>46335</v>
      </c>
      <c r="N419" s="17" t="inlineStr">
        <is>
          <t>Earnings Nov 9 (est.)</t>
        </is>
      </c>
    </row>
    <row r="420">
      <c r="B420" s="3" t="inlineStr">
        <is>
          <t>TNXP</t>
        </is>
      </c>
      <c r="C420" t="inlineStr">
        <is>
          <t>Tonix Pharmaceuticals Holding Corp.</t>
        </is>
      </c>
      <c r="D420" t="inlineStr">
        <is>
          <t>Biotechnology</t>
        </is>
      </c>
      <c r="E420" s="6" t="inlineStr">
        <is>
          <t>NASDAQ</t>
        </is>
      </c>
      <c r="F420" s="1" t="n">
        <v>5.78</v>
      </c>
      <c r="G420" s="8">
        <f>F420*[418]Main!$C$4</f>
        <v/>
      </c>
      <c r="H420" s="10">
        <f>G420-[418]Main!$C$7+[418]Main!$C$8</f>
        <v/>
      </c>
      <c r="J420" s="1">
        <f>IF(ISNUMBER([418]Main!$C$11),[418]Main!$C$11,"")</f>
        <v/>
      </c>
      <c r="K420" s="57">
        <f>IFERROR(J420/F420-1,"")</f>
        <v/>
      </c>
      <c r="L420" s="12">
        <f>[418]Main!$C$15&amp;" ("&amp;[418]Main!$C$14&amp;")"</f>
        <v/>
      </c>
      <c r="M420" s="58" t="n">
        <v>46335</v>
      </c>
      <c r="N420" s="17" t="inlineStr">
        <is>
          <t>Earnings Nov 9 (est.) · Readout ~2028-02: Depression / mood, Phase 2</t>
        </is>
      </c>
    </row>
    <row r="421">
      <c r="B421" s="3" t="inlineStr">
        <is>
          <t>LENZ</t>
        </is>
      </c>
      <c r="C421" t="inlineStr">
        <is>
          <t>LENZ Therapeutics, Inc.</t>
        </is>
      </c>
      <c r="D421" t="inlineStr">
        <is>
          <t>Pharmaceuticals</t>
        </is>
      </c>
      <c r="E421" s="6" t="inlineStr">
        <is>
          <t>NASDAQ</t>
        </is>
      </c>
      <c r="F421" s="1" t="n">
        <v>3.19</v>
      </c>
      <c r="G421" s="8">
        <f>F421*[419]Main!$C$4</f>
        <v/>
      </c>
      <c r="H421" s="10">
        <f>G421-[419]Main!$C$7+[419]Main!$C$8</f>
        <v/>
      </c>
      <c r="J421" s="1">
        <f>IF(ISNUMBER([419]Main!$C$11),[419]Main!$C$11,"")</f>
        <v/>
      </c>
      <c r="K421" s="57">
        <f>IFERROR(J421/F421-1,"")</f>
        <v/>
      </c>
      <c r="L421" s="12">
        <f>[419]Main!$C$15&amp;" ("&amp;[419]Main!$C$14&amp;")"</f>
        <v/>
      </c>
      <c r="M421" s="58" t="n">
        <v>46330</v>
      </c>
      <c r="N421" s="17" t="inlineStr">
        <is>
          <t>Earnings Nov 4 (est.)</t>
        </is>
      </c>
    </row>
    <row r="422">
      <c r="B422" s="3" t="inlineStr">
        <is>
          <t>INO</t>
        </is>
      </c>
      <c r="C422" t="inlineStr">
        <is>
          <t>Inovio Pharmaceuticals Inc</t>
        </is>
      </c>
      <c r="D422" t="inlineStr">
        <is>
          <t>Biotechnology</t>
        </is>
      </c>
      <c r="E422" s="6" t="inlineStr">
        <is>
          <t>NASDAQ</t>
        </is>
      </c>
      <c r="F422" s="1" t="n">
        <v>1.01</v>
      </c>
      <c r="G422" s="8">
        <f>F422*[420]Main!$C$4</f>
        <v/>
      </c>
      <c r="H422" s="10">
        <f>G422-[420]Main!$C$7+[420]Main!$C$8</f>
        <v/>
      </c>
      <c r="J422" s="1">
        <f>[420]Main!$C$11</f>
        <v/>
      </c>
      <c r="K422" s="57">
        <f>IFERROR(J422/F422-1,"")</f>
        <v/>
      </c>
      <c r="L422" s="12">
        <f>"rNPV ("&amp;[420]Main!$C$14&amp;")"</f>
        <v/>
      </c>
      <c r="M422" s="58" t="n">
        <v>46325</v>
      </c>
      <c r="N422" s="59" t="inlineStr">
        <is>
          <t>PDUFA Oct 30: INO-3107 · Earnings Nov 9 (est.)</t>
        </is>
      </c>
    </row>
    <row r="423">
      <c r="B423" s="3" t="inlineStr">
        <is>
          <t>COYA</t>
        </is>
      </c>
      <c r="C423" t="inlineStr">
        <is>
          <t>Coya Therapeutics Inc</t>
        </is>
      </c>
      <c r="D423" t="inlineStr">
        <is>
          <t>Biotechnology</t>
        </is>
      </c>
      <c r="E423" s="6" t="inlineStr">
        <is>
          <t>NASDAQ</t>
        </is>
      </c>
      <c r="F423" s="1" t="n">
        <v>4.21</v>
      </c>
      <c r="G423" s="8">
        <f>F423*[421]Main!$C$4</f>
        <v/>
      </c>
      <c r="H423" s="10">
        <f>G423-[421]Main!$C$7+[421]Main!$C$8</f>
        <v/>
      </c>
      <c r="J423" s="1">
        <f>IF(ISNUMBER([421]Main!$C$11),[421]Main!$C$11,"")</f>
        <v/>
      </c>
      <c r="K423" s="57">
        <f>IFERROR(J423/F423-1,"")</f>
        <v/>
      </c>
      <c r="L423" s="12">
        <f>[421]Main!$C$15&amp;" ("&amp;[421]Main!$C$14&amp;")"</f>
        <v/>
      </c>
      <c r="M423" s="58" t="n">
        <v>46337</v>
      </c>
      <c r="N423" s="17" t="inlineStr">
        <is>
          <t>Earnings Nov 11 (est.) · Readout ~2027-04: ALS, Phase 2/3</t>
        </is>
      </c>
    </row>
    <row r="424">
      <c r="B424" s="3" t="inlineStr">
        <is>
          <t>CBUS</t>
        </is>
      </c>
      <c r="C424" t="inlineStr">
        <is>
          <t>Cibus Inc</t>
        </is>
      </c>
      <c r="D424" t="inlineStr">
        <is>
          <t>Biotechnology</t>
        </is>
      </c>
      <c r="E424" s="6" t="inlineStr">
        <is>
          <t>NASDAQ</t>
        </is>
      </c>
      <c r="F424" s="1" t="n">
        <v>1.39</v>
      </c>
      <c r="G424" s="8">
        <f>F424*[422]Main!$C$4</f>
        <v/>
      </c>
      <c r="H424" s="10">
        <f>G424-[422]Main!$C$7+[422]Main!$C$8</f>
        <v/>
      </c>
      <c r="J424" s="1">
        <f>IF(ISNUMBER([422]Main!$C$11),[422]Main!$C$11,"")</f>
        <v/>
      </c>
      <c r="K424" s="57">
        <f>IFERROR(J424/F424-1,"")</f>
        <v/>
      </c>
      <c r="L424" s="12">
        <f>[422]Main!$C$15&amp;" ("&amp;[422]Main!$C$14&amp;")"</f>
        <v/>
      </c>
      <c r="M424" s="58" t="n">
        <v>46338</v>
      </c>
      <c r="N424" s="17" t="inlineStr">
        <is>
          <t>Earnings Nov 12 (est.)</t>
        </is>
      </c>
    </row>
    <row r="425">
      <c r="B425" s="3" t="inlineStr">
        <is>
          <t>IMDX</t>
        </is>
      </c>
      <c r="C425" t="inlineStr">
        <is>
          <t>Insight Molecular Diagnostics Inc</t>
        </is>
      </c>
      <c r="D425" t="inlineStr">
        <is>
          <t>Biotechnology</t>
        </is>
      </c>
      <c r="E425" s="6" t="inlineStr">
        <is>
          <t>NASDAQ</t>
        </is>
      </c>
      <c r="F425" s="1" t="n">
        <v>3.03</v>
      </c>
      <c r="G425" s="8">
        <f>F425*[423]Main!$C$4</f>
        <v/>
      </c>
      <c r="H425" s="10">
        <f>G425-[423]Main!$C$7+[423]Main!$C$8</f>
        <v/>
      </c>
      <c r="J425" s="1">
        <f>IF(ISNUMBER([423]Main!$C$11),[423]Main!$C$11,"")</f>
        <v/>
      </c>
      <c r="K425" s="57">
        <f>IFERROR(J425/F425-1,"")</f>
        <v/>
      </c>
      <c r="L425" s="12">
        <f>[423]Main!$C$15&amp;" ("&amp;[423]Main!$C$14&amp;")"</f>
        <v/>
      </c>
      <c r="M425" s="58" t="n">
        <v>46335</v>
      </c>
      <c r="N425" s="17" t="inlineStr">
        <is>
          <t>Earnings Nov 9 (est.)</t>
        </is>
      </c>
    </row>
    <row r="426">
      <c r="B426" s="3" t="inlineStr">
        <is>
          <t>NRSN</t>
        </is>
      </c>
      <c r="C426" t="inlineStr">
        <is>
          <t>Neurosense Therapeutics Ltd</t>
        </is>
      </c>
      <c r="D426" t="inlineStr">
        <is>
          <t>Biotechnology</t>
        </is>
      </c>
      <c r="E426" s="6" t="inlineStr">
        <is>
          <t>NASDAQ</t>
        </is>
      </c>
      <c r="F426" s="1" t="n">
        <v>2.39</v>
      </c>
      <c r="G426" s="8">
        <f>F426*[424]Main!$C$4</f>
        <v/>
      </c>
      <c r="H426" s="10">
        <f>G426-[424]Main!$C$7+[424]Main!$C$8</f>
        <v/>
      </c>
      <c r="J426" s="1">
        <f>IF(ISNUMBER([424]Main!$C$11),[424]Main!$C$11,"")</f>
        <v/>
      </c>
      <c r="K426" s="57">
        <f>IFERROR(J426/F426-1,"")</f>
        <v/>
      </c>
      <c r="L426" s="12">
        <f>[424]Main!$C$15&amp;" ("&amp;[424]Main!$C$14&amp;")"</f>
        <v/>
      </c>
      <c r="M426" s="58" t="n"/>
      <c r="N426" s="17" t="n"/>
    </row>
    <row r="427">
      <c r="B427" s="3" t="inlineStr">
        <is>
          <t>BDTX</t>
        </is>
      </c>
      <c r="C427" t="inlineStr">
        <is>
          <t>Black Diamond Therapeutics Inc</t>
        </is>
      </c>
      <c r="D427" t="inlineStr">
        <is>
          <t>Biotechnology</t>
        </is>
      </c>
      <c r="E427" s="6" t="inlineStr">
        <is>
          <t>NASDAQ</t>
        </is>
      </c>
      <c r="F427" s="1" t="n">
        <v>2.07</v>
      </c>
      <c r="G427" s="8">
        <f>F427*[425]Main!$C$4</f>
        <v/>
      </c>
      <c r="H427" s="10">
        <f>G427-[425]Main!$C$7+[425]Main!$C$8</f>
        <v/>
      </c>
      <c r="J427" s="1">
        <f>IF(ISNUMBER([425]Main!$C$11),[425]Main!$C$11,"")</f>
        <v/>
      </c>
      <c r="K427" s="57">
        <f>IFERROR(J427/F427-1,"")</f>
        <v/>
      </c>
      <c r="L427" s="12">
        <f>[425]Main!$C$15&amp;" ("&amp;[425]Main!$C$14&amp;")"</f>
        <v/>
      </c>
      <c r="M427" s="58" t="n">
        <v>46331</v>
      </c>
      <c r="N427" s="17" t="inlineStr">
        <is>
          <t>Earnings Nov 5 (est.) · Readout ~2028-11: Brain cancer, Phase 2</t>
        </is>
      </c>
    </row>
    <row r="428">
      <c r="B428" s="3" t="inlineStr">
        <is>
          <t>ICCC</t>
        </is>
      </c>
      <c r="C428" t="inlineStr">
        <is>
          <t>ImmuCell Corp</t>
        </is>
      </c>
      <c r="D428" t="inlineStr">
        <is>
          <t>Biotechnology</t>
        </is>
      </c>
      <c r="E428" s="6" t="inlineStr">
        <is>
          <t>NASDAQ</t>
        </is>
      </c>
      <c r="F428" s="1" t="n">
        <v>10.45</v>
      </c>
      <c r="G428" s="8">
        <f>F428*[426]Main!$C$4</f>
        <v/>
      </c>
      <c r="H428" s="10">
        <f>G428-[426]Main!$C$7+[426]Main!$C$8</f>
        <v/>
      </c>
      <c r="J428" s="1">
        <f>IF(ISNUMBER([426]Main!$C$11),[426]Main!$C$11,"")</f>
        <v/>
      </c>
      <c r="K428" s="57">
        <f>IFERROR(J428/F428-1,"")</f>
        <v/>
      </c>
      <c r="L428" s="12">
        <f>[426]Main!$C$15&amp;" ("&amp;[426]Main!$C$14&amp;")"</f>
        <v/>
      </c>
      <c r="M428" s="58" t="n">
        <v>46338</v>
      </c>
      <c r="N428" s="17" t="inlineStr">
        <is>
          <t>Earnings Nov 12 (est.)</t>
        </is>
      </c>
    </row>
    <row r="429">
      <c r="B429" s="3" t="inlineStr">
        <is>
          <t>ADAG</t>
        </is>
      </c>
      <c r="C429" t="inlineStr">
        <is>
          <t>Adagene Inc.</t>
        </is>
      </c>
      <c r="D429" t="inlineStr">
        <is>
          <t>Biotechnology</t>
        </is>
      </c>
      <c r="E429" s="6" t="inlineStr">
        <is>
          <t>NASDAQ</t>
        </is>
      </c>
      <c r="F429" s="1" t="n">
        <v>2.5</v>
      </c>
      <c r="G429" s="8">
        <f>F429*[427]Main!$C$4</f>
        <v/>
      </c>
      <c r="H429" s="10">
        <f>G429-[427]Main!$C$7+[427]Main!$C$8</f>
        <v/>
      </c>
      <c r="J429" s="1">
        <f>IF(ISNUMBER([427]Main!$C$11),[427]Main!$C$11,"")</f>
        <v/>
      </c>
      <c r="K429" s="57">
        <f>IFERROR(J429/F429-1,"")</f>
        <v/>
      </c>
      <c r="L429" s="12">
        <f>[427]Main!$C$15&amp;" ("&amp;[427]Main!$C$14&amp;")"</f>
        <v/>
      </c>
      <c r="M429" s="58" t="n"/>
      <c r="N429" s="17" t="inlineStr">
        <is>
          <t>Readout ~2026-10-31: Solid tumors (basket), Phase 1/2</t>
        </is>
      </c>
    </row>
    <row r="430">
      <c r="B430" s="3" t="inlineStr">
        <is>
          <t>ATRA</t>
        </is>
      </c>
      <c r="C430" t="inlineStr">
        <is>
          <t>Atara Biotherapeutics, Inc.</t>
        </is>
      </c>
      <c r="D430" t="inlineStr">
        <is>
          <t>Biotechnology</t>
        </is>
      </c>
      <c r="E430" s="6" t="inlineStr">
        <is>
          <t>NASDAQ</t>
        </is>
      </c>
      <c r="F430" s="1" t="n">
        <v>9.16</v>
      </c>
      <c r="G430" s="8">
        <f>F430*[428]Main!$C$4</f>
        <v/>
      </c>
      <c r="H430" s="10">
        <f>G430-[428]Main!$C$7+[428]Main!$C$8</f>
        <v/>
      </c>
      <c r="J430" s="1">
        <f>IF(ISNUMBER([428]Main!$C$11),[428]Main!$C$11,"")</f>
        <v/>
      </c>
      <c r="K430" s="57">
        <f>IFERROR(J430/F430-1,"")</f>
        <v/>
      </c>
      <c r="L430" s="12">
        <f>[428]Main!$C$15&amp;" ("&amp;[428]Main!$C$14&amp;")"</f>
        <v/>
      </c>
      <c r="M430" s="58" t="n">
        <v>46337</v>
      </c>
      <c r="N430" s="17" t="inlineStr">
        <is>
          <t>Earnings Nov 11 (est.)</t>
        </is>
      </c>
    </row>
    <row r="431">
      <c r="B431" s="3" t="inlineStr">
        <is>
          <t>IMUX</t>
        </is>
      </c>
      <c r="C431" t="inlineStr">
        <is>
          <t>Immunic, Inc.</t>
        </is>
      </c>
      <c r="D431" t="inlineStr">
        <is>
          <t>Biotechnology</t>
        </is>
      </c>
      <c r="E431" s="6" t="inlineStr">
        <is>
          <t>NASDAQ</t>
        </is>
      </c>
      <c r="F431" s="1" t="n">
        <v>7.41</v>
      </c>
      <c r="G431" s="8">
        <f>F431*[429]Main!$C$4</f>
        <v/>
      </c>
      <c r="H431" s="10">
        <f>G431-[429]Main!$C$7+[429]Main!$C$8</f>
        <v/>
      </c>
      <c r="J431" s="1">
        <f>IF(ISNUMBER([429]Main!$C$11),[429]Main!$C$11,"")</f>
        <v/>
      </c>
      <c r="K431" s="57">
        <f>IFERROR(J431/F431-1,"")</f>
        <v/>
      </c>
      <c r="L431" s="12">
        <f>[429]Main!$C$15&amp;" ("&amp;[429]Main!$C$14&amp;")"</f>
        <v/>
      </c>
      <c r="M431" s="58" t="n">
        <v>46338</v>
      </c>
      <c r="N431" s="17" t="inlineStr">
        <is>
          <t>Earnings Nov 12 (est.) · Readout ~2026-11: Multiple sclerosis, Phase 3</t>
        </is>
      </c>
    </row>
    <row r="432">
      <c r="B432" s="3" t="inlineStr">
        <is>
          <t>PLYX</t>
        </is>
      </c>
      <c r="C432" t="inlineStr">
        <is>
          <t>Polaryx Therapeutics, Inc</t>
        </is>
      </c>
      <c r="D432" t="inlineStr">
        <is>
          <t>Pharmaceuticals</t>
        </is>
      </c>
      <c r="E432" s="6" t="inlineStr">
        <is>
          <t>NASDAQ</t>
        </is>
      </c>
      <c r="F432" s="1" t="n">
        <v>1.91</v>
      </c>
      <c r="G432" s="8">
        <f>F432*[430]Main!$C$4</f>
        <v/>
      </c>
      <c r="H432" s="10">
        <f>G432-[430]Main!$C$7+[430]Main!$C$8</f>
        <v/>
      </c>
      <c r="J432" s="1">
        <f>IF(ISNUMBER([430]Main!$C$11),[430]Main!$C$11,"")</f>
        <v/>
      </c>
      <c r="K432" s="57">
        <f>IFERROR(J432/F432-1,"")</f>
        <v/>
      </c>
      <c r="L432" s="12">
        <f>[430]Main!$C$15&amp;" ("&amp;[430]Main!$C$14&amp;")"</f>
        <v/>
      </c>
      <c r="M432" s="58" t="n">
        <v>46338</v>
      </c>
      <c r="N432" s="17" t="inlineStr">
        <is>
          <t>Earnings Nov 12 (est.)</t>
        </is>
      </c>
    </row>
    <row r="433">
      <c r="B433" s="3" t="inlineStr">
        <is>
          <t>UNCY</t>
        </is>
      </c>
      <c r="C433" t="inlineStr">
        <is>
          <t>Unicycive Therapeutics Inc</t>
        </is>
      </c>
      <c r="D433" t="inlineStr">
        <is>
          <t>Biotechnology</t>
        </is>
      </c>
      <c r="E433" s="6" t="inlineStr">
        <is>
          <t>NASDAQ</t>
        </is>
      </c>
      <c r="F433" s="1" t="n">
        <v>3.8</v>
      </c>
      <c r="G433" s="8">
        <f>F433*[431]Main!$C$4</f>
        <v/>
      </c>
      <c r="H433" s="10">
        <f>G433-[431]Main!$C$7+[431]Main!$C$8</f>
        <v/>
      </c>
      <c r="J433" s="1">
        <f>IF(ISNUMBER([431]Main!$C$11),[431]Main!$C$11,"")</f>
        <v/>
      </c>
      <c r="K433" s="57">
        <f>IFERROR(J433/F433-1,"")</f>
        <v/>
      </c>
      <c r="L433" s="12">
        <f>[431]Main!$C$15&amp;" ("&amp;[431]Main!$C$14&amp;")"</f>
        <v/>
      </c>
      <c r="M433" s="58" t="n">
        <v>46337</v>
      </c>
      <c r="N433" s="17" t="inlineStr">
        <is>
          <t>Earnings Nov 11 (est.) · PDUFA 2026-06-29: Kidney disease</t>
        </is>
      </c>
    </row>
    <row r="434">
      <c r="B434" s="3" t="inlineStr">
        <is>
          <t>ANIX</t>
        </is>
      </c>
      <c r="C434" t="inlineStr">
        <is>
          <t>Anixa Biosciences Inc</t>
        </is>
      </c>
      <c r="D434" t="inlineStr">
        <is>
          <t>Biotechnology</t>
        </is>
      </c>
      <c r="E434" s="6" t="inlineStr">
        <is>
          <t>NASDAQ</t>
        </is>
      </c>
      <c r="F434" s="1" t="n">
        <v>2.68</v>
      </c>
      <c r="G434" s="8">
        <f>F434*[432]Main!$C$4</f>
        <v/>
      </c>
      <c r="H434" s="10">
        <f>G434-[432]Main!$C$7+[432]Main!$C$8</f>
        <v/>
      </c>
      <c r="J434" s="1">
        <f>IF(ISNUMBER([432]Main!$C$11),[432]Main!$C$11,"")</f>
        <v/>
      </c>
      <c r="K434" s="57">
        <f>IFERROR(J434/F434-1,"")</f>
        <v/>
      </c>
      <c r="L434" s="12">
        <f>[432]Main!$C$15&amp;" ("&amp;[432]Main!$C$14&amp;")"</f>
        <v/>
      </c>
      <c r="M434" s="58" t="n"/>
      <c r="N434" s="17" t="n"/>
    </row>
    <row r="435">
      <c r="B435" s="3" t="inlineStr">
        <is>
          <t>QUCY</t>
        </is>
      </c>
      <c r="C435" t="inlineStr">
        <is>
          <t>Quantum Cyber NV</t>
        </is>
      </c>
      <c r="D435" t="inlineStr">
        <is>
          <t>Biotechnology</t>
        </is>
      </c>
      <c r="E435" s="6" t="inlineStr">
        <is>
          <t>NASDAQ</t>
        </is>
      </c>
      <c r="F435" s="1" t="n">
        <v>1.07</v>
      </c>
      <c r="G435" s="8">
        <f>F435*[433]Main!$C$4</f>
        <v/>
      </c>
      <c r="H435" s="10">
        <f>G435-[433]Main!$C$7+[433]Main!$C$8</f>
        <v/>
      </c>
      <c r="J435" s="1">
        <f>IF(ISNUMBER([433]Main!$C$11),[433]Main!$C$11,"")</f>
        <v/>
      </c>
      <c r="K435" s="57">
        <f>IFERROR(J435/F435-1,"")</f>
        <v/>
      </c>
      <c r="L435" s="12">
        <f>[433]Main!$C$15&amp;" ("&amp;[433]Main!$C$14&amp;")"</f>
        <v/>
      </c>
      <c r="M435" s="58" t="n">
        <v>46339</v>
      </c>
      <c r="N435" s="17" t="inlineStr">
        <is>
          <t>Earnings Nov 13 (est.)</t>
        </is>
      </c>
    </row>
    <row r="436">
      <c r="B436" s="3" t="inlineStr">
        <is>
          <t>TNYA</t>
        </is>
      </c>
      <c r="C436" t="inlineStr">
        <is>
          <t>Tenaya Therapeutics, Inc.</t>
        </is>
      </c>
      <c r="D436" t="inlineStr">
        <is>
          <t>Biotechnology</t>
        </is>
      </c>
      <c r="E436" s="6" t="inlineStr">
        <is>
          <t>NASDAQ</t>
        </is>
      </c>
      <c r="F436" s="1" t="n">
        <v>0.41</v>
      </c>
      <c r="G436" s="8">
        <f>F436*[434]Main!$C$4</f>
        <v/>
      </c>
      <c r="H436" s="10">
        <f>G436-[434]Main!$C$7+[434]Main!$C$8</f>
        <v/>
      </c>
      <c r="J436" s="1">
        <f>IF(ISNUMBER([434]Main!$C$11),[434]Main!$C$11,"")</f>
        <v/>
      </c>
      <c r="K436" s="57">
        <f>IFERROR(J436/F436-1,"")</f>
        <v/>
      </c>
      <c r="L436" s="12">
        <f>[434]Main!$C$15&amp;" ("&amp;[434]Main!$C$14&amp;")"</f>
        <v/>
      </c>
      <c r="M436" s="58" t="n">
        <v>46335</v>
      </c>
      <c r="N436" s="17" t="inlineStr">
        <is>
          <t>Earnings Nov 9 (est.) · Readout ~2027-08: Cardiomyopathy, Phase 1/2</t>
        </is>
      </c>
    </row>
    <row r="437">
      <c r="B437" s="3" t="inlineStr">
        <is>
          <t>RANI</t>
        </is>
      </c>
      <c r="C437" t="inlineStr">
        <is>
          <t>Rani Therapeutics Holdings Inc</t>
        </is>
      </c>
      <c r="D437" t="inlineStr">
        <is>
          <t>Pharmaceuticals</t>
        </is>
      </c>
      <c r="E437" s="6" t="inlineStr">
        <is>
          <t>NASDAQ</t>
        </is>
      </c>
      <c r="F437" s="1" t="n">
        <v>0.6528</v>
      </c>
      <c r="G437" s="8">
        <f>F437*[435]Main!$C$4</f>
        <v/>
      </c>
      <c r="H437" s="10">
        <f>G437-[435]Main!$C$7+[435]Main!$C$8</f>
        <v/>
      </c>
      <c r="J437" s="1">
        <f>IF(ISNUMBER([435]Main!$C$11),[435]Main!$C$11,"")</f>
        <v/>
      </c>
      <c r="K437" s="57">
        <f>IFERROR(J437/F437-1,"")</f>
        <v/>
      </c>
      <c r="L437" s="12">
        <f>[435]Main!$C$15&amp;" ("&amp;[435]Main!$C$14&amp;")"</f>
        <v/>
      </c>
      <c r="M437" s="58" t="n">
        <v>46331</v>
      </c>
      <c r="N437" s="17" t="inlineStr">
        <is>
          <t>Earnings Nov 5 (est.) · Readout ~2026-12-01: Obesity, Phase 1</t>
        </is>
      </c>
    </row>
    <row r="438">
      <c r="B438" s="3" t="inlineStr">
        <is>
          <t>RLYB</t>
        </is>
      </c>
      <c r="C438" t="inlineStr">
        <is>
          <t>Rallybio Corp</t>
        </is>
      </c>
      <c r="D438" t="inlineStr">
        <is>
          <t>Biotechnology</t>
        </is>
      </c>
      <c r="E438" s="6" t="inlineStr">
        <is>
          <t>NASDAQ</t>
        </is>
      </c>
      <c r="F438" s="1" t="n">
        <v>16.38</v>
      </c>
      <c r="G438" s="8">
        <f>F438*[436]Main!$C$4</f>
        <v/>
      </c>
      <c r="H438" s="10">
        <f>G438-[436]Main!$C$7+[436]Main!$C$8</f>
        <v/>
      </c>
      <c r="J438" s="1">
        <f>IF(ISNUMBER([436]Main!$C$11),[436]Main!$C$11,"")</f>
        <v/>
      </c>
      <c r="K438" s="57">
        <f>IFERROR(J438/F438-1,"")</f>
        <v/>
      </c>
      <c r="L438" s="12">
        <f>[436]Main!$C$15&amp;" ("&amp;[436]Main!$C$14&amp;")"</f>
        <v/>
      </c>
      <c r="M438" s="58" t="n">
        <v>46331</v>
      </c>
      <c r="N438" s="17" t="inlineStr">
        <is>
          <t>Earnings Nov 5 (est.)</t>
        </is>
      </c>
    </row>
    <row r="439">
      <c r="B439" s="3" t="inlineStr">
        <is>
          <t>NMRA</t>
        </is>
      </c>
      <c r="C439" t="inlineStr">
        <is>
          <t>Neumora Therapeutics Inc</t>
        </is>
      </c>
      <c r="D439" t="inlineStr">
        <is>
          <t>Pharmaceuticals</t>
        </is>
      </c>
      <c r="E439" s="6" t="inlineStr">
        <is>
          <t>NASDAQ</t>
        </is>
      </c>
      <c r="F439" s="1" t="n">
        <v>0.465</v>
      </c>
      <c r="G439" s="8">
        <f>F439*[437]Main!$C$4</f>
        <v/>
      </c>
      <c r="H439" s="10">
        <f>G439-[437]Main!$C$7+[437]Main!$C$8</f>
        <v/>
      </c>
      <c r="J439" s="1">
        <f>IF(ISNUMBER([437]Main!$C$11),[437]Main!$C$11,"")</f>
        <v/>
      </c>
      <c r="K439" s="57">
        <f>IFERROR(J439/F439-1,"")</f>
        <v/>
      </c>
      <c r="L439" s="12">
        <f>[437]Main!$C$15&amp;" ("&amp;[437]Main!$C$14&amp;")"</f>
        <v/>
      </c>
      <c r="M439" s="58" t="n">
        <v>46331</v>
      </c>
      <c r="N439" s="17" t="inlineStr">
        <is>
          <t>Earnings Nov 5 (est.)</t>
        </is>
      </c>
    </row>
    <row r="440">
      <c r="B440" s="3" t="inlineStr">
        <is>
          <t>MIST</t>
        </is>
      </c>
      <c r="C440" t="inlineStr">
        <is>
          <t>Milestone Pharmaceuticals Inc</t>
        </is>
      </c>
      <c r="D440" t="inlineStr">
        <is>
          <t>Pharmaceuticals</t>
        </is>
      </c>
      <c r="E440" s="6" t="inlineStr">
        <is>
          <t>NASDAQ</t>
        </is>
      </c>
      <c r="F440" s="1" t="n">
        <v>0.7185</v>
      </c>
      <c r="G440" s="8">
        <f>F440*[438]Main!$C$4</f>
        <v/>
      </c>
      <c r="H440" s="10">
        <f>G440-[438]Main!$C$7+[438]Main!$C$8</f>
        <v/>
      </c>
      <c r="J440" s="1">
        <f>IF(ISNUMBER([438]Main!$C$11),[438]Main!$C$11,"")</f>
        <v/>
      </c>
      <c r="K440" s="57">
        <f>IFERROR(J440/F440-1,"")</f>
        <v/>
      </c>
      <c r="L440" s="12">
        <f>[438]Main!$C$15&amp;" ("&amp;[438]Main!$C$14&amp;")"</f>
        <v/>
      </c>
      <c r="M440" s="58" t="n">
        <v>46337</v>
      </c>
      <c r="N440" s="17" t="inlineStr">
        <is>
          <t>Earnings Nov 11 (est.) · Readout ~2027-06-01: Rare hematology, Phase 3</t>
        </is>
      </c>
    </row>
    <row r="441">
      <c r="B441" s="3" t="inlineStr">
        <is>
          <t>CRBP</t>
        </is>
      </c>
      <c r="C441" t="inlineStr">
        <is>
          <t>Corbus Pharmaceuticals Holdings, Inc.</t>
        </is>
      </c>
      <c r="D441" t="inlineStr">
        <is>
          <t>Biotechnology</t>
        </is>
      </c>
      <c r="E441" s="6" t="inlineStr">
        <is>
          <t>NASDAQ</t>
        </is>
      </c>
      <c r="F441" s="1" t="n">
        <v>4.42</v>
      </c>
      <c r="G441" s="8">
        <f>F441*[439]Main!$C$4</f>
        <v/>
      </c>
      <c r="H441" s="10">
        <f>G441-[439]Main!$C$7+[439]Main!$C$8</f>
        <v/>
      </c>
      <c r="J441" s="1">
        <f>IF(ISNUMBER([439]Main!$C$11),[439]Main!$C$11,"")</f>
        <v/>
      </c>
      <c r="K441" s="57">
        <f>IFERROR(J441/F441-1,"")</f>
        <v/>
      </c>
      <c r="L441" s="12">
        <f>[439]Main!$C$15&amp;" ("&amp;[439]Main!$C$14&amp;")"</f>
        <v/>
      </c>
      <c r="M441" s="58" t="n">
        <v>46337</v>
      </c>
      <c r="N441" s="17" t="inlineStr">
        <is>
          <t>Earnings Nov 11 (est.) · Readout ~2026-11-01: Solid tumors (basket), Phase 3</t>
        </is>
      </c>
    </row>
    <row r="442">
      <c r="B442" s="3" t="inlineStr">
        <is>
          <t>CNXU</t>
        </is>
      </c>
      <c r="C442" t="inlineStr">
        <is>
          <t>Conexeu Sciences Inc</t>
        </is>
      </c>
      <c r="D442" t="inlineStr">
        <is>
          <t>Biotechnology</t>
        </is>
      </c>
      <c r="E442" s="6" t="inlineStr">
        <is>
          <t>NASDAQ</t>
        </is>
      </c>
      <c r="F442" s="1" t="n">
        <v>2.99</v>
      </c>
      <c r="G442" s="8">
        <f>F442*[440]Main!$C$4</f>
        <v/>
      </c>
      <c r="H442" s="10">
        <f>G442-[440]Main!$C$7+[440]Main!$C$8</f>
        <v/>
      </c>
      <c r="J442" s="1">
        <f>IF(ISNUMBER([440]Main!$C$11),[440]Main!$C$11,"")</f>
        <v/>
      </c>
      <c r="K442" s="57">
        <f>IFERROR(J442/F442-1,"")</f>
        <v/>
      </c>
      <c r="L442" s="12">
        <f>[440]Main!$C$15&amp;" ("&amp;[440]Main!$C$14&amp;")"</f>
        <v/>
      </c>
      <c r="M442" s="58" t="n"/>
      <c r="N442" s="17" t="n"/>
    </row>
    <row r="443">
      <c r="B443" s="3" t="inlineStr">
        <is>
          <t>OKUR</t>
        </is>
      </c>
      <c r="C443" t="inlineStr">
        <is>
          <t>Onkure Therapeutics Inc</t>
        </is>
      </c>
      <c r="D443" t="inlineStr">
        <is>
          <t>Biotechnology</t>
        </is>
      </c>
      <c r="E443" s="6" t="inlineStr">
        <is>
          <t>NASDAQ</t>
        </is>
      </c>
      <c r="F443" s="1" t="n">
        <v>2.36</v>
      </c>
      <c r="G443" s="8">
        <f>F443*[441]Main!$C$4</f>
        <v/>
      </c>
      <c r="H443" s="10">
        <f>G443-[441]Main!$C$7+[441]Main!$C$8</f>
        <v/>
      </c>
      <c r="J443" s="1">
        <f>IF(ISNUMBER([441]Main!$C$11),[441]Main!$C$11,"")</f>
        <v/>
      </c>
      <c r="K443" s="57">
        <f>IFERROR(J443/F443-1,"")</f>
        <v/>
      </c>
      <c r="L443" s="12">
        <f>[441]Main!$C$15&amp;" ("&amp;[441]Main!$C$14&amp;")"</f>
        <v/>
      </c>
      <c r="M443" s="58" t="n">
        <v>46331</v>
      </c>
      <c r="N443" s="17" t="inlineStr">
        <is>
          <t>Earnings Nov 5 (est.) · Readout ~2026-12-31: Solid tumors (basket), Phase 1</t>
        </is>
      </c>
    </row>
    <row r="444">
      <c r="B444" s="3" t="inlineStr">
        <is>
          <t>AARD</t>
        </is>
      </c>
      <c r="C444" t="inlineStr">
        <is>
          <t>Aardvark Therapeutics, Inc.</t>
        </is>
      </c>
      <c r="D444" t="inlineStr">
        <is>
          <t>Pharmaceuticals</t>
        </is>
      </c>
      <c r="E444" s="6" t="inlineStr">
        <is>
          <t>NASDAQ</t>
        </is>
      </c>
      <c r="F444" s="1" t="n">
        <v>3.9</v>
      </c>
      <c r="G444" s="8">
        <f>F444*[442]Main!$C$4</f>
        <v/>
      </c>
      <c r="H444" s="10">
        <f>G444-[442]Main!$C$7+[442]Main!$C$8</f>
        <v/>
      </c>
      <c r="J444" s="1">
        <f>IF(ISNUMBER([442]Main!$C$11),[442]Main!$C$11,"")</f>
        <v/>
      </c>
      <c r="K444" s="57">
        <f>IFERROR(J444/F444-1,"")</f>
        <v/>
      </c>
      <c r="L444" s="12">
        <f>[442]Main!$C$15&amp;" ("&amp;[442]Main!$C$14&amp;")"</f>
        <v/>
      </c>
      <c r="M444" s="58" t="n">
        <v>46338</v>
      </c>
      <c r="N444" s="17" t="inlineStr">
        <is>
          <t>Earnings Nov 12 (est.)</t>
        </is>
      </c>
    </row>
    <row r="445">
      <c r="B445" s="3" t="inlineStr">
        <is>
          <t>ALP</t>
        </is>
      </c>
      <c r="C445" t="inlineStr">
        <is>
          <t>Alpha Compute Corp</t>
        </is>
      </c>
      <c r="D445" t="inlineStr">
        <is>
          <t>Biotechnology</t>
        </is>
      </c>
      <c r="E445" s="6" t="inlineStr">
        <is>
          <t>NASDAQ</t>
        </is>
      </c>
      <c r="F445" s="1" t="n">
        <v>3.38</v>
      </c>
      <c r="G445" s="8">
        <f>F445*[443]Main!$C$4</f>
        <v/>
      </c>
      <c r="H445" s="10">
        <f>G445-[443]Main!$C$7+[443]Main!$C$8</f>
        <v/>
      </c>
      <c r="J445" s="1">
        <f>IF(ISNUMBER([443]Main!$C$11),[443]Main!$C$11,"")</f>
        <v/>
      </c>
      <c r="K445" s="57">
        <f>IFERROR(J445/F445-1,"")</f>
        <v/>
      </c>
      <c r="L445" s="12">
        <f>[443]Main!$C$15&amp;" ("&amp;[443]Main!$C$14&amp;")"</f>
        <v/>
      </c>
      <c r="M445" s="58" t="n"/>
      <c r="N445" s="17" t="n"/>
    </row>
    <row r="446">
      <c r="B446" s="3" t="inlineStr">
        <is>
          <t>PTHS</t>
        </is>
      </c>
      <c r="C446" t="inlineStr">
        <is>
          <t>Pelthos Therapeutics Inc</t>
        </is>
      </c>
      <c r="D446" t="inlineStr">
        <is>
          <t>Biotechnology</t>
        </is>
      </c>
      <c r="E446" s="6" t="inlineStr">
        <is>
          <t>NYSE</t>
        </is>
      </c>
      <c r="F446" s="1" t="n">
        <v>20.5</v>
      </c>
      <c r="G446" s="8">
        <f>F446*[444]Main!$C$4</f>
        <v/>
      </c>
      <c r="H446" s="10">
        <f>G446-[444]Main!$C$7+[444]Main!$C$8</f>
        <v/>
      </c>
      <c r="J446" s="1">
        <f>IF(ISNUMBER([444]Main!$C$11),[444]Main!$C$11,"")</f>
        <v/>
      </c>
      <c r="K446" s="57">
        <f>IFERROR(J446/F446-1,"")</f>
        <v/>
      </c>
      <c r="L446" s="12">
        <f>[444]Main!$C$15&amp;" ("&amp;[444]Main!$C$14&amp;")"</f>
        <v/>
      </c>
      <c r="M446" s="58" t="n">
        <v>46338</v>
      </c>
      <c r="N446" s="17" t="inlineStr">
        <is>
          <t>Earnings Nov 12 (est.)</t>
        </is>
      </c>
    </row>
    <row r="447">
      <c r="B447" s="3" t="inlineStr">
        <is>
          <t>NTRB</t>
        </is>
      </c>
      <c r="C447" t="inlineStr">
        <is>
          <t>Nutriband Inc</t>
        </is>
      </c>
      <c r="D447" t="inlineStr">
        <is>
          <t>Pharmaceuticals</t>
        </is>
      </c>
      <c r="E447" s="6" t="inlineStr">
        <is>
          <t>NASDAQ</t>
        </is>
      </c>
      <c r="F447" s="1" t="n">
        <v>5.85</v>
      </c>
      <c r="G447" s="8">
        <f>F447*[445]Main!$C$4</f>
        <v/>
      </c>
      <c r="H447" s="10">
        <f>G447-[445]Main!$C$7+[445]Main!$C$8</f>
        <v/>
      </c>
      <c r="J447" s="1">
        <f>IF(ISNUMBER([445]Main!$C$11),[445]Main!$C$11,"")</f>
        <v/>
      </c>
      <c r="K447" s="57">
        <f>IFERROR(J447/F447-1,"")</f>
        <v/>
      </c>
      <c r="L447" s="12">
        <f>[445]Main!$C$15&amp;" ("&amp;[445]Main!$C$14&amp;")"</f>
        <v/>
      </c>
      <c r="M447" s="58" t="n">
        <v>46365</v>
      </c>
      <c r="N447" s="17" t="inlineStr">
        <is>
          <t>Earnings Dec 9 (est.)</t>
        </is>
      </c>
    </row>
    <row r="448">
      <c r="B448" s="3" t="inlineStr">
        <is>
          <t>EQ</t>
        </is>
      </c>
      <c r="C448" t="inlineStr">
        <is>
          <t>Equillium Inc</t>
        </is>
      </c>
      <c r="D448" t="inlineStr">
        <is>
          <t>Biotechnology</t>
        </is>
      </c>
      <c r="E448" s="6" t="inlineStr">
        <is>
          <t>NASDAQ</t>
        </is>
      </c>
      <c r="F448" s="1" t="n">
        <v>1.38</v>
      </c>
      <c r="G448" s="8">
        <f>F448*[446]Main!$C$4</f>
        <v/>
      </c>
      <c r="H448" s="10">
        <f>G448-[446]Main!$C$7+[446]Main!$C$8</f>
        <v/>
      </c>
      <c r="J448" s="1">
        <f>IF(ISNUMBER([446]Main!$C$11),[446]Main!$C$11,"")</f>
        <v/>
      </c>
      <c r="K448" s="57">
        <f>IFERROR(J448/F448-1,"")</f>
        <v/>
      </c>
      <c r="L448" s="12">
        <f>[446]Main!$C$15&amp;" ("&amp;[446]Main!$C$14&amp;")"</f>
        <v/>
      </c>
      <c r="M448" s="58" t="n">
        <v>46338</v>
      </c>
      <c r="N448" s="17" t="inlineStr">
        <is>
          <t>Earnings Nov 12 (est.) · Readout ~2027-04: IBD (UC / Crohn's), Phase 1</t>
        </is>
      </c>
    </row>
    <row r="449">
      <c r="B449" s="3" t="inlineStr">
        <is>
          <t>OKYO</t>
        </is>
      </c>
      <c r="C449" t="inlineStr">
        <is>
          <t>OKYO Pharma Ltd</t>
        </is>
      </c>
      <c r="D449" t="inlineStr">
        <is>
          <t>Biotechnology</t>
        </is>
      </c>
      <c r="E449" s="6" t="inlineStr">
        <is>
          <t>NASDAQ</t>
        </is>
      </c>
      <c r="F449" s="1" t="n">
        <v>1.37</v>
      </c>
      <c r="G449" s="8">
        <f>F449*[447]Main!$C$4</f>
        <v/>
      </c>
      <c r="H449" s="10">
        <f>G449-[447]Main!$C$7+[447]Main!$C$8</f>
        <v/>
      </c>
      <c r="J449" s="1">
        <f>IF(ISNUMBER([447]Main!$C$11),[447]Main!$C$11,"")</f>
        <v/>
      </c>
      <c r="K449" s="57">
        <f>IFERROR(J449/F449-1,"")</f>
        <v/>
      </c>
      <c r="L449" s="12">
        <f>[447]Main!$C$15&amp;" ("&amp;[447]Main!$C$14&amp;")"</f>
        <v/>
      </c>
      <c r="M449" s="58" t="n"/>
      <c r="N449" s="17" t="inlineStr">
        <is>
          <t>Readout ~2027-05: Migraine / pain, Phase 3</t>
        </is>
      </c>
    </row>
    <row r="450">
      <c r="B450" s="3" t="inlineStr">
        <is>
          <t>PMN</t>
        </is>
      </c>
      <c r="C450" t="inlineStr">
        <is>
          <t>ProMIS Neurosciences Inc</t>
        </is>
      </c>
      <c r="D450" t="inlineStr">
        <is>
          <t>Biotechnology</t>
        </is>
      </c>
      <c r="E450" s="6" t="inlineStr">
        <is>
          <t>NASDAQ</t>
        </is>
      </c>
      <c r="F450" s="1" t="n">
        <v>8.09</v>
      </c>
      <c r="G450" s="8">
        <f>F450*[448]Main!$C$4</f>
        <v/>
      </c>
      <c r="H450" s="10">
        <f>G450-[448]Main!$C$7+[448]Main!$C$8</f>
        <v/>
      </c>
      <c r="J450" s="1">
        <f>IF(ISNUMBER([448]Main!$C$11),[448]Main!$C$11,"")</f>
        <v/>
      </c>
      <c r="K450" s="57">
        <f>IFERROR(J450/F450-1,"")</f>
        <v/>
      </c>
      <c r="L450" s="12">
        <f>[448]Main!$C$15&amp;" ("&amp;[448]Main!$C$14&amp;")"</f>
        <v/>
      </c>
      <c r="M450" s="58" t="n">
        <v>46337</v>
      </c>
      <c r="N450" s="17" t="inlineStr">
        <is>
          <t>Earnings Nov 11 (est.) · Readout ~2026-12: Alzheimer's disease, Phase 1</t>
        </is>
      </c>
    </row>
    <row r="451">
      <c r="B451" s="3" t="inlineStr">
        <is>
          <t>TELO</t>
        </is>
      </c>
      <c r="C451" t="inlineStr">
        <is>
          <t>Telomir Pharmaceuticals Inc</t>
        </is>
      </c>
      <c r="D451" t="inlineStr">
        <is>
          <t>Pharmaceuticals</t>
        </is>
      </c>
      <c r="E451" s="6" t="inlineStr">
        <is>
          <t>NASDAQ</t>
        </is>
      </c>
      <c r="F451" s="1" t="n">
        <v>1.01</v>
      </c>
      <c r="G451" s="8">
        <f>F451*[449]Main!$C$4</f>
        <v/>
      </c>
      <c r="H451" s="10">
        <f>G451-[449]Main!$C$7+[449]Main!$C$8</f>
        <v/>
      </c>
      <c r="J451" s="1">
        <f>IF(ISNUMBER([449]Main!$C$11),[449]Main!$C$11,"")</f>
        <v/>
      </c>
      <c r="K451" s="57">
        <f>IFERROR(J451/F451-1,"")</f>
        <v/>
      </c>
      <c r="L451" s="12">
        <f>[449]Main!$C$15&amp;" ("&amp;[449]Main!$C$14&amp;")"</f>
        <v/>
      </c>
      <c r="M451" s="58" t="n">
        <v>46335</v>
      </c>
      <c r="N451" s="17" t="inlineStr">
        <is>
          <t>Earnings Nov 9 (est.) · Readout ~2027-05: Breast cancer, Phase 1/2</t>
        </is>
      </c>
    </row>
    <row r="452">
      <c r="B452" s="3" t="inlineStr">
        <is>
          <t>RFL</t>
        </is>
      </c>
      <c r="C452" t="inlineStr">
        <is>
          <t>Rafael Holdings Inc</t>
        </is>
      </c>
      <c r="D452" t="inlineStr">
        <is>
          <t>Pharmaceuticals</t>
        </is>
      </c>
      <c r="E452" s="6" t="inlineStr">
        <is>
          <t>NYSE</t>
        </is>
      </c>
      <c r="F452" s="1" t="n">
        <v>1.31</v>
      </c>
      <c r="G452" s="8">
        <f>F452*[450]Main!$C$4</f>
        <v/>
      </c>
      <c r="H452" s="10">
        <f>G452-[450]Main!$C$7+[450]Main!$C$8</f>
        <v/>
      </c>
      <c r="J452" s="1">
        <f>IF(ISNUMBER([450]Main!$C$11),[450]Main!$C$11,"")</f>
        <v/>
      </c>
      <c r="K452" s="57">
        <f>IFERROR(J452/F452-1,"")</f>
        <v/>
      </c>
      <c r="L452" s="12">
        <f>[450]Main!$C$15&amp;" ("&amp;[450]Main!$C$14&amp;")"</f>
        <v/>
      </c>
      <c r="M452" s="58" t="n">
        <v>46330</v>
      </c>
      <c r="N452" s="17" t="inlineStr">
        <is>
          <t>Earnings Nov 4 (est.) · Readout ~2026-12-31: Transplant / GVHD, Phase 1/2</t>
        </is>
      </c>
    </row>
    <row r="453">
      <c r="B453" s="3" t="inlineStr">
        <is>
          <t>CTOR</t>
        </is>
      </c>
      <c r="C453" t="inlineStr">
        <is>
          <t>Citius Oncology Inc</t>
        </is>
      </c>
      <c r="D453" t="inlineStr">
        <is>
          <t>Biotechnology</t>
        </is>
      </c>
      <c r="E453" s="6" t="inlineStr">
        <is>
          <t>NASDAQ</t>
        </is>
      </c>
      <c r="F453" s="1" t="n">
        <v>0.671</v>
      </c>
      <c r="G453" s="8">
        <f>F453*[451]Main!$C$4</f>
        <v/>
      </c>
      <c r="H453" s="10">
        <f>G453-[451]Main!$C$7+[451]Main!$C$8</f>
        <v/>
      </c>
      <c r="J453" s="1">
        <f>IF(ISNUMBER([451]Main!$C$11),[451]Main!$C$11,"")</f>
        <v/>
      </c>
      <c r="K453" s="57">
        <f>IFERROR(J453/F453-1,"")</f>
        <v/>
      </c>
      <c r="L453" s="12">
        <f>[451]Main!$C$15&amp;" ("&amp;[451]Main!$C$14&amp;")"</f>
        <v/>
      </c>
      <c r="M453" s="58" t="n"/>
      <c r="N453" s="17" t="n"/>
    </row>
    <row r="454">
      <c r="B454" s="3" t="inlineStr">
        <is>
          <t>LEXX</t>
        </is>
      </c>
      <c r="C454" t="inlineStr">
        <is>
          <t>Lexaria Bioscience Corp</t>
        </is>
      </c>
      <c r="D454" t="inlineStr">
        <is>
          <t>Pharmaceuticals</t>
        </is>
      </c>
      <c r="E454" s="6" t="inlineStr">
        <is>
          <t>NASDAQ</t>
        </is>
      </c>
      <c r="F454" s="1" t="n">
        <v>2.65</v>
      </c>
      <c r="G454" s="8">
        <f>F454*[452]Main!$C$4</f>
        <v/>
      </c>
      <c r="H454" s="10">
        <f>G454-[452]Main!$C$7+[452]Main!$C$8</f>
        <v/>
      </c>
      <c r="J454" s="1">
        <f>IF(ISNUMBER([452]Main!$C$11),[452]Main!$C$11,"")</f>
        <v/>
      </c>
      <c r="K454" s="57">
        <f>IFERROR(J454/F454-1,"")</f>
        <v/>
      </c>
      <c r="L454" s="12">
        <f>[452]Main!$C$15&amp;" ("&amp;[452]Main!$C$14&amp;")"</f>
        <v/>
      </c>
      <c r="M454" s="58" t="n">
        <v>46351</v>
      </c>
      <c r="N454" s="17" t="inlineStr">
        <is>
          <t>Earnings Nov 25 (est.)</t>
        </is>
      </c>
    </row>
    <row r="455">
      <c r="B455" s="3" t="inlineStr">
        <is>
          <t>ACRV</t>
        </is>
      </c>
      <c r="C455" t="inlineStr">
        <is>
          <t>Acrivon Therapeutics, Inc.</t>
        </is>
      </c>
      <c r="D455" t="inlineStr">
        <is>
          <t>Biotechnology</t>
        </is>
      </c>
      <c r="E455" s="6" t="inlineStr">
        <is>
          <t>NASDAQ</t>
        </is>
      </c>
      <c r="F455" s="1" t="n">
        <v>1.795</v>
      </c>
      <c r="G455" s="8">
        <f>F455*[453]Main!$C$4</f>
        <v/>
      </c>
      <c r="H455" s="10">
        <f>G455-[453]Main!$C$7+[453]Main!$C$8</f>
        <v/>
      </c>
      <c r="J455" s="1">
        <f>IF(ISNUMBER([453]Main!$C$11),[453]Main!$C$11,"")</f>
        <v/>
      </c>
      <c r="K455" s="57">
        <f>IFERROR(J455/F455-1,"")</f>
        <v/>
      </c>
      <c r="L455" s="12">
        <f>[453]Main!$C$15&amp;" ("&amp;[453]Main!$C$14&amp;")"</f>
        <v/>
      </c>
      <c r="M455" s="58" t="n">
        <v>46338</v>
      </c>
      <c r="N455" s="17" t="inlineStr">
        <is>
          <t>Earnings Nov 12 (est.) · Readout ~2027-05-30: Gynecologic cancer, Phase 2</t>
        </is>
      </c>
    </row>
    <row r="456">
      <c r="B456" s="3" t="inlineStr">
        <is>
          <t>CRDF</t>
        </is>
      </c>
      <c r="C456" t="inlineStr">
        <is>
          <t>Cardiff Oncology, Inc.</t>
        </is>
      </c>
      <c r="D456" t="inlineStr">
        <is>
          <t>Biotechnology</t>
        </is>
      </c>
      <c r="E456" s="6" t="inlineStr">
        <is>
          <t>NASDAQ</t>
        </is>
      </c>
      <c r="F456" s="1" t="n">
        <v>0.9315</v>
      </c>
      <c r="G456" s="8">
        <f>F456*[454]Main!$C$4</f>
        <v/>
      </c>
      <c r="H456" s="10">
        <f>G456-[454]Main!$C$7+[454]Main!$C$8</f>
        <v/>
      </c>
      <c r="J456" s="1">
        <f>IF(ISNUMBER([454]Main!$C$11),[454]Main!$C$11,"")</f>
        <v/>
      </c>
      <c r="K456" s="57">
        <f>IFERROR(J456/F456-1,"")</f>
        <v/>
      </c>
      <c r="L456" s="12">
        <f>[454]Main!$C$15&amp;" ("&amp;[454]Main!$C$14&amp;")"</f>
        <v/>
      </c>
      <c r="M456" s="58" t="n">
        <v>46331</v>
      </c>
      <c r="N456" s="17" t="inlineStr">
        <is>
          <t>Earnings Nov 5 (est.) · Readout ~2026-11: Colorectal cancer, Phase 2</t>
        </is>
      </c>
    </row>
    <row r="457">
      <c r="B457" s="3" t="inlineStr">
        <is>
          <t>NTHI</t>
        </is>
      </c>
      <c r="C457" t="inlineStr">
        <is>
          <t>NeOnc Technologies Holdings Inc</t>
        </is>
      </c>
      <c r="D457" t="inlineStr">
        <is>
          <t>Pharmaceuticals</t>
        </is>
      </c>
      <c r="E457" s="6" t="inlineStr">
        <is>
          <t>NASDAQ</t>
        </is>
      </c>
      <c r="F457" s="1" t="n">
        <v>2.77</v>
      </c>
      <c r="G457" s="8">
        <f>F457*[455]Main!$C$4</f>
        <v/>
      </c>
      <c r="H457" s="10">
        <f>G457-[455]Main!$C$7+[455]Main!$C$8</f>
        <v/>
      </c>
      <c r="J457" s="1">
        <f>IF(ISNUMBER([455]Main!$C$11),[455]Main!$C$11,"")</f>
        <v/>
      </c>
      <c r="K457" s="57">
        <f>IFERROR(J457/F457-1,"")</f>
        <v/>
      </c>
      <c r="L457" s="12">
        <f>[455]Main!$C$15&amp;" ("&amp;[455]Main!$C$14&amp;")"</f>
        <v/>
      </c>
      <c r="M457" s="58" t="n">
        <v>46339</v>
      </c>
      <c r="N457" s="17" t="inlineStr">
        <is>
          <t>Earnings Nov 13 (est.) · Readout ~2026-11-30: Brain cancer, Phase 1/2</t>
        </is>
      </c>
    </row>
    <row r="458">
      <c r="B458" s="3" t="inlineStr">
        <is>
          <t>MNOV</t>
        </is>
      </c>
      <c r="C458" t="inlineStr">
        <is>
          <t>MediciNova Inc</t>
        </is>
      </c>
      <c r="D458" t="inlineStr">
        <is>
          <t>Biotechnology</t>
        </is>
      </c>
      <c r="E458" s="6" t="inlineStr">
        <is>
          <t>NASDAQ</t>
        </is>
      </c>
      <c r="F458" s="1" t="n">
        <v>1.36</v>
      </c>
      <c r="G458" s="8">
        <f>F458*[456]Main!$C$4</f>
        <v/>
      </c>
      <c r="H458" s="10">
        <f>G458-[456]Main!$C$7+[456]Main!$C$8</f>
        <v/>
      </c>
      <c r="J458" s="1">
        <f>IF(ISNUMBER([456]Main!$C$11),[456]Main!$C$11,"")</f>
        <v/>
      </c>
      <c r="K458" s="57">
        <f>IFERROR(J458/F458-1,"")</f>
        <v/>
      </c>
      <c r="L458" s="12">
        <f>[456]Main!$C$15&amp;" ("&amp;[456]Main!$C$14&amp;")"</f>
        <v/>
      </c>
      <c r="M458" s="58" t="n">
        <v>46337</v>
      </c>
      <c r="N458" s="17" t="inlineStr">
        <is>
          <t>Earnings Nov 11 (est.) · Readout ~2026-12-31: Type 2 diabetes, Phase 2</t>
        </is>
      </c>
    </row>
    <row r="459">
      <c r="B459" s="3" t="inlineStr">
        <is>
          <t>CGTX</t>
        </is>
      </c>
      <c r="C459" t="inlineStr">
        <is>
          <t>Cognition Therapeutics Inc</t>
        </is>
      </c>
      <c r="D459" t="inlineStr">
        <is>
          <t>Pharmaceuticals</t>
        </is>
      </c>
      <c r="E459" s="6" t="inlineStr">
        <is>
          <t>NASDAQ</t>
        </is>
      </c>
      <c r="F459" s="1" t="n">
        <v>0.7338</v>
      </c>
      <c r="G459" s="8">
        <f>F459*[457]Main!$C$4</f>
        <v/>
      </c>
      <c r="H459" s="10">
        <f>G459-[457]Main!$C$7+[457]Main!$C$8</f>
        <v/>
      </c>
      <c r="J459" s="1">
        <f>IF(ISNUMBER([457]Main!$C$11),[457]Main!$C$11,"")</f>
        <v/>
      </c>
      <c r="K459" s="57">
        <f>IFERROR(J459/F459-1,"")</f>
        <v/>
      </c>
      <c r="L459" s="12">
        <f>[457]Main!$C$15&amp;" ("&amp;[457]Main!$C$14&amp;")"</f>
        <v/>
      </c>
      <c r="M459" s="58" t="n">
        <v>46331</v>
      </c>
      <c r="N459" s="17" t="inlineStr">
        <is>
          <t>Earnings Nov 5 (est.) · Readout ~2027-05-31: Alzheimer's disease, Phase 2</t>
        </is>
      </c>
    </row>
    <row r="460">
      <c r="B460" s="3" t="inlineStr">
        <is>
          <t>HRTX</t>
        </is>
      </c>
      <c r="C460" t="inlineStr">
        <is>
          <t>Heron Therapeutics Inc</t>
        </is>
      </c>
      <c r="D460" t="inlineStr">
        <is>
          <t>Biotechnology</t>
        </is>
      </c>
      <c r="E460" s="6" t="inlineStr">
        <is>
          <t>NASDAQ</t>
        </is>
      </c>
      <c r="F460" s="1" t="n">
        <v>0.3545</v>
      </c>
      <c r="G460" s="8">
        <f>F460*[458]Main!$C$4</f>
        <v/>
      </c>
      <c r="H460" s="10">
        <f>G460-[458]Main!$C$7+[458]Main!$C$8</f>
        <v/>
      </c>
      <c r="J460" s="1">
        <f>IF(ISNUMBER([458]Main!$C$11),[458]Main!$C$11,"")</f>
        <v/>
      </c>
      <c r="K460" s="57">
        <f>IFERROR(J460/F460-1,"")</f>
        <v/>
      </c>
      <c r="L460" s="12">
        <f>[458]Main!$C$15&amp;" ("&amp;[458]Main!$C$14&amp;")"</f>
        <v/>
      </c>
      <c r="M460" s="58" t="n">
        <v>46329</v>
      </c>
      <c r="N460" s="17" t="inlineStr">
        <is>
          <t>Earnings Nov 3 (est.)</t>
        </is>
      </c>
    </row>
    <row r="461">
      <c r="B461" s="3" t="inlineStr">
        <is>
          <t>ZYBT</t>
        </is>
      </c>
      <c r="C461" t="inlineStr">
        <is>
          <t>Zhengye Biotechnology Holding Ltd</t>
        </is>
      </c>
      <c r="D461" t="inlineStr">
        <is>
          <t>Pharmaceuticals</t>
        </is>
      </c>
      <c r="E461" s="6" t="inlineStr">
        <is>
          <t>NASDAQ</t>
        </is>
      </c>
      <c r="F461" s="1" t="n">
        <v>1.49</v>
      </c>
      <c r="G461" s="8">
        <f>F461*[459]Main!$C$4</f>
        <v/>
      </c>
      <c r="H461" s="10">
        <f>G461-[459]Main!$C$7+[459]Main!$C$8</f>
        <v/>
      </c>
      <c r="J461" s="1">
        <f>IF(ISNUMBER([459]Main!$C$11),[459]Main!$C$11,"")</f>
        <v/>
      </c>
      <c r="K461" s="57">
        <f>IFERROR(J461/F461-1,"")</f>
        <v/>
      </c>
      <c r="L461" s="12">
        <f>[459]Main!$C$15&amp;" ("&amp;[459]Main!$C$14&amp;")"</f>
        <v/>
      </c>
      <c r="M461" s="58" t="n"/>
      <c r="N461" s="17" t="n"/>
    </row>
    <row r="462">
      <c r="B462" s="3" t="inlineStr">
        <is>
          <t>SPRO</t>
        </is>
      </c>
      <c r="C462" t="inlineStr">
        <is>
          <t>Spero Therapeutics, Inc.</t>
        </is>
      </c>
      <c r="D462" t="inlineStr">
        <is>
          <t>Biotechnology</t>
        </is>
      </c>
      <c r="E462" s="6" t="inlineStr">
        <is>
          <t>NASDAQ</t>
        </is>
      </c>
      <c r="F462" s="1" t="n">
        <v>1.22</v>
      </c>
      <c r="G462" s="8">
        <f>F462*[460]Main!$C$4</f>
        <v/>
      </c>
      <c r="H462" s="10">
        <f>G462-[460]Main!$C$7+[460]Main!$C$8</f>
        <v/>
      </c>
      <c r="J462" s="1">
        <f>IF(ISNUMBER([460]Main!$C$11),[460]Main!$C$11,"")</f>
        <v/>
      </c>
      <c r="K462" s="57">
        <f>IFERROR(J462/F462-1,"")</f>
        <v/>
      </c>
      <c r="L462" s="12">
        <f>[460]Main!$C$15&amp;" ("&amp;[460]Main!$C$14&amp;")"</f>
        <v/>
      </c>
      <c r="M462" s="58" t="n">
        <v>46338</v>
      </c>
      <c r="N462" s="17" t="inlineStr">
        <is>
          <t>Earnings Nov 12 (est.)</t>
        </is>
      </c>
    </row>
    <row r="463">
      <c r="B463" s="3" t="inlineStr">
        <is>
          <t>OSTX</t>
        </is>
      </c>
      <c r="C463" t="inlineStr">
        <is>
          <t>OS Therapies Inc</t>
        </is>
      </c>
      <c r="D463" t="inlineStr">
        <is>
          <t>Biotechnology</t>
        </is>
      </c>
      <c r="E463" s="6" t="inlineStr">
        <is>
          <t>NYSE</t>
        </is>
      </c>
      <c r="F463" s="1" t="n">
        <v>1.27</v>
      </c>
      <c r="G463" s="8">
        <f>F463*[461]Main!$C$4</f>
        <v/>
      </c>
      <c r="H463" s="10">
        <f>G463-[461]Main!$C$7+[461]Main!$C$8</f>
        <v/>
      </c>
      <c r="J463" s="1">
        <f>IF(ISNUMBER([461]Main!$C$11),[461]Main!$C$11,"")</f>
        <v/>
      </c>
      <c r="K463" s="57">
        <f>IFERROR(J463/F463-1,"")</f>
        <v/>
      </c>
      <c r="L463" s="12">
        <f>[461]Main!$C$15&amp;" ("&amp;[461]Main!$C$14&amp;")"</f>
        <v/>
      </c>
      <c r="M463" s="58" t="n">
        <v>46339</v>
      </c>
      <c r="N463" s="17" t="inlineStr">
        <is>
          <t>Earnings Nov 13 (est.)</t>
        </is>
      </c>
    </row>
    <row r="464">
      <c r="B464" s="3" t="inlineStr">
        <is>
          <t>PMVP</t>
        </is>
      </c>
      <c r="C464" t="inlineStr">
        <is>
          <t>Pmv Pharmaceuticals, Inc</t>
        </is>
      </c>
      <c r="D464" t="inlineStr">
        <is>
          <t>Biotechnology</t>
        </is>
      </c>
      <c r="E464" s="6" t="inlineStr">
        <is>
          <t>NASDAQ</t>
        </is>
      </c>
      <c r="F464" s="1" t="n">
        <v>1.39</v>
      </c>
      <c r="G464" s="8">
        <f>F464*[462]Main!$C$4</f>
        <v/>
      </c>
      <c r="H464" s="10">
        <f>G464-[462]Main!$C$7+[462]Main!$C$8</f>
        <v/>
      </c>
      <c r="J464" s="1">
        <f>IF(ISNUMBER([462]Main!$C$11),[462]Main!$C$11,"")</f>
        <v/>
      </c>
      <c r="K464" s="57">
        <f>IFERROR(J464/F464-1,"")</f>
        <v/>
      </c>
      <c r="L464" s="12">
        <f>[462]Main!$C$15&amp;" ("&amp;[462]Main!$C$14&amp;")"</f>
        <v/>
      </c>
      <c r="M464" s="58" t="n">
        <v>46337</v>
      </c>
      <c r="N464" s="17" t="inlineStr">
        <is>
          <t>Earnings Nov 11 (est.) · Readout ~2026-12-15: Lung cancer, Phase 1/2</t>
        </is>
      </c>
    </row>
    <row r="465">
      <c r="B465" s="3" t="inlineStr">
        <is>
          <t>XBIT</t>
        </is>
      </c>
      <c r="C465" t="inlineStr">
        <is>
          <t>XBiotech Inc</t>
        </is>
      </c>
      <c r="D465" t="inlineStr">
        <is>
          <t>Biotechnology</t>
        </is>
      </c>
      <c r="E465" s="6" t="inlineStr">
        <is>
          <t>NASDAQ</t>
        </is>
      </c>
      <c r="F465" s="1" t="n">
        <v>2.02</v>
      </c>
      <c r="G465" s="8">
        <f>F465*[463]Main!$C$4</f>
        <v/>
      </c>
      <c r="H465" s="10">
        <f>G465-[463]Main!$C$7+[463]Main!$C$8</f>
        <v/>
      </c>
      <c r="J465" s="1">
        <f>IF(ISNUMBER([463]Main!$C$11),[463]Main!$C$11,"")</f>
        <v/>
      </c>
      <c r="K465" s="57">
        <f>IFERROR(J465/F465-1,"")</f>
        <v/>
      </c>
      <c r="L465" s="12">
        <f>[463]Main!$C$15&amp;" ("&amp;[463]Main!$C$14&amp;")"</f>
        <v/>
      </c>
      <c r="M465" s="58" t="n">
        <v>46337</v>
      </c>
      <c r="N465" s="17" t="inlineStr">
        <is>
          <t>Earnings Nov 11 (est.) · Readout ~2027-01-15: Rheumatoid / spondyloarthritis, Phase 2</t>
        </is>
      </c>
    </row>
    <row r="466">
      <c r="B466" s="3" t="inlineStr">
        <is>
          <t>ONCY</t>
        </is>
      </c>
      <c r="C466" t="inlineStr">
        <is>
          <t>Oncolytics Biotech Inc</t>
        </is>
      </c>
      <c r="D466" t="inlineStr">
        <is>
          <t>Biotechnology</t>
        </is>
      </c>
      <c r="E466" s="6" t="inlineStr">
        <is>
          <t>NASDAQ</t>
        </is>
      </c>
      <c r="F466" s="1" t="n">
        <v>0.4986</v>
      </c>
      <c r="G466" s="8">
        <f>F466*[464]Main!$C$4</f>
        <v/>
      </c>
      <c r="H466" s="10">
        <f>G466-[464]Main!$C$7+[464]Main!$C$8</f>
        <v/>
      </c>
      <c r="J466" s="1">
        <f>IF(ISNUMBER([464]Main!$C$11),[464]Main!$C$11,"")</f>
        <v/>
      </c>
      <c r="K466" s="57">
        <f>IFERROR(J466/F466-1,"")</f>
        <v/>
      </c>
      <c r="L466" s="12">
        <f>[464]Main!$C$15&amp;" ("&amp;[464]Main!$C$14&amp;")"</f>
        <v/>
      </c>
      <c r="M466" s="58" t="n">
        <v>46337</v>
      </c>
      <c r="N466" s="17" t="inlineStr">
        <is>
          <t>Earnings Nov 11 (est.) · Readout ~2027-07-30: Solid tumors (basket), Phase 1/2</t>
        </is>
      </c>
    </row>
    <row r="467">
      <c r="B467" s="3" t="inlineStr">
        <is>
          <t>CING</t>
        </is>
      </c>
      <c r="C467" t="inlineStr">
        <is>
          <t>Cingulate Inc</t>
        </is>
      </c>
      <c r="D467" t="inlineStr">
        <is>
          <t>Pharmaceuticals</t>
        </is>
      </c>
      <c r="E467" s="6" t="inlineStr">
        <is>
          <t>NASDAQ</t>
        </is>
      </c>
      <c r="F467" s="1" t="n">
        <v>4.53</v>
      </c>
      <c r="G467" s="8">
        <f>F467*[465]Main!$C$4</f>
        <v/>
      </c>
      <c r="H467" s="10">
        <f>G467-[465]Main!$C$7+[465]Main!$C$8</f>
        <v/>
      </c>
      <c r="J467" s="1">
        <f>IF(ISNUMBER([465]Main!$C$11),[465]Main!$C$11,"")</f>
        <v/>
      </c>
      <c r="K467" s="57">
        <f>IFERROR(J467/F467-1,"")</f>
        <v/>
      </c>
      <c r="L467" s="12">
        <f>[465]Main!$C$15&amp;" ("&amp;[465]Main!$C$14&amp;")"</f>
        <v/>
      </c>
      <c r="M467" s="58" t="n">
        <v>46338</v>
      </c>
      <c r="N467" s="17" t="inlineStr">
        <is>
          <t>Earnings Nov 12 (est.)</t>
        </is>
      </c>
    </row>
    <row r="468">
      <c r="B468" s="3" t="inlineStr">
        <is>
          <t>PDSB</t>
        </is>
      </c>
      <c r="C468" t="inlineStr">
        <is>
          <t>PDS Biotechnology Corp</t>
        </is>
      </c>
      <c r="D468" t="inlineStr">
        <is>
          <t>Biotechnology</t>
        </is>
      </c>
      <c r="E468" s="6" t="inlineStr">
        <is>
          <t>NASDAQ</t>
        </is>
      </c>
      <c r="F468" s="1" t="n">
        <v>0.9605</v>
      </c>
      <c r="G468" s="8">
        <f>F468*[466]Main!$C$4</f>
        <v/>
      </c>
      <c r="H468" s="10">
        <f>G468-[466]Main!$C$7+[466]Main!$C$8</f>
        <v/>
      </c>
      <c r="J468" s="1">
        <f>IF(ISNUMBER([466]Main!$C$11),[466]Main!$C$11,"")</f>
        <v/>
      </c>
      <c r="K468" s="57">
        <f>IFERROR(J468/F468-1,"")</f>
        <v/>
      </c>
      <c r="L468" s="12">
        <f>[466]Main!$C$15&amp;" ("&amp;[466]Main!$C$14&amp;")"</f>
        <v/>
      </c>
      <c r="M468" s="58" t="n">
        <v>46338</v>
      </c>
      <c r="N468" s="17" t="inlineStr">
        <is>
          <t>Earnings Nov 12 (est.)</t>
        </is>
      </c>
    </row>
    <row r="469">
      <c r="B469" s="3" t="inlineStr">
        <is>
          <t>NMAD</t>
        </is>
      </c>
      <c r="C469" t="inlineStr">
        <is>
          <t>NOMAD Power Solutions, Inc</t>
        </is>
      </c>
      <c r="D469" t="inlineStr">
        <is>
          <t>Biotechnology</t>
        </is>
      </c>
      <c r="E469" s="6" t="inlineStr">
        <is>
          <t>NASDAQ</t>
        </is>
      </c>
      <c r="F469" s="1" t="n">
        <v>3.72</v>
      </c>
      <c r="G469" s="8">
        <f>F469*[467]Main!$C$4</f>
        <v/>
      </c>
      <c r="H469" s="10">
        <f>G469-[467]Main!$C$7+[467]Main!$C$8</f>
        <v/>
      </c>
      <c r="J469" s="1">
        <f>IF(ISNUMBER([467]Main!$C$11),[467]Main!$C$11,"")</f>
        <v/>
      </c>
      <c r="K469" s="57">
        <f>IFERROR(J469/F469-1,"")</f>
        <v/>
      </c>
      <c r="L469" s="12">
        <f>[467]Main!$C$15&amp;" ("&amp;[467]Main!$C$14&amp;")"</f>
        <v/>
      </c>
      <c r="M469" s="58" t="n">
        <v>46337</v>
      </c>
      <c r="N469" s="17" t="inlineStr">
        <is>
          <t>Earnings Nov 11 (est.)</t>
        </is>
      </c>
    </row>
    <row r="470">
      <c r="B470" s="3" t="inlineStr">
        <is>
          <t>FBIO</t>
        </is>
      </c>
      <c r="C470" t="inlineStr">
        <is>
          <t>Fortress Biotech Inc</t>
        </is>
      </c>
      <c r="D470" t="inlineStr">
        <is>
          <t>Biotechnology</t>
        </is>
      </c>
      <c r="E470" s="6" t="inlineStr">
        <is>
          <t>NASDAQ</t>
        </is>
      </c>
      <c r="F470" s="1" t="n">
        <v>1.94</v>
      </c>
      <c r="G470" s="8">
        <f>F470*[468]Main!$C$4</f>
        <v/>
      </c>
      <c r="H470" s="10">
        <f>G470-[468]Main!$C$7+[468]Main!$C$8</f>
        <v/>
      </c>
      <c r="J470" s="1">
        <f>IF(ISNUMBER([468]Main!$C$11),[468]Main!$C$11,"")</f>
        <v/>
      </c>
      <c r="K470" s="57">
        <f>IFERROR(J470/F470-1,"")</f>
        <v/>
      </c>
      <c r="L470" s="12">
        <f>[468]Main!$C$15&amp;" ("&amp;[468]Main!$C$14&amp;")"</f>
        <v/>
      </c>
      <c r="M470" s="58" t="n">
        <v>46339</v>
      </c>
      <c r="N470" s="17" t="inlineStr">
        <is>
          <t>Earnings Nov 13 (est.)</t>
        </is>
      </c>
    </row>
    <row r="471">
      <c r="B471" s="3" t="inlineStr">
        <is>
          <t>VRCA</t>
        </is>
      </c>
      <c r="C471" t="inlineStr">
        <is>
          <t>Verrica Pharmaceuticals Inc</t>
        </is>
      </c>
      <c r="D471" t="inlineStr">
        <is>
          <t>Pharmaceuticals</t>
        </is>
      </c>
      <c r="E471" s="6" t="inlineStr">
        <is>
          <t>NASDAQ</t>
        </is>
      </c>
      <c r="F471" s="1" t="n">
        <v>3.47</v>
      </c>
      <c r="G471" s="8">
        <f>F471*[469]Main!$C$4</f>
        <v/>
      </c>
      <c r="H471" s="10">
        <f>G471-[469]Main!$C$7+[469]Main!$C$8</f>
        <v/>
      </c>
      <c r="J471" s="1">
        <f>IF(ISNUMBER([469]Main!$C$11),[469]Main!$C$11,"")</f>
        <v/>
      </c>
      <c r="K471" s="57">
        <f>IFERROR(J471/F471-1,"")</f>
        <v/>
      </c>
      <c r="L471" s="12">
        <f>[469]Main!$C$15&amp;" ("&amp;[469]Main!$C$14&amp;")"</f>
        <v/>
      </c>
      <c r="M471" s="58" t="n">
        <v>46339</v>
      </c>
      <c r="N471" s="17" t="inlineStr">
        <is>
          <t>Earnings Nov 13 (est.) · Readout ~2027-04: Viral infections (other), Phase 3</t>
        </is>
      </c>
    </row>
    <row r="472">
      <c r="B472" s="3" t="inlineStr">
        <is>
          <t>BMEA</t>
        </is>
      </c>
      <c r="C472" t="inlineStr">
        <is>
          <t>Biomea Fusion, Inc.</t>
        </is>
      </c>
      <c r="D472" t="inlineStr">
        <is>
          <t>Biotechnology</t>
        </is>
      </c>
      <c r="E472" s="6" t="inlineStr">
        <is>
          <t>NASDAQ</t>
        </is>
      </c>
      <c r="F472" s="1" t="n">
        <v>0.7356</v>
      </c>
      <c r="G472" s="8">
        <f>F472*[470]Main!$C$4</f>
        <v/>
      </c>
      <c r="H472" s="10">
        <f>G472-[470]Main!$C$7+[470]Main!$C$8</f>
        <v/>
      </c>
      <c r="J472" s="1">
        <f>IF(ISNUMBER([470]Main!$C$11),[470]Main!$C$11,"")</f>
        <v/>
      </c>
      <c r="K472" s="57">
        <f>IFERROR(J472/F472-1,"")</f>
        <v/>
      </c>
      <c r="L472" s="12">
        <f>[470]Main!$C$15&amp;" ("&amp;[470]Main!$C$14&amp;")"</f>
        <v/>
      </c>
      <c r="M472" s="58" t="n">
        <v>46329</v>
      </c>
      <c r="N472" s="17" t="inlineStr">
        <is>
          <t>Earnings Nov 3 (est.) · Readout ~2027-03: Type 2 diabetes, Phase 2</t>
        </is>
      </c>
    </row>
    <row r="473">
      <c r="B473" s="3" t="inlineStr">
        <is>
          <t>GANX</t>
        </is>
      </c>
      <c r="C473" t="inlineStr">
        <is>
          <t>Gain Therapeutics Inc</t>
        </is>
      </c>
      <c r="D473" t="inlineStr">
        <is>
          <t>Biotechnology</t>
        </is>
      </c>
      <c r="E473" s="6" t="inlineStr">
        <is>
          <t>NASDAQ</t>
        </is>
      </c>
      <c r="F473" s="1" t="n">
        <v>1.19</v>
      </c>
      <c r="G473" s="8">
        <f>F473*[471]Main!$C$4</f>
        <v/>
      </c>
      <c r="H473" s="10">
        <f>G473-[471]Main!$C$7+[471]Main!$C$8</f>
        <v/>
      </c>
      <c r="J473" s="1">
        <f>IF(ISNUMBER([471]Main!$C$11),[471]Main!$C$11,"")</f>
        <v/>
      </c>
      <c r="K473" s="57">
        <f>IFERROR(J473/F473-1,"")</f>
        <v/>
      </c>
      <c r="L473" s="12">
        <f>[471]Main!$C$15&amp;" ("&amp;[471]Main!$C$14&amp;")"</f>
        <v/>
      </c>
      <c r="M473" s="58" t="n">
        <v>46337</v>
      </c>
      <c r="N473" s="17" t="inlineStr">
        <is>
          <t>Earnings Nov 11 (est.) · Readout ~2028-06-30: Parkinson's disease, Phase 2</t>
        </is>
      </c>
    </row>
    <row r="474">
      <c r="B474" s="3" t="inlineStr">
        <is>
          <t>CNTB</t>
        </is>
      </c>
      <c r="C474" t="inlineStr">
        <is>
          <t>Connect Biopharma Holdings Ltd</t>
        </is>
      </c>
      <c r="D474" t="inlineStr">
        <is>
          <t>Biotechnology</t>
        </is>
      </c>
      <c r="E474" s="6" t="inlineStr">
        <is>
          <t>NASDAQ</t>
        </is>
      </c>
      <c r="F474" s="1" t="n">
        <v>0.8752</v>
      </c>
      <c r="G474" s="8">
        <f>F474*[472]Main!$C$4</f>
        <v/>
      </c>
      <c r="H474" s="10">
        <f>G474-[472]Main!$C$7+[472]Main!$C$8</f>
        <v/>
      </c>
      <c r="J474" s="1">
        <f>IF(ISNUMBER([472]Main!$C$11),[472]Main!$C$11,"")</f>
        <v/>
      </c>
      <c r="K474" s="57">
        <f>IFERROR(J474/F474-1,"")</f>
        <v/>
      </c>
      <c r="L474" s="12">
        <f>[472]Main!$C$15&amp;" ("&amp;[472]Main!$C$14&amp;")"</f>
        <v/>
      </c>
      <c r="M474" s="58" t="n">
        <v>46337</v>
      </c>
      <c r="N474" s="17" t="inlineStr">
        <is>
          <t>Earnings Nov 11 (est.)</t>
        </is>
      </c>
    </row>
    <row r="475">
      <c r="B475" s="3" t="inlineStr">
        <is>
          <t>XLO</t>
        </is>
      </c>
      <c r="C475" t="inlineStr">
        <is>
          <t>Xilio Therapeutics Inc</t>
        </is>
      </c>
      <c r="D475" t="inlineStr">
        <is>
          <t>Biotechnology</t>
        </is>
      </c>
      <c r="E475" s="6" t="inlineStr">
        <is>
          <t>NASDAQ</t>
        </is>
      </c>
      <c r="F475" s="1" t="n">
        <v>8.539999999999999</v>
      </c>
      <c r="G475" s="8">
        <f>F475*[473]Main!$C$4</f>
        <v/>
      </c>
      <c r="H475" s="10">
        <f>G475-[473]Main!$C$7+[473]Main!$C$8</f>
        <v/>
      </c>
      <c r="J475" s="1">
        <f>IF(ISNUMBER([473]Main!$C$11),[473]Main!$C$11,"")</f>
        <v/>
      </c>
      <c r="K475" s="57">
        <f>IFERROR(J475/F475-1,"")</f>
        <v/>
      </c>
      <c r="L475" s="12">
        <f>[473]Main!$C$15&amp;" ("&amp;[473]Main!$C$14&amp;")"</f>
        <v/>
      </c>
      <c r="M475" s="58" t="n">
        <v>46338</v>
      </c>
      <c r="N475" s="17" t="inlineStr">
        <is>
          <t>Earnings Nov 12 (est.)</t>
        </is>
      </c>
    </row>
    <row r="476">
      <c r="B476" s="3" t="inlineStr">
        <is>
          <t>PLRX</t>
        </is>
      </c>
      <c r="C476" t="inlineStr">
        <is>
          <t>Pliant Therapeutics, Inc.</t>
        </is>
      </c>
      <c r="D476" t="inlineStr">
        <is>
          <t>Pharmaceuticals</t>
        </is>
      </c>
      <c r="E476" s="6" t="inlineStr">
        <is>
          <t>NASDAQ</t>
        </is>
      </c>
      <c r="F476" s="1" t="n">
        <v>0.9124</v>
      </c>
      <c r="G476" s="8">
        <f>F476*[474]Main!$C$4</f>
        <v/>
      </c>
      <c r="H476" s="10">
        <f>G476-[474]Main!$C$7+[474]Main!$C$8</f>
        <v/>
      </c>
      <c r="J476" s="1">
        <f>IF(ISNUMBER([474]Main!$C$11),[474]Main!$C$11,"")</f>
        <v/>
      </c>
      <c r="K476" s="57">
        <f>IFERROR(J476/F476-1,"")</f>
        <v/>
      </c>
      <c r="L476" s="12">
        <f>[474]Main!$C$15&amp;" ("&amp;[474]Main!$C$14&amp;")"</f>
        <v/>
      </c>
      <c r="M476" s="58" t="n">
        <v>46331</v>
      </c>
      <c r="N476" s="17" t="inlineStr">
        <is>
          <t>Earnings Nov 5 (est.) · Readout ~2030-06: Solid tumors (basket), Phase 1</t>
        </is>
      </c>
    </row>
    <row r="477">
      <c r="B477" s="3" t="inlineStr">
        <is>
          <t>TLPH</t>
        </is>
      </c>
      <c r="C477" t="inlineStr">
        <is>
          <t>Talphera Inc</t>
        </is>
      </c>
      <c r="D477" t="inlineStr">
        <is>
          <t>Pharmaceuticals</t>
        </is>
      </c>
      <c r="E477" s="6" t="inlineStr">
        <is>
          <t>NASDAQ</t>
        </is>
      </c>
      <c r="F477" s="1" t="n">
        <v>1.07</v>
      </c>
      <c r="G477" s="8">
        <f>F477*[475]Main!$C$4</f>
        <v/>
      </c>
      <c r="H477" s="10">
        <f>G477-[475]Main!$C$7+[475]Main!$C$8</f>
        <v/>
      </c>
      <c r="J477" s="1">
        <f>IF(ISNUMBER([475]Main!$C$11),[475]Main!$C$11,"")</f>
        <v/>
      </c>
      <c r="K477" s="57">
        <f>IFERROR(J477/F477-1,"")</f>
        <v/>
      </c>
      <c r="L477" s="12">
        <f>[475]Main!$C$15&amp;" ("&amp;[475]Main!$C$14&amp;")"</f>
        <v/>
      </c>
      <c r="M477" s="58" t="n">
        <v>46337</v>
      </c>
      <c r="N477" s="17" t="inlineStr">
        <is>
          <t>Earnings Nov 11 (est.)</t>
        </is>
      </c>
    </row>
    <row r="478">
      <c r="B478" s="3" t="inlineStr">
        <is>
          <t>SKYE</t>
        </is>
      </c>
      <c r="C478" t="inlineStr">
        <is>
          <t>Skye Bioscience, Inc.</t>
        </is>
      </c>
      <c r="D478" t="inlineStr">
        <is>
          <t>Biotechnology</t>
        </is>
      </c>
      <c r="E478" s="6" t="inlineStr">
        <is>
          <t>NASDAQ</t>
        </is>
      </c>
      <c r="F478" s="1" t="n">
        <v>1.62</v>
      </c>
      <c r="G478" s="8">
        <f>F478*[476]Main!$C$4</f>
        <v/>
      </c>
      <c r="H478" s="10">
        <f>G478-[476]Main!$C$7+[476]Main!$C$8</f>
        <v/>
      </c>
      <c r="J478" s="1">
        <f>IF(ISNUMBER([476]Main!$C$11),[476]Main!$C$11,"")</f>
        <v/>
      </c>
      <c r="K478" s="57">
        <f>IFERROR(J478/F478-1,"")</f>
        <v/>
      </c>
      <c r="L478" s="12">
        <f>[476]Main!$C$15&amp;" ("&amp;[476]Main!$C$14&amp;")"</f>
        <v/>
      </c>
      <c r="M478" s="58" t="n">
        <v>46335</v>
      </c>
      <c r="N478" s="17" t="inlineStr">
        <is>
          <t>Earnings Nov 9 (est.) · Readout ~2026-11-20: Obesity, Phase 2</t>
        </is>
      </c>
    </row>
    <row r="479">
      <c r="B479" s="3" t="inlineStr">
        <is>
          <t>RNTX</t>
        </is>
      </c>
      <c r="C479" t="inlineStr">
        <is>
          <t>Rein Therapeutics Inc</t>
        </is>
      </c>
      <c r="D479" t="inlineStr">
        <is>
          <t>Biotechnology</t>
        </is>
      </c>
      <c r="E479" s="6" t="inlineStr">
        <is>
          <t>NASDAQ</t>
        </is>
      </c>
      <c r="F479" s="1" t="n">
        <v>0.5951</v>
      </c>
      <c r="G479" s="8">
        <f>F479*[477]Main!$C$4</f>
        <v/>
      </c>
      <c r="H479" s="10">
        <f>G479-[477]Main!$C$7+[477]Main!$C$8</f>
        <v/>
      </c>
      <c r="J479" s="1">
        <f>IF(ISNUMBER([477]Main!$C$11),[477]Main!$C$11,"")</f>
        <v/>
      </c>
      <c r="K479" s="57">
        <f>IFERROR(J479/F479-1,"")</f>
        <v/>
      </c>
      <c r="L479" s="12">
        <f>[477]Main!$C$15&amp;" ("&amp;[477]Main!$C$14&amp;")"</f>
        <v/>
      </c>
      <c r="M479" s="58" t="n">
        <v>46339</v>
      </c>
      <c r="N479" s="17" t="inlineStr">
        <is>
          <t>Earnings Nov 13 (est.) · Readout ~2027-09-30: Idiopathic pulmonary fibrosis, Phase 2</t>
        </is>
      </c>
    </row>
    <row r="480">
      <c r="B480" s="3" t="inlineStr">
        <is>
          <t>RNXT</t>
        </is>
      </c>
      <c r="C480" t="inlineStr">
        <is>
          <t>RenovoRx Inc</t>
        </is>
      </c>
      <c r="D480" t="inlineStr">
        <is>
          <t>Biotechnology</t>
        </is>
      </c>
      <c r="E480" s="6" t="inlineStr">
        <is>
          <t>NASDAQ</t>
        </is>
      </c>
      <c r="F480" s="1" t="n">
        <v>1.2</v>
      </c>
      <c r="G480" s="8">
        <f>F480*[478]Main!$C$4</f>
        <v/>
      </c>
      <c r="H480" s="10">
        <f>G480-[478]Main!$C$7+[478]Main!$C$8</f>
        <v/>
      </c>
      <c r="J480" s="1">
        <f>IF(ISNUMBER([478]Main!$C$11),[478]Main!$C$11,"")</f>
        <v/>
      </c>
      <c r="K480" s="57">
        <f>IFERROR(J480/F480-1,"")</f>
        <v/>
      </c>
      <c r="L480" s="12">
        <f>[478]Main!$C$15&amp;" ("&amp;[478]Main!$C$14&amp;")"</f>
        <v/>
      </c>
      <c r="M480" s="58" t="n">
        <v>46338</v>
      </c>
      <c r="N480" s="17" t="inlineStr">
        <is>
          <t>Earnings Nov 12 (est.) · Readout ~2027-06: Pancreatic cancer, Phase 3</t>
        </is>
      </c>
    </row>
    <row r="481">
      <c r="B481" s="3" t="inlineStr">
        <is>
          <t>YARW</t>
        </is>
      </c>
      <c r="C481" t="inlineStr">
        <is>
          <t>Yarrow Bioscience, Inc.</t>
        </is>
      </c>
      <c r="D481" t="inlineStr">
        <is>
          <t>Biotechnology</t>
        </is>
      </c>
      <c r="E481" s="6" t="inlineStr">
        <is>
          <t>NASDAQ</t>
        </is>
      </c>
      <c r="F481" s="1" t="n">
        <v>20.21</v>
      </c>
      <c r="G481" s="8">
        <f>F481*[479]Main!$C$4</f>
        <v/>
      </c>
      <c r="H481" s="10">
        <f>G481-[479]Main!$C$7+[479]Main!$C$8</f>
        <v/>
      </c>
      <c r="J481" s="1">
        <f>IF(ISNUMBER([479]Main!$C$11),[479]Main!$C$11,"")</f>
        <v/>
      </c>
      <c r="K481" s="57">
        <f>IFERROR(J481/F481-1,"")</f>
        <v/>
      </c>
      <c r="L481" s="12">
        <f>[479]Main!$C$15&amp;" ("&amp;[479]Main!$C$14&amp;")"</f>
        <v/>
      </c>
      <c r="M481" s="58" t="n">
        <v>46331</v>
      </c>
      <c r="N481" s="17" t="inlineStr">
        <is>
          <t>Earnings Nov 5 (est.) · Readout ~2027-12: Rare autoimmune, Phase 2</t>
        </is>
      </c>
    </row>
    <row r="482">
      <c r="B482" s="3" t="inlineStr">
        <is>
          <t>BOLD</t>
        </is>
      </c>
      <c r="C482" t="inlineStr">
        <is>
          <t>Boundless Bio, Inc.</t>
        </is>
      </c>
      <c r="D482" t="inlineStr">
        <is>
          <t>Biotechnology</t>
        </is>
      </c>
      <c r="E482" s="6" t="inlineStr">
        <is>
          <t>NASDAQ</t>
        </is>
      </c>
      <c r="F482" s="1" t="n">
        <v>2.43</v>
      </c>
      <c r="G482" s="8">
        <f>F482*[480]Main!$C$4</f>
        <v/>
      </c>
      <c r="H482" s="10">
        <f>G482-[480]Main!$C$7+[480]Main!$C$8</f>
        <v/>
      </c>
      <c r="J482" s="1">
        <f>IF(ISNUMBER([480]Main!$C$11),[480]Main!$C$11,"")</f>
        <v/>
      </c>
      <c r="K482" s="57">
        <f>IFERROR(J482/F482-1,"")</f>
        <v/>
      </c>
      <c r="L482" s="12">
        <f>[480]Main!$C$15&amp;" ("&amp;[480]Main!$C$14&amp;")"</f>
        <v/>
      </c>
      <c r="M482" s="58" t="n">
        <v>46330</v>
      </c>
      <c r="N482" s="17" t="inlineStr">
        <is>
          <t>Earnings Nov 4 (est.)</t>
        </is>
      </c>
    </row>
    <row r="483">
      <c r="B483" s="3" t="inlineStr">
        <is>
          <t>KLRS</t>
        </is>
      </c>
      <c r="C483" t="inlineStr">
        <is>
          <t>Kalaris Therapeutics Inc</t>
        </is>
      </c>
      <c r="D483" t="inlineStr">
        <is>
          <t>Biotechnology</t>
        </is>
      </c>
      <c r="E483" s="6" t="inlineStr">
        <is>
          <t>NASDAQ</t>
        </is>
      </c>
      <c r="F483" s="1" t="n">
        <v>2.07</v>
      </c>
      <c r="G483" s="8">
        <f>F483*[481]Main!$C$4</f>
        <v/>
      </c>
      <c r="H483" s="10">
        <f>G483-[481]Main!$C$7+[481]Main!$C$8</f>
        <v/>
      </c>
      <c r="J483" s="1">
        <f>IF(ISNUMBER([481]Main!$C$11),[481]Main!$C$11,"")</f>
        <v/>
      </c>
      <c r="K483" s="57">
        <f>IFERROR(J483/F483-1,"")</f>
        <v/>
      </c>
      <c r="L483" s="12">
        <f>[481]Main!$C$15&amp;" ("&amp;[481]Main!$C$14&amp;")"</f>
        <v/>
      </c>
      <c r="M483" s="58" t="n">
        <v>46337</v>
      </c>
      <c r="N483" s="17" t="inlineStr">
        <is>
          <t>Earnings Nov 11 (est.)</t>
        </is>
      </c>
    </row>
    <row r="484">
      <c r="B484" s="3" t="inlineStr">
        <is>
          <t>TENX</t>
        </is>
      </c>
      <c r="C484" t="inlineStr">
        <is>
          <t>Tenax Therapeutics Inc</t>
        </is>
      </c>
      <c r="D484" t="inlineStr">
        <is>
          <t>Biotechnology</t>
        </is>
      </c>
      <c r="E484" s="6" t="inlineStr">
        <is>
          <t>NASDAQ</t>
        </is>
      </c>
      <c r="F484" s="1" t="n">
        <v>1.63</v>
      </c>
      <c r="G484" s="8">
        <f>F484*[482]Main!$C$4</f>
        <v/>
      </c>
      <c r="H484" s="10">
        <f>G484-[482]Main!$C$7+[482]Main!$C$8</f>
        <v/>
      </c>
      <c r="J484" s="1">
        <f>IF(ISNUMBER([482]Main!$C$11),[482]Main!$C$11,"")</f>
        <v/>
      </c>
      <c r="K484" s="57">
        <f>IFERROR(J484/F484-1,"")</f>
        <v/>
      </c>
      <c r="L484" s="12">
        <f>[482]Main!$C$15&amp;" ("&amp;[482]Main!$C$14&amp;")"</f>
        <v/>
      </c>
      <c r="M484" s="58" t="n">
        <v>46337</v>
      </c>
      <c r="N484" s="17" t="inlineStr">
        <is>
          <t>Earnings Nov 11 (est.) · Readout ~2028-06-30: Heart failure, Phase 3</t>
        </is>
      </c>
    </row>
    <row r="485">
      <c r="B485" s="3" t="inlineStr">
        <is>
          <t>INKT</t>
        </is>
      </c>
      <c r="C485" t="inlineStr">
        <is>
          <t>Mink Therapeutics Inc</t>
        </is>
      </c>
      <c r="D485" t="inlineStr">
        <is>
          <t>Biotechnology</t>
        </is>
      </c>
      <c r="E485" s="6" t="inlineStr">
        <is>
          <t>NASDAQ</t>
        </is>
      </c>
      <c r="F485" s="1" t="n">
        <v>9.859999999999999</v>
      </c>
      <c r="G485" s="8">
        <f>F485*[483]Main!$C$4</f>
        <v/>
      </c>
      <c r="H485" s="10">
        <f>G485-[483]Main!$C$7+[483]Main!$C$8</f>
        <v/>
      </c>
      <c r="J485" s="1">
        <f>IF(ISNUMBER([483]Main!$C$11),[483]Main!$C$11,"")</f>
        <v/>
      </c>
      <c r="K485" s="57">
        <f>IFERROR(J485/F485-1,"")</f>
        <v/>
      </c>
      <c r="L485" s="12">
        <f>[483]Main!$C$15&amp;" ("&amp;[483]Main!$C$14&amp;")"</f>
        <v/>
      </c>
      <c r="M485" s="58" t="n">
        <v>46339</v>
      </c>
      <c r="N485" s="17" t="inlineStr">
        <is>
          <t>Earnings Nov 13 (est.) · Readout ~2027-06: Bacterial / fungal infections, Phase 2</t>
        </is>
      </c>
    </row>
    <row r="486">
      <c r="B486" s="3" t="inlineStr">
        <is>
          <t>CRBU</t>
        </is>
      </c>
      <c r="C486" t="inlineStr">
        <is>
          <t>Caribou Biosciences, Inc.</t>
        </is>
      </c>
      <c r="D486" t="inlineStr">
        <is>
          <t>Biotechnology</t>
        </is>
      </c>
      <c r="E486" s="6" t="inlineStr">
        <is>
          <t>NASDAQ</t>
        </is>
      </c>
      <c r="F486" s="1" t="n">
        <v>0.519</v>
      </c>
      <c r="G486" s="8">
        <f>F486*[484]Main!$C$4</f>
        <v/>
      </c>
      <c r="H486" s="10">
        <f>G486-[484]Main!$C$7+[484]Main!$C$8</f>
        <v/>
      </c>
      <c r="J486" s="1">
        <f>IF(ISNUMBER([484]Main!$C$11),[484]Main!$C$11,"")</f>
        <v/>
      </c>
      <c r="K486" s="57">
        <f>IFERROR(J486/F486-1,"")</f>
        <v/>
      </c>
      <c r="L486" s="12">
        <f>[484]Main!$C$15&amp;" ("&amp;[484]Main!$C$14&amp;")"</f>
        <v/>
      </c>
      <c r="M486" s="58" t="n">
        <v>46337</v>
      </c>
      <c r="N486" s="17" t="inlineStr">
        <is>
          <t>Earnings Nov 11 (est.) · Readout ~2027-12: Multiple myeloma, Phase 1</t>
        </is>
      </c>
    </row>
    <row r="487">
      <c r="B487" s="3" t="inlineStr">
        <is>
          <t>LONA</t>
        </is>
      </c>
      <c r="C487" t="inlineStr">
        <is>
          <t>LeonaBio Inc</t>
        </is>
      </c>
      <c r="D487" t="inlineStr">
        <is>
          <t>Pharmaceuticals</t>
        </is>
      </c>
      <c r="E487" s="6" t="inlineStr">
        <is>
          <t>NASDAQ</t>
        </is>
      </c>
      <c r="F487" s="1" t="n">
        <v>5.27</v>
      </c>
      <c r="G487" s="8">
        <f>F487*[485]Main!$C$4</f>
        <v/>
      </c>
      <c r="H487" s="10">
        <f>G487-[485]Main!$C$7+[485]Main!$C$8</f>
        <v/>
      </c>
      <c r="J487" s="1">
        <f>IF(ISNUMBER([485]Main!$C$11),[485]Main!$C$11,"")</f>
        <v/>
      </c>
      <c r="K487" s="57">
        <f>IFERROR(J487/F487-1,"")</f>
        <v/>
      </c>
      <c r="L487" s="12">
        <f>[485]Main!$C$15&amp;" ("&amp;[485]Main!$C$14&amp;")"</f>
        <v/>
      </c>
      <c r="M487" s="58" t="n">
        <v>46331</v>
      </c>
      <c r="N487" s="17" t="inlineStr">
        <is>
          <t>Earnings Nov 5 (est.) · Readout ~2027-04: Breast cancer, Phase 3</t>
        </is>
      </c>
    </row>
    <row r="488">
      <c r="B488" s="3" t="inlineStr">
        <is>
          <t>ATHE</t>
        </is>
      </c>
      <c r="C488" t="inlineStr">
        <is>
          <t>Alterity Therapeutics Limited</t>
        </is>
      </c>
      <c r="D488" t="inlineStr">
        <is>
          <t>Biotechnology</t>
        </is>
      </c>
      <c r="E488" s="6" t="inlineStr">
        <is>
          <t>NASDAQ</t>
        </is>
      </c>
      <c r="F488" s="1" t="n">
        <v>2.37</v>
      </c>
      <c r="G488" s="8">
        <f>F488*[486]Main!$C$4</f>
        <v/>
      </c>
      <c r="H488" s="10">
        <f>G488-[486]Main!$C$7+[486]Main!$C$8</f>
        <v/>
      </c>
      <c r="J488" s="1">
        <f>IF(ISNUMBER([486]Main!$C$11),[486]Main!$C$11,"")</f>
        <v/>
      </c>
      <c r="K488" s="57">
        <f>IFERROR(J488/F488-1,"")</f>
        <v/>
      </c>
      <c r="L488" s="12">
        <f>[486]Main!$C$15&amp;" ("&amp;[486]Main!$C$14&amp;")"</f>
        <v/>
      </c>
      <c r="M488" s="58" t="n"/>
      <c r="N488" s="17" t="n"/>
    </row>
    <row r="489">
      <c r="B489" s="3" t="inlineStr">
        <is>
          <t>IBIO</t>
        </is>
      </c>
      <c r="C489" t="inlineStr">
        <is>
          <t>iBio Inc</t>
        </is>
      </c>
      <c r="D489" t="inlineStr">
        <is>
          <t>Biotechnology</t>
        </is>
      </c>
      <c r="E489" s="6" t="inlineStr">
        <is>
          <t>NASDAQ</t>
        </is>
      </c>
      <c r="F489" s="1" t="n">
        <v>0.821</v>
      </c>
      <c r="G489" s="8">
        <f>F489*[487]Main!$C$4</f>
        <v/>
      </c>
      <c r="H489" s="10">
        <f>G489-[487]Main!$C$7+[487]Main!$C$8</f>
        <v/>
      </c>
      <c r="J489" s="1">
        <f>IF(ISNUMBER([487]Main!$C$11),[487]Main!$C$11,"")</f>
        <v/>
      </c>
      <c r="K489" s="57">
        <f>IFERROR(J489/F489-1,"")</f>
        <v/>
      </c>
      <c r="L489" s="12">
        <f>[487]Main!$C$15&amp;" ("&amp;[487]Main!$C$14&amp;")"</f>
        <v/>
      </c>
      <c r="M489" s="58" t="n">
        <v>46337</v>
      </c>
      <c r="N489" s="17" t="inlineStr">
        <is>
          <t>Earnings Nov 11 (est.) · Readout ~2027-05: Obesity, Phase 1</t>
        </is>
      </c>
    </row>
    <row r="490">
      <c r="B490" s="3" t="inlineStr">
        <is>
          <t>HYPD</t>
        </is>
      </c>
      <c r="C490" t="inlineStr">
        <is>
          <t>Hyperion DeFi Inc</t>
        </is>
      </c>
      <c r="D490" t="inlineStr">
        <is>
          <t>Pharmaceuticals</t>
        </is>
      </c>
      <c r="E490" s="6" t="inlineStr">
        <is>
          <t>NASDAQ</t>
        </is>
      </c>
      <c r="F490" s="1" t="n">
        <v>2.975</v>
      </c>
      <c r="G490" s="8">
        <f>F490*[488]Main!$C$4</f>
        <v/>
      </c>
      <c r="H490" s="10">
        <f>G490-[488]Main!$C$7+[488]Main!$C$8</f>
        <v/>
      </c>
      <c r="J490" s="1">
        <f>IF(ISNUMBER([488]Main!$C$11),[488]Main!$C$11,"")</f>
        <v/>
      </c>
      <c r="K490" s="57">
        <f>IFERROR(J490/F490-1,"")</f>
        <v/>
      </c>
      <c r="L490" s="12">
        <f>[488]Main!$C$15&amp;" ("&amp;[488]Main!$C$14&amp;")"</f>
        <v/>
      </c>
      <c r="M490" s="58" t="n">
        <v>46338</v>
      </c>
      <c r="N490" s="17" t="inlineStr">
        <is>
          <t>Earnings Nov 12 (est.)</t>
        </is>
      </c>
    </row>
    <row r="491">
      <c r="B491" s="3" t="inlineStr">
        <is>
          <t>ENLV</t>
        </is>
      </c>
      <c r="C491" t="inlineStr">
        <is>
          <t>Enlivex Ltd</t>
        </is>
      </c>
      <c r="D491" t="inlineStr">
        <is>
          <t>Biotechnology</t>
        </is>
      </c>
      <c r="E491" s="6" t="inlineStr">
        <is>
          <t>NASDAQ</t>
        </is>
      </c>
      <c r="F491" s="1" t="n">
        <v>0.2237</v>
      </c>
      <c r="G491" s="8">
        <f>F491*[489]Main!$C$4</f>
        <v/>
      </c>
      <c r="H491" s="10">
        <f>G491-[489]Main!$C$7+[489]Main!$C$8</f>
        <v/>
      </c>
      <c r="J491" s="1">
        <f>IF(ISNUMBER([489]Main!$C$11),[489]Main!$C$11,"")</f>
        <v/>
      </c>
      <c r="K491" s="57">
        <f>IFERROR(J491/F491-1,"")</f>
        <v/>
      </c>
      <c r="L491" s="12">
        <f>[489]Main!$C$15&amp;" ("&amp;[489]Main!$C$14&amp;")"</f>
        <v/>
      </c>
      <c r="M491" s="58" t="n">
        <v>46339</v>
      </c>
      <c r="N491" s="17" t="inlineStr">
        <is>
          <t>Earnings Nov 13 (est.) · Readout ~2027-02: Rheumatoid / spondyloarthritis, Phase 2</t>
        </is>
      </c>
    </row>
    <row r="492">
      <c r="B492" s="3" t="inlineStr">
        <is>
          <t>MREO</t>
        </is>
      </c>
      <c r="C492" t="inlineStr">
        <is>
          <t>Mereo BioPharma Group PLC</t>
        </is>
      </c>
      <c r="D492" t="inlineStr">
        <is>
          <t>Biotechnology</t>
        </is>
      </c>
      <c r="E492" s="6" t="inlineStr">
        <is>
          <t>NASDAQ</t>
        </is>
      </c>
      <c r="F492" s="1" t="n">
        <v>0.2951</v>
      </c>
      <c r="G492" s="8">
        <f>F492*[490]Main!$C$4</f>
        <v/>
      </c>
      <c r="H492" s="10">
        <f>G492-[490]Main!$C$7+[490]Main!$C$8</f>
        <v/>
      </c>
      <c r="J492" s="1">
        <f>IF(ISNUMBER([490]Main!$C$11),[490]Main!$C$11,"")</f>
        <v/>
      </c>
      <c r="K492" s="57">
        <f>IFERROR(J492/F492-1,"")</f>
        <v/>
      </c>
      <c r="L492" s="12">
        <f>[490]Main!$C$15&amp;" ("&amp;[490]Main!$C$14&amp;")"</f>
        <v/>
      </c>
      <c r="M492" s="58" t="n">
        <v>46335</v>
      </c>
      <c r="N492" s="17" t="inlineStr">
        <is>
          <t>Earnings Nov 9 (est.)</t>
        </is>
      </c>
    </row>
    <row r="493">
      <c r="B493" s="3" t="inlineStr">
        <is>
          <t>HOWL</t>
        </is>
      </c>
      <c r="C493" t="inlineStr">
        <is>
          <t>Werewolf Therapeutics Inc</t>
        </is>
      </c>
      <c r="D493" t="inlineStr">
        <is>
          <t>Biotechnology</t>
        </is>
      </c>
      <c r="E493" s="6" t="inlineStr">
        <is>
          <t>NASDAQ</t>
        </is>
      </c>
      <c r="F493" s="1" t="n">
        <v>1.05</v>
      </c>
      <c r="G493" s="8">
        <f>F493*[491]Main!$C$4</f>
        <v/>
      </c>
      <c r="H493" s="10">
        <f>G493-[491]Main!$C$7+[491]Main!$C$8</f>
        <v/>
      </c>
      <c r="J493" s="1">
        <f>IF(ISNUMBER([491]Main!$C$11),[491]Main!$C$11,"")</f>
        <v/>
      </c>
      <c r="K493" s="57">
        <f>IFERROR(J493/F493-1,"")</f>
        <v/>
      </c>
      <c r="L493" s="12">
        <f>[491]Main!$C$15&amp;" ("&amp;[491]Main!$C$14&amp;")"</f>
        <v/>
      </c>
      <c r="M493" s="58" t="n">
        <v>46329</v>
      </c>
      <c r="N493" s="17" t="inlineStr">
        <is>
          <t>Earnings Nov 3 (est.)</t>
        </is>
      </c>
    </row>
    <row r="494">
      <c r="B494" s="3" t="inlineStr">
        <is>
          <t>CLGN</t>
        </is>
      </c>
      <c r="C494" t="inlineStr">
        <is>
          <t>Collplant Biotechnologies Ltd</t>
        </is>
      </c>
      <c r="D494" t="inlineStr">
        <is>
          <t>Biotechnology</t>
        </is>
      </c>
      <c r="E494" s="6" t="inlineStr">
        <is>
          <t>NASDAQ</t>
        </is>
      </c>
      <c r="F494" s="1" t="n">
        <v>3.88</v>
      </c>
      <c r="G494" s="8">
        <f>F494*[492]Main!$C$4</f>
        <v/>
      </c>
      <c r="H494" s="10">
        <f>G494-[492]Main!$C$7+[492]Main!$C$8</f>
        <v/>
      </c>
      <c r="J494" s="1">
        <f>IF(ISNUMBER([492]Main!$C$11),[492]Main!$C$11,"")</f>
        <v/>
      </c>
      <c r="K494" s="57">
        <f>IFERROR(J494/F494-1,"")</f>
        <v/>
      </c>
      <c r="L494" s="12">
        <f>[492]Main!$C$15&amp;" ("&amp;[492]Main!$C$14&amp;")"</f>
        <v/>
      </c>
      <c r="M494" s="58" t="n">
        <v>46351</v>
      </c>
      <c r="N494" s="17" t="inlineStr">
        <is>
          <t>Earnings Nov 25 (est.)</t>
        </is>
      </c>
    </row>
    <row r="495">
      <c r="B495" s="3" t="inlineStr">
        <is>
          <t>ELTX</t>
        </is>
      </c>
      <c r="C495" t="inlineStr">
        <is>
          <t>Elicio Therapeutics Inc</t>
        </is>
      </c>
      <c r="D495" t="inlineStr">
        <is>
          <t>Biotechnology</t>
        </is>
      </c>
      <c r="E495" s="6" t="inlineStr">
        <is>
          <t>NASDAQ</t>
        </is>
      </c>
      <c r="F495" s="1" t="n">
        <v>1.57</v>
      </c>
      <c r="G495" s="8">
        <f>F495*[493]Main!$C$4</f>
        <v/>
      </c>
      <c r="H495" s="10">
        <f>G495-[493]Main!$C$7+[493]Main!$C$8</f>
        <v/>
      </c>
      <c r="J495" s="1">
        <f>IF(ISNUMBER([493]Main!$C$11),[493]Main!$C$11,"")</f>
        <v/>
      </c>
      <c r="K495" s="57">
        <f>IFERROR(J495/F495-1,"")</f>
        <v/>
      </c>
      <c r="L495" s="12">
        <f>[493]Main!$C$15&amp;" ("&amp;[493]Main!$C$14&amp;")"</f>
        <v/>
      </c>
      <c r="M495" s="58" t="n">
        <v>46338</v>
      </c>
      <c r="N495" s="17" t="inlineStr">
        <is>
          <t>Earnings Nov 12 (est.)</t>
        </is>
      </c>
    </row>
    <row r="496">
      <c r="B496" s="3" t="inlineStr">
        <is>
          <t>TVGN</t>
        </is>
      </c>
      <c r="C496" t="inlineStr">
        <is>
          <t>Tevogen Inc</t>
        </is>
      </c>
      <c r="D496" t="inlineStr">
        <is>
          <t>Biotechnology</t>
        </is>
      </c>
      <c r="E496" s="6" t="inlineStr">
        <is>
          <t>NASDAQ</t>
        </is>
      </c>
      <c r="F496" s="1" t="n">
        <v>6.43</v>
      </c>
      <c r="G496" s="8">
        <f>F496*[494]Main!$C$4</f>
        <v/>
      </c>
      <c r="H496" s="10">
        <f>G496-[494]Main!$C$7+[494]Main!$C$8</f>
        <v/>
      </c>
      <c r="J496" s="1">
        <f>IF(ISNUMBER([494]Main!$C$11),[494]Main!$C$11,"")</f>
        <v/>
      </c>
      <c r="K496" s="57">
        <f>IFERROR(J496/F496-1,"")</f>
        <v/>
      </c>
      <c r="L496" s="12">
        <f>[494]Main!$C$15&amp;" ("&amp;[494]Main!$C$14&amp;")"</f>
        <v/>
      </c>
      <c r="M496" s="58" t="n">
        <v>46339</v>
      </c>
      <c r="N496" s="17" t="inlineStr">
        <is>
          <t>Earnings Nov 13 (est.)</t>
        </is>
      </c>
    </row>
    <row r="497">
      <c r="B497" s="3" t="inlineStr">
        <is>
          <t>INMB</t>
        </is>
      </c>
      <c r="C497" t="inlineStr">
        <is>
          <t>INmune Bio Inc</t>
        </is>
      </c>
      <c r="D497" t="inlineStr">
        <is>
          <t>Biotechnology</t>
        </is>
      </c>
      <c r="E497" s="6" t="inlineStr">
        <is>
          <t>NASDAQ</t>
        </is>
      </c>
      <c r="F497" s="1" t="n">
        <v>1.6</v>
      </c>
      <c r="G497" s="8">
        <f>F497*[495]Main!$C$4</f>
        <v/>
      </c>
      <c r="H497" s="10">
        <f>G497-[495]Main!$C$7+[495]Main!$C$8</f>
        <v/>
      </c>
      <c r="J497" s="1">
        <f>IF(ISNUMBER([495]Main!$C$11),[495]Main!$C$11,"")</f>
        <v/>
      </c>
      <c r="K497" s="57">
        <f>IFERROR(J497/F497-1,"")</f>
        <v/>
      </c>
      <c r="L497" s="12">
        <f>[495]Main!$C$15&amp;" ("&amp;[495]Main!$C$14&amp;")"</f>
        <v/>
      </c>
      <c r="M497" s="58" t="n">
        <v>46324</v>
      </c>
      <c r="N497" s="17" t="inlineStr">
        <is>
          <t>Earnings Oct 29 (est.)</t>
        </is>
      </c>
    </row>
    <row r="498">
      <c r="B498" s="3" t="inlineStr">
        <is>
          <t>IMA</t>
        </is>
      </c>
      <c r="C498" t="inlineStr">
        <is>
          <t>ImageneBio Inc</t>
        </is>
      </c>
      <c r="D498" t="inlineStr">
        <is>
          <t>Biotechnology</t>
        </is>
      </c>
      <c r="E498" s="6" t="inlineStr">
        <is>
          <t>NASDAQ</t>
        </is>
      </c>
      <c r="F498" s="1" t="n">
        <v>4.13</v>
      </c>
      <c r="G498" s="8">
        <f>F498*[496]Main!$C$4</f>
        <v/>
      </c>
      <c r="H498" s="10">
        <f>G498-[496]Main!$C$7+[496]Main!$C$8</f>
        <v/>
      </c>
      <c r="J498" s="1">
        <f>IF(ISNUMBER([496]Main!$C$11),[496]Main!$C$11,"")</f>
        <v/>
      </c>
      <c r="K498" s="57">
        <f>IFERROR(J498/F498-1,"")</f>
        <v/>
      </c>
      <c r="L498" s="12">
        <f>[496]Main!$C$15&amp;" ("&amp;[496]Main!$C$14&amp;")"</f>
        <v/>
      </c>
      <c r="M498" s="58" t="n">
        <v>46337</v>
      </c>
      <c r="N498" s="17" t="inlineStr">
        <is>
          <t>Earnings Nov 11 (est.)</t>
        </is>
      </c>
    </row>
    <row r="499">
      <c r="B499" s="3" t="inlineStr">
        <is>
          <t>SER</t>
        </is>
      </c>
      <c r="C499" t="inlineStr">
        <is>
          <t>Serina Therapeutics, Inc.</t>
        </is>
      </c>
      <c r="D499" t="inlineStr">
        <is>
          <t>Biotechnology</t>
        </is>
      </c>
      <c r="E499" s="6" t="inlineStr">
        <is>
          <t>NYSE</t>
        </is>
      </c>
      <c r="F499" s="1" t="n">
        <v>1.66</v>
      </c>
      <c r="G499" s="8">
        <f>F499*[497]Main!$C$4</f>
        <v/>
      </c>
      <c r="H499" s="10">
        <f>G499-[497]Main!$C$7+[497]Main!$C$8</f>
        <v/>
      </c>
      <c r="J499" s="1">
        <f>IF(ISNUMBER([497]Main!$C$11),[497]Main!$C$11,"")</f>
        <v/>
      </c>
      <c r="K499" s="57">
        <f>IFERROR(J499/F499-1,"")</f>
        <v/>
      </c>
      <c r="L499" s="12">
        <f>[497]Main!$C$15&amp;" ("&amp;[497]Main!$C$14&amp;")"</f>
        <v/>
      </c>
      <c r="M499" s="58" t="n">
        <v>46338</v>
      </c>
      <c r="N499" s="17" t="inlineStr">
        <is>
          <t>Earnings Nov 12 (est.) · Readout ~2027-01-31: Parkinson's disease, Phase 1</t>
        </is>
      </c>
    </row>
    <row r="500">
      <c r="B500" s="3" t="inlineStr">
        <is>
          <t>SDEV</t>
        </is>
      </c>
      <c r="C500" t="inlineStr">
        <is>
          <t>Stablecoin Development Corp</t>
        </is>
      </c>
      <c r="D500" t="inlineStr">
        <is>
          <t>Pharmaceuticals</t>
        </is>
      </c>
      <c r="E500" s="6" t="inlineStr">
        <is>
          <t>NYSE</t>
        </is>
      </c>
      <c r="F500" s="1" t="n">
        <v>0.8935</v>
      </c>
      <c r="G500" s="8">
        <f>F500*[498]Main!$C$4</f>
        <v/>
      </c>
      <c r="H500" s="10">
        <f>G500-[498]Main!$C$7+[498]Main!$C$8</f>
        <v/>
      </c>
      <c r="J500" s="1">
        <f>IF(ISNUMBER([498]Main!$C$11),[498]Main!$C$11,"")</f>
        <v/>
      </c>
      <c r="K500" s="57">
        <f>IFERROR(J500/F500-1,"")</f>
        <v/>
      </c>
      <c r="L500" s="12">
        <f>[498]Main!$C$15&amp;" ("&amp;[498]Main!$C$14&amp;")"</f>
        <v/>
      </c>
      <c r="M500" s="58" t="n">
        <v>46332</v>
      </c>
      <c r="N500" s="17" t="inlineStr">
        <is>
          <t>Earnings Nov 6 (est.)</t>
        </is>
      </c>
    </row>
    <row r="501">
      <c r="B501" s="3" t="inlineStr">
        <is>
          <t>LGVN</t>
        </is>
      </c>
      <c r="C501" t="inlineStr">
        <is>
          <t>Longeveron Inc</t>
        </is>
      </c>
      <c r="D501" t="inlineStr">
        <is>
          <t>Biotechnology</t>
        </is>
      </c>
      <c r="E501" s="6" t="inlineStr">
        <is>
          <t>NASDAQ</t>
        </is>
      </c>
      <c r="F501" s="1" t="n">
        <v>1.5</v>
      </c>
      <c r="G501" s="8">
        <f>F501*[499]Main!$C$4</f>
        <v/>
      </c>
      <c r="H501" s="10">
        <f>G501-[499]Main!$C$7+[499]Main!$C$8</f>
        <v/>
      </c>
      <c r="J501" s="1">
        <f>IF(ISNUMBER([499]Main!$C$11),[499]Main!$C$11,"")</f>
        <v/>
      </c>
      <c r="K501" s="57">
        <f>IFERROR(J501/F501-1,"")</f>
        <v/>
      </c>
      <c r="L501" s="12">
        <f>[499]Main!$C$15&amp;" ("&amp;[499]Main!$C$14&amp;")"</f>
        <v/>
      </c>
      <c r="M501" s="58" t="n">
        <v>46329</v>
      </c>
      <c r="N501" s="17" t="inlineStr">
        <is>
          <t>Earnings Nov 3 (est.)</t>
        </is>
      </c>
    </row>
    <row r="502">
      <c r="B502" s="3" t="inlineStr">
        <is>
          <t>ACET</t>
        </is>
      </c>
      <c r="C502" t="inlineStr">
        <is>
          <t>ADICET Bio, Inc.</t>
        </is>
      </c>
      <c r="D502" t="inlineStr">
        <is>
          <t>Biotechnology</t>
        </is>
      </c>
      <c r="E502" s="6" t="inlineStr">
        <is>
          <t>NASDAQ</t>
        </is>
      </c>
      <c r="F502" s="1" t="n">
        <v>4.52</v>
      </c>
      <c r="G502" s="8">
        <f>F502*[500]Main!$C$4</f>
        <v/>
      </c>
      <c r="H502" s="10">
        <f>G502-[500]Main!$C$7+[500]Main!$C$8</f>
        <v/>
      </c>
      <c r="J502" s="1">
        <f>IF(ISNUMBER([500]Main!$C$11),[500]Main!$C$11,"")</f>
        <v/>
      </c>
      <c r="K502" s="57">
        <f>IFERROR(J502/F502-1,"")</f>
        <v/>
      </c>
      <c r="L502" s="12">
        <f>[500]Main!$C$15&amp;" ("&amp;[500]Main!$C$14&amp;")"</f>
        <v/>
      </c>
      <c r="M502" s="58" t="n">
        <v>46330</v>
      </c>
      <c r="N502" s="17" t="inlineStr">
        <is>
          <t>Earnings Nov 4 (est.) · Readout ~2026-12: Lupus / Sjogren's, Phase 1</t>
        </is>
      </c>
    </row>
    <row r="503">
      <c r="B503" s="3" t="inlineStr">
        <is>
          <t>ANVS</t>
        </is>
      </c>
      <c r="C503" t="inlineStr">
        <is>
          <t>Annovis Bio Inc</t>
        </is>
      </c>
      <c r="D503" t="inlineStr">
        <is>
          <t>Biotechnology</t>
        </is>
      </c>
      <c r="E503" s="6" t="inlineStr">
        <is>
          <t>NYSE</t>
        </is>
      </c>
      <c r="F503" s="1" t="n">
        <v>0.9932</v>
      </c>
      <c r="G503" s="8">
        <f>F503*[501]Main!$C$4</f>
        <v/>
      </c>
      <c r="H503" s="10">
        <f>G503-[501]Main!$C$7+[501]Main!$C$8</f>
        <v/>
      </c>
      <c r="J503" s="1">
        <f>IF(ISNUMBER([501]Main!$C$11),[501]Main!$C$11,"")</f>
        <v/>
      </c>
      <c r="K503" s="57">
        <f>IFERROR(J503/F503-1,"")</f>
        <v/>
      </c>
      <c r="L503" s="12">
        <f>[501]Main!$C$15&amp;" ("&amp;[501]Main!$C$14&amp;")"</f>
        <v/>
      </c>
      <c r="M503" s="58" t="n">
        <v>46337</v>
      </c>
      <c r="N503" s="17" t="inlineStr">
        <is>
          <t>Earnings Nov 11 (est.) · Readout ~2027-12: Alzheimer's disease, Phase 3</t>
        </is>
      </c>
    </row>
    <row r="504">
      <c r="B504" s="3" t="inlineStr">
        <is>
          <t>ALDX</t>
        </is>
      </c>
      <c r="C504" t="inlineStr">
        <is>
          <t>Aldeyra Therapeutics Inc</t>
        </is>
      </c>
      <c r="D504" t="inlineStr">
        <is>
          <t>Biotechnology</t>
        </is>
      </c>
      <c r="E504" s="6" t="inlineStr">
        <is>
          <t>NASDAQ</t>
        </is>
      </c>
      <c r="F504" s="1" t="n">
        <v>0.6651</v>
      </c>
      <c r="G504" s="8">
        <f>F504*[502]Main!$C$4</f>
        <v/>
      </c>
      <c r="H504" s="10">
        <f>G504-[502]Main!$C$7+[502]Main!$C$8</f>
        <v/>
      </c>
      <c r="J504" s="1">
        <f>IF(ISNUMBER([502]Main!$C$11),[502]Main!$C$11,"")</f>
        <v/>
      </c>
      <c r="K504" s="57">
        <f>IFERROR(J504/F504-1,"")</f>
        <v/>
      </c>
      <c r="L504" s="12">
        <f>[502]Main!$C$15&amp;" ("&amp;[502]Main!$C$14&amp;")"</f>
        <v/>
      </c>
      <c r="M504" s="58" t="n">
        <v>46330</v>
      </c>
      <c r="N504" s="17" t="inlineStr">
        <is>
          <t>Earnings Nov 4 (est.) · Readout ~2026-12: Lymphoma, Phase 3</t>
        </is>
      </c>
    </row>
    <row r="505">
      <c r="B505" s="3" t="inlineStr">
        <is>
          <t>DWTX</t>
        </is>
      </c>
      <c r="C505" t="inlineStr">
        <is>
          <t>Dogwood Therapeutics Inc</t>
        </is>
      </c>
      <c r="D505" t="inlineStr">
        <is>
          <t>Biotechnology</t>
        </is>
      </c>
      <c r="E505" s="6" t="inlineStr">
        <is>
          <t>NASDAQ</t>
        </is>
      </c>
      <c r="F505" s="1" t="n">
        <v>1.15</v>
      </c>
      <c r="G505" s="8">
        <f>F505*[503]Main!$C$4</f>
        <v/>
      </c>
      <c r="H505" s="10">
        <f>G505-[503]Main!$C$7+[503]Main!$C$8</f>
        <v/>
      </c>
      <c r="J505" s="1">
        <f>IF(ISNUMBER([503]Main!$C$11),[503]Main!$C$11,"")</f>
        <v/>
      </c>
      <c r="K505" s="57">
        <f>IFERROR(J505/F505-1,"")</f>
        <v/>
      </c>
      <c r="L505" s="12">
        <f>[503]Main!$C$15&amp;" ("&amp;[503]Main!$C$14&amp;")"</f>
        <v/>
      </c>
      <c r="M505" s="58" t="n">
        <v>46331</v>
      </c>
      <c r="N505" s="17" t="inlineStr">
        <is>
          <t>Earnings Nov 5 (est.) · Readout ~2026-12: Migraine / pain, Phase 2</t>
        </is>
      </c>
    </row>
    <row r="506">
      <c r="B506" s="3" t="inlineStr">
        <is>
          <t>CELU</t>
        </is>
      </c>
      <c r="C506" t="inlineStr">
        <is>
          <t>Celularity Inc</t>
        </is>
      </c>
      <c r="D506" t="inlineStr">
        <is>
          <t>Biotechnology</t>
        </is>
      </c>
      <c r="E506" s="6" t="inlineStr">
        <is>
          <t>NASDAQ</t>
        </is>
      </c>
      <c r="F506" s="1" t="n">
        <v>1.26</v>
      </c>
      <c r="G506" s="8">
        <f>F506*[504]Main!$C$4</f>
        <v/>
      </c>
      <c r="H506" s="10">
        <f>G506-[504]Main!$C$7+[504]Main!$C$8</f>
        <v/>
      </c>
      <c r="J506" s="1">
        <f>IF(ISNUMBER([504]Main!$C$11),[504]Main!$C$11,"")</f>
        <v/>
      </c>
      <c r="K506" s="57">
        <f>IFERROR(J506/F506-1,"")</f>
        <v/>
      </c>
      <c r="L506" s="12">
        <f>[504]Main!$C$15&amp;" ("&amp;[504]Main!$C$14&amp;")"</f>
        <v/>
      </c>
      <c r="M506" s="58" t="n">
        <v>46339</v>
      </c>
      <c r="N506" s="17" t="inlineStr">
        <is>
          <t>Earnings Nov 13 (est.)</t>
        </is>
      </c>
    </row>
    <row r="507">
      <c r="B507" s="3" t="inlineStr">
        <is>
          <t>TIL</t>
        </is>
      </c>
      <c r="C507" t="inlineStr">
        <is>
          <t>Instil Bio, Inc.</t>
        </is>
      </c>
      <c r="D507" t="inlineStr">
        <is>
          <t>Biotechnology</t>
        </is>
      </c>
      <c r="E507" s="6" t="inlineStr">
        <is>
          <t>NASDAQ</t>
        </is>
      </c>
      <c r="F507" s="1" t="n">
        <v>5.94</v>
      </c>
      <c r="G507" s="8">
        <f>F507*[505]Main!$C$4</f>
        <v/>
      </c>
      <c r="H507" s="10">
        <f>G507-[505]Main!$C$7+[505]Main!$C$8</f>
        <v/>
      </c>
      <c r="J507" s="1">
        <f>IF(ISNUMBER([505]Main!$C$11),[505]Main!$C$11,"")</f>
        <v/>
      </c>
      <c r="K507" s="57">
        <f>IFERROR(J507/F507-1,"")</f>
        <v/>
      </c>
      <c r="L507" s="12">
        <f>[505]Main!$C$15&amp;" ("&amp;[505]Main!$C$14&amp;")"</f>
        <v/>
      </c>
      <c r="M507" s="58" t="n">
        <v>46338</v>
      </c>
      <c r="N507" s="17" t="inlineStr">
        <is>
          <t>Earnings Nov 12 (est.)</t>
        </is>
      </c>
    </row>
    <row r="508">
      <c r="B508" s="3" t="inlineStr">
        <is>
          <t>CLNN</t>
        </is>
      </c>
      <c r="C508" t="inlineStr">
        <is>
          <t>Clene Inc</t>
        </is>
      </c>
      <c r="D508" t="inlineStr">
        <is>
          <t>Biotechnology</t>
        </is>
      </c>
      <c r="E508" s="6" t="inlineStr">
        <is>
          <t>NASDAQ</t>
        </is>
      </c>
      <c r="F508" s="1" t="n">
        <v>3.73</v>
      </c>
      <c r="G508" s="8">
        <f>F508*[506]Main!$C$4</f>
        <v/>
      </c>
      <c r="H508" s="10">
        <f>G508-[506]Main!$C$7+[506]Main!$C$8</f>
        <v/>
      </c>
      <c r="J508" s="1">
        <f>IF(ISNUMBER([506]Main!$C$11),[506]Main!$C$11,"")</f>
        <v/>
      </c>
      <c r="K508" s="57">
        <f>IFERROR(J508/F508-1,"")</f>
        <v/>
      </c>
      <c r="L508" s="12">
        <f>[506]Main!$C$15&amp;" ("&amp;[506]Main!$C$14&amp;")"</f>
        <v/>
      </c>
      <c r="M508" s="58" t="n">
        <v>46338</v>
      </c>
      <c r="N508" s="17" t="inlineStr">
        <is>
          <t>Earnings Nov 12 (est.)</t>
        </is>
      </c>
    </row>
    <row r="509">
      <c r="B509" s="3" t="inlineStr">
        <is>
          <t>GRCE</t>
        </is>
      </c>
      <c r="C509" t="inlineStr">
        <is>
          <t>Grace Therapeutics, Inc</t>
        </is>
      </c>
      <c r="D509" t="inlineStr">
        <is>
          <t>Pharmaceuticals</t>
        </is>
      </c>
      <c r="E509" s="6" t="inlineStr">
        <is>
          <t>NASDAQ</t>
        </is>
      </c>
      <c r="F509" s="1" t="n">
        <v>1.98</v>
      </c>
      <c r="G509" s="8">
        <f>F509*[507]Main!$C$4</f>
        <v/>
      </c>
      <c r="H509" s="10">
        <f>G509-[507]Main!$C$7+[507]Main!$C$8</f>
        <v/>
      </c>
      <c r="J509" s="1">
        <f>IF(ISNUMBER([507]Main!$C$11),[507]Main!$C$11,"")</f>
        <v/>
      </c>
      <c r="K509" s="57">
        <f>IFERROR(J509/F509-1,"")</f>
        <v/>
      </c>
      <c r="L509" s="12">
        <f>[507]Main!$C$15&amp;" ("&amp;[507]Main!$C$14&amp;")"</f>
        <v/>
      </c>
      <c r="M509" s="58" t="n">
        <v>46338</v>
      </c>
      <c r="N509" s="17" t="inlineStr">
        <is>
          <t>Earnings Nov 12 (est.) · PDUFA 2026-04-23: Subarachnoid hemorrhage (GTx-104)</t>
        </is>
      </c>
    </row>
    <row r="510">
      <c r="B510" s="3" t="inlineStr">
        <is>
          <t>VERU</t>
        </is>
      </c>
      <c r="C510" t="inlineStr">
        <is>
          <t>Veru Inc.</t>
        </is>
      </c>
      <c r="D510" t="inlineStr">
        <is>
          <t>Pharmaceuticals</t>
        </is>
      </c>
      <c r="E510" s="6" t="inlineStr">
        <is>
          <t>NASDAQ</t>
        </is>
      </c>
      <c r="F510" s="1" t="n">
        <v>2.38</v>
      </c>
      <c r="G510" s="8">
        <f>F510*[508]Main!$C$4</f>
        <v/>
      </c>
      <c r="H510" s="10">
        <f>G510-[508]Main!$C$7+[508]Main!$C$8</f>
        <v/>
      </c>
      <c r="J510" s="1">
        <f>IF(ISNUMBER([508]Main!$C$11),[508]Main!$C$11,"")</f>
        <v/>
      </c>
      <c r="K510" s="57">
        <f>IFERROR(J510/F510-1,"")</f>
        <v/>
      </c>
      <c r="L510" s="12">
        <f>[508]Main!$C$15&amp;" ("&amp;[508]Main!$C$14&amp;")"</f>
        <v/>
      </c>
      <c r="M510" s="58" t="n"/>
      <c r="N510" s="17" t="inlineStr">
        <is>
          <t>Readout ~2027-10: Obesity, Phase 2</t>
        </is>
      </c>
    </row>
    <row r="511">
      <c r="B511" s="3" t="inlineStr">
        <is>
          <t>BTMD</t>
        </is>
      </c>
      <c r="C511" t="inlineStr">
        <is>
          <t>Biote Corp</t>
        </is>
      </c>
      <c r="D511" t="inlineStr">
        <is>
          <t>Pharmaceuticals</t>
        </is>
      </c>
      <c r="E511" s="6" t="inlineStr">
        <is>
          <t>NASDAQ</t>
        </is>
      </c>
      <c r="F511" s="1" t="n">
        <v>1.07</v>
      </c>
      <c r="G511" s="8">
        <f>F511*[509]Main!$C$4</f>
        <v/>
      </c>
      <c r="H511" s="10">
        <f>G511-[509]Main!$C$7+[509]Main!$C$8</f>
        <v/>
      </c>
      <c r="J511" s="1">
        <f>IF(ISNUMBER([509]Main!$C$11),[509]Main!$C$11,"")</f>
        <v/>
      </c>
      <c r="K511" s="57">
        <f>IFERROR(J511/F511-1,"")</f>
        <v/>
      </c>
      <c r="L511" s="12">
        <f>[509]Main!$C$15&amp;" ("&amp;[509]Main!$C$14&amp;")"</f>
        <v/>
      </c>
      <c r="M511" s="58" t="n">
        <v>46330</v>
      </c>
      <c r="N511" s="17" t="inlineStr">
        <is>
          <t>Earnings Nov 4 (est.)</t>
        </is>
      </c>
    </row>
    <row r="512">
      <c r="B512" s="3" t="inlineStr">
        <is>
          <t>BRTX</t>
        </is>
      </c>
      <c r="C512" t="inlineStr">
        <is>
          <t>BioRestorative Therapies Inc</t>
        </is>
      </c>
      <c r="D512" t="inlineStr">
        <is>
          <t>Biotechnology</t>
        </is>
      </c>
      <c r="E512" s="6" t="inlineStr">
        <is>
          <t>NASDAQ</t>
        </is>
      </c>
      <c r="F512" s="1" t="n">
        <v>1.56</v>
      </c>
      <c r="G512" s="8">
        <f>F512*[510]Main!$C$4</f>
        <v/>
      </c>
      <c r="H512" s="10">
        <f>G512-[510]Main!$C$7+[510]Main!$C$8</f>
        <v/>
      </c>
      <c r="J512" s="1">
        <f>IF(ISNUMBER([510]Main!$C$11),[510]Main!$C$11,"")</f>
        <v/>
      </c>
      <c r="K512" s="57">
        <f>IFERROR(J512/F512-1,"")</f>
        <v/>
      </c>
      <c r="L512" s="12">
        <f>[510]Main!$C$15&amp;" ("&amp;[510]Main!$C$14&amp;")"</f>
        <v/>
      </c>
      <c r="M512" s="58" t="n">
        <v>46337</v>
      </c>
      <c r="N512" s="17" t="inlineStr">
        <is>
          <t>Earnings Nov 11 (est.)</t>
        </is>
      </c>
    </row>
    <row r="513">
      <c r="B513" s="3" t="inlineStr">
        <is>
          <t>EXOZ</t>
        </is>
      </c>
      <c r="C513" t="inlineStr">
        <is>
          <t>eXoZymes Inc</t>
        </is>
      </c>
      <c r="D513" t="inlineStr">
        <is>
          <t>Biotechnology</t>
        </is>
      </c>
      <c r="E513" s="6" t="inlineStr">
        <is>
          <t>NASDAQ</t>
        </is>
      </c>
      <c r="F513" s="1" t="n">
        <v>4.12</v>
      </c>
      <c r="G513" s="8">
        <f>F513*[511]Main!$C$4</f>
        <v/>
      </c>
      <c r="H513" s="10">
        <f>G513-[511]Main!$C$7+[511]Main!$C$8</f>
        <v/>
      </c>
      <c r="J513" s="1">
        <f>IF(ISNUMBER([511]Main!$C$11),[511]Main!$C$11,"")</f>
        <v/>
      </c>
      <c r="K513" s="57">
        <f>IFERROR(J513/F513-1,"")</f>
        <v/>
      </c>
      <c r="L513" s="12">
        <f>[511]Main!$C$15&amp;" ("&amp;[511]Main!$C$14&amp;")"</f>
        <v/>
      </c>
      <c r="M513" s="58" t="n">
        <v>46338</v>
      </c>
      <c r="N513" s="17" t="inlineStr">
        <is>
          <t>Earnings Nov 12 (est.)</t>
        </is>
      </c>
    </row>
    <row r="514">
      <c r="B514" s="3" t="inlineStr">
        <is>
          <t>BSEM</t>
        </is>
      </c>
      <c r="C514" t="inlineStr">
        <is>
          <t>BioStem Technologies, Inc.</t>
        </is>
      </c>
      <c r="D514" t="inlineStr">
        <is>
          <t>Pharmaceuticals</t>
        </is>
      </c>
      <c r="E514" s="6" t="inlineStr">
        <is>
          <t>NASDAQ</t>
        </is>
      </c>
      <c r="F514" s="1" t="n">
        <v>1.64</v>
      </c>
      <c r="G514" s="8">
        <f>F514*[512]Main!$C$4</f>
        <v/>
      </c>
      <c r="H514" s="10">
        <f>G514-[512]Main!$C$7+[512]Main!$C$8</f>
        <v/>
      </c>
      <c r="J514" s="1">
        <f>IF(ISNUMBER([512]Main!$C$11),[512]Main!$C$11,"")</f>
        <v/>
      </c>
      <c r="K514" s="57">
        <f>IFERROR(J514/F514-1,"")</f>
        <v/>
      </c>
      <c r="L514" s="12">
        <f>[512]Main!$C$15&amp;" ("&amp;[512]Main!$C$14&amp;")"</f>
        <v/>
      </c>
      <c r="M514" s="58" t="n">
        <v>46338</v>
      </c>
      <c r="N514" s="17" t="inlineStr">
        <is>
          <t>Earnings Nov 12 (est.)</t>
        </is>
      </c>
    </row>
    <row r="515">
      <c r="B515" s="3" t="inlineStr">
        <is>
          <t>SCYX</t>
        </is>
      </c>
      <c r="C515" t="inlineStr">
        <is>
          <t>SCYNEXIS Inc</t>
        </is>
      </c>
      <c r="D515" t="inlineStr">
        <is>
          <t>Pharmaceuticals</t>
        </is>
      </c>
      <c r="E515" s="6" t="inlineStr">
        <is>
          <t>NASDAQ</t>
        </is>
      </c>
      <c r="F515" s="1" t="n">
        <v>3.8</v>
      </c>
      <c r="G515" s="8">
        <f>F515*[513]Main!$C$4</f>
        <v/>
      </c>
      <c r="H515" s="10">
        <f>G515-[513]Main!$C$7+[513]Main!$C$8</f>
        <v/>
      </c>
      <c r="J515" s="1">
        <f>IF(ISNUMBER([513]Main!$C$11),[513]Main!$C$11,"")</f>
        <v/>
      </c>
      <c r="K515" s="57">
        <f>IFERROR(J515/F515-1,"")</f>
        <v/>
      </c>
      <c r="L515" s="12">
        <f>[513]Main!$C$15&amp;" ("&amp;[513]Main!$C$14&amp;")"</f>
        <v/>
      </c>
      <c r="M515" s="58" t="n">
        <v>46330</v>
      </c>
      <c r="N515" s="17" t="inlineStr">
        <is>
          <t>Earnings Nov 4 (est.)</t>
        </is>
      </c>
    </row>
    <row r="516">
      <c r="B516" s="3" t="inlineStr">
        <is>
          <t>MTNB</t>
        </is>
      </c>
      <c r="C516" t="inlineStr">
        <is>
          <t>Matinas BioPharma Holdings Inc</t>
        </is>
      </c>
      <c r="D516" t="inlineStr">
        <is>
          <t>Biotechnology</t>
        </is>
      </c>
      <c r="E516" s="6" t="inlineStr">
        <is>
          <t>NYSE</t>
        </is>
      </c>
      <c r="F516" s="1" t="n">
        <v>1.7</v>
      </c>
      <c r="G516" s="8">
        <f>F516*[514]Main!$C$4</f>
        <v/>
      </c>
      <c r="H516" s="10">
        <f>G516-[514]Main!$C$7+[514]Main!$C$8</f>
        <v/>
      </c>
      <c r="J516" s="1">
        <f>IF(ISNUMBER([514]Main!$C$11),[514]Main!$C$11,"")</f>
        <v/>
      </c>
      <c r="K516" s="57">
        <f>IFERROR(J516/F516-1,"")</f>
        <v/>
      </c>
      <c r="L516" s="12">
        <f>[514]Main!$C$15&amp;" ("&amp;[514]Main!$C$14&amp;")"</f>
        <v/>
      </c>
      <c r="M516" s="58" t="n">
        <v>46335</v>
      </c>
      <c r="N516" s="17" t="inlineStr">
        <is>
          <t>Earnings Nov 9 (est.)</t>
        </is>
      </c>
    </row>
    <row r="517">
      <c r="B517" s="3" t="inlineStr">
        <is>
          <t>CALC</t>
        </is>
      </c>
      <c r="C517" t="inlineStr">
        <is>
          <t>CalciMedica Inc</t>
        </is>
      </c>
      <c r="D517" t="inlineStr">
        <is>
          <t>Pharmaceuticals</t>
        </is>
      </c>
      <c r="E517" s="6" t="inlineStr">
        <is>
          <t>NASDAQ</t>
        </is>
      </c>
      <c r="F517" s="1" t="n">
        <v>1.065</v>
      </c>
      <c r="G517" s="8">
        <f>F517*[515]Main!$C$4</f>
        <v/>
      </c>
      <c r="H517" s="10">
        <f>G517-[515]Main!$C$7+[515]Main!$C$8</f>
        <v/>
      </c>
      <c r="J517" s="1">
        <f>IF(ISNUMBER([515]Main!$C$11),[515]Main!$C$11,"")</f>
        <v/>
      </c>
      <c r="K517" s="57">
        <f>IFERROR(J517/F517-1,"")</f>
        <v/>
      </c>
      <c r="L517" s="12">
        <f>[515]Main!$C$15&amp;" ("&amp;[515]Main!$C$14&amp;")"</f>
        <v/>
      </c>
      <c r="M517" s="58" t="n">
        <v>46337</v>
      </c>
      <c r="N517" s="17" t="inlineStr">
        <is>
          <t>Earnings Nov 11 (est.)</t>
        </is>
      </c>
    </row>
    <row r="518">
      <c r="B518" s="3" t="inlineStr">
        <is>
          <t>IXHL</t>
        </is>
      </c>
      <c r="C518" t="inlineStr">
        <is>
          <t>Incannex Healthcare Inc</t>
        </is>
      </c>
      <c r="D518" t="inlineStr">
        <is>
          <t>Pharmaceuticals</t>
        </is>
      </c>
      <c r="E518" s="6" t="inlineStr">
        <is>
          <t>NASDAQ</t>
        </is>
      </c>
      <c r="F518" s="1" t="n">
        <v>2.78</v>
      </c>
      <c r="G518" s="8">
        <f>F518*[516]Main!$C$4</f>
        <v/>
      </c>
      <c r="H518" s="10">
        <f>G518-[516]Main!$C$7+[516]Main!$C$8</f>
        <v/>
      </c>
      <c r="J518" s="1">
        <f>IF(ISNUMBER([516]Main!$C$11),[516]Main!$C$11,"")</f>
        <v/>
      </c>
      <c r="K518" s="57">
        <f>IFERROR(J518/F518-1,"")</f>
        <v/>
      </c>
      <c r="L518" s="12">
        <f>[516]Main!$C$15&amp;" ("&amp;[516]Main!$C$14&amp;")"</f>
        <v/>
      </c>
      <c r="M518" s="58" t="n">
        <v>46339</v>
      </c>
      <c r="N518" s="17" t="inlineStr">
        <is>
          <t>Earnings Nov 13 (est.) · Readout ~2027-04: Movement / sleep disorders, Phase 2/3</t>
        </is>
      </c>
    </row>
    <row r="519">
      <c r="B519" s="3" t="inlineStr">
        <is>
          <t>NNVC</t>
        </is>
      </c>
      <c r="C519" t="inlineStr">
        <is>
          <t>NanoViricides, Inc</t>
        </is>
      </c>
      <c r="D519" t="inlineStr">
        <is>
          <t>Biotechnology</t>
        </is>
      </c>
      <c r="E519" s="6" t="inlineStr">
        <is>
          <t>NYSE</t>
        </is>
      </c>
      <c r="F519" s="1" t="n">
        <v>1.5</v>
      </c>
      <c r="G519" s="8">
        <f>F519*[517]Main!$C$4</f>
        <v/>
      </c>
      <c r="H519" s="10">
        <f>G519-[517]Main!$C$7+[517]Main!$C$8</f>
        <v/>
      </c>
      <c r="J519" s="1">
        <f>IF(ISNUMBER([517]Main!$C$11),[517]Main!$C$11,"")</f>
        <v/>
      </c>
      <c r="K519" s="57">
        <f>IFERROR(J519/F519-1,"")</f>
        <v/>
      </c>
      <c r="L519" s="12">
        <f>[517]Main!$C$15&amp;" ("&amp;[517]Main!$C$14&amp;")"</f>
        <v/>
      </c>
      <c r="M519" s="58" t="n">
        <v>46339</v>
      </c>
      <c r="N519" s="17" t="inlineStr">
        <is>
          <t>Earnings Nov 13 (est.)</t>
        </is>
      </c>
    </row>
    <row r="520">
      <c r="B520" s="3" t="inlineStr">
        <is>
          <t>ELUT</t>
        </is>
      </c>
      <c r="C520" t="inlineStr">
        <is>
          <t>Elutia Inc</t>
        </is>
      </c>
      <c r="D520" t="inlineStr">
        <is>
          <t>Biotechnology</t>
        </is>
      </c>
      <c r="E520" s="6" t="inlineStr">
        <is>
          <t>NASDAQ</t>
        </is>
      </c>
      <c r="F520" s="1" t="n">
        <v>0.8105</v>
      </c>
      <c r="G520" s="8">
        <f>F520*[518]Main!$C$4</f>
        <v/>
      </c>
      <c r="H520" s="10">
        <f>G520-[518]Main!$C$7+[518]Main!$C$8</f>
        <v/>
      </c>
      <c r="J520" s="1">
        <f>IF(ISNUMBER([518]Main!$C$11),[518]Main!$C$11,"")</f>
        <v/>
      </c>
      <c r="K520" s="57">
        <f>IFERROR(J520/F520-1,"")</f>
        <v/>
      </c>
      <c r="L520" s="12">
        <f>[518]Main!$C$15&amp;" ("&amp;[518]Main!$C$14&amp;")"</f>
        <v/>
      </c>
      <c r="M520" s="58" t="n">
        <v>46331</v>
      </c>
      <c r="N520" s="17" t="inlineStr">
        <is>
          <t>Earnings Nov 5 (est.)</t>
        </is>
      </c>
    </row>
    <row r="521">
      <c r="B521" s="3" t="inlineStr">
        <is>
          <t>LITS</t>
        </is>
      </c>
      <c r="C521" t="inlineStr">
        <is>
          <t>Lite Strategy Inc</t>
        </is>
      </c>
      <c r="D521" t="inlineStr">
        <is>
          <t>Biotechnology</t>
        </is>
      </c>
      <c r="E521" s="6" t="inlineStr">
        <is>
          <t>NASDAQ</t>
        </is>
      </c>
      <c r="F521" s="1" t="n">
        <v>1.19</v>
      </c>
      <c r="G521" s="8">
        <f>F521*[519]Main!$C$4</f>
        <v/>
      </c>
      <c r="H521" s="10">
        <f>G521-[519]Main!$C$7+[519]Main!$C$8</f>
        <v/>
      </c>
      <c r="J521" s="1">
        <f>IF(ISNUMBER([519]Main!$C$11),[519]Main!$C$11,"")</f>
        <v/>
      </c>
      <c r="K521" s="57">
        <f>IFERROR(J521/F521-1,"")</f>
        <v/>
      </c>
      <c r="L521" s="12">
        <f>[519]Main!$C$15&amp;" ("&amp;[519]Main!$C$14&amp;")"</f>
        <v/>
      </c>
      <c r="M521" s="58" t="n">
        <v>46339</v>
      </c>
      <c r="N521" s="17" t="inlineStr">
        <is>
          <t>Earnings Nov 13 (est.)</t>
        </is>
      </c>
    </row>
    <row r="522">
      <c r="B522" s="3" t="inlineStr">
        <is>
          <t>FLNA</t>
        </is>
      </c>
      <c r="C522" t="inlineStr">
        <is>
          <t>Filana Therapeutics, Inc.</t>
        </is>
      </c>
      <c r="D522" t="inlineStr">
        <is>
          <t>Pharmaceuticals</t>
        </is>
      </c>
      <c r="E522" s="6" t="inlineStr">
        <is>
          <t>NASDAQ</t>
        </is>
      </c>
      <c r="F522" s="1" t="n">
        <v>0.6885</v>
      </c>
      <c r="G522" s="8">
        <f>F522*[520]Main!$C$4</f>
        <v/>
      </c>
      <c r="H522" s="10">
        <f>G522-[520]Main!$C$7+[520]Main!$C$8</f>
        <v/>
      </c>
      <c r="J522" s="1">
        <f>IF(ISNUMBER([520]Main!$C$11),[520]Main!$C$11,"")</f>
        <v/>
      </c>
      <c r="K522" s="57">
        <f>IFERROR(J522/F522-1,"")</f>
        <v/>
      </c>
      <c r="L522" s="12">
        <f>[520]Main!$C$15&amp;" ("&amp;[520]Main!$C$14&amp;")"</f>
        <v/>
      </c>
      <c r="M522" s="58" t="n">
        <v>46337</v>
      </c>
      <c r="N522" s="17" t="inlineStr">
        <is>
          <t>Earnings Nov 11 (est.)</t>
        </is>
      </c>
    </row>
    <row r="523">
      <c r="B523" s="3" t="inlineStr">
        <is>
          <t>CRVO</t>
        </is>
      </c>
      <c r="C523" t="inlineStr">
        <is>
          <t>CervoMed Inc</t>
        </is>
      </c>
      <c r="D523" t="inlineStr">
        <is>
          <t>Biotechnology</t>
        </is>
      </c>
      <c r="E523" s="6" t="inlineStr">
        <is>
          <t>NASDAQ</t>
        </is>
      </c>
      <c r="F523" s="1" t="n">
        <v>2.29</v>
      </c>
      <c r="G523" s="8">
        <f>F523*[521]Main!$C$4</f>
        <v/>
      </c>
      <c r="H523" s="10">
        <f>G523-[521]Main!$C$7+[521]Main!$C$8</f>
        <v/>
      </c>
      <c r="J523" s="1">
        <f>IF(ISNUMBER([521]Main!$C$11),[521]Main!$C$11,"")</f>
        <v/>
      </c>
      <c r="K523" s="57">
        <f>IFERROR(J523/F523-1,"")</f>
        <v/>
      </c>
      <c r="L523" s="12">
        <f>[521]Main!$C$15&amp;" ("&amp;[521]Main!$C$14&amp;")"</f>
        <v/>
      </c>
      <c r="M523" s="58" t="n">
        <v>46332</v>
      </c>
      <c r="N523" s="17" t="inlineStr">
        <is>
          <t>Earnings Nov 6 (est.)</t>
        </is>
      </c>
    </row>
    <row r="524">
      <c r="B524" s="3" t="inlineStr">
        <is>
          <t>ATNM</t>
        </is>
      </c>
      <c r="C524" t="inlineStr">
        <is>
          <t>Actinium Pharmaceuticals Inc</t>
        </is>
      </c>
      <c r="D524" t="inlineStr">
        <is>
          <t>Biotechnology</t>
        </is>
      </c>
      <c r="E524" s="6" t="inlineStr">
        <is>
          <t>NYSE</t>
        </is>
      </c>
      <c r="F524" s="1" t="n">
        <v>1.395</v>
      </c>
      <c r="G524" s="8">
        <f>F524*[522]Main!$C$4</f>
        <v/>
      </c>
      <c r="H524" s="10">
        <f>G524-[522]Main!$C$7+[522]Main!$C$8</f>
        <v/>
      </c>
      <c r="J524" s="1">
        <f>IF(ISNUMBER([522]Main!$C$11),[522]Main!$C$11,"")</f>
        <v/>
      </c>
      <c r="K524" s="57">
        <f>IFERROR(J524/F524-1,"")</f>
        <v/>
      </c>
      <c r="L524" s="12">
        <f>[522]Main!$C$15&amp;" ("&amp;[522]Main!$C$14&amp;")"</f>
        <v/>
      </c>
      <c r="M524" s="58" t="n">
        <v>46339</v>
      </c>
      <c r="N524" s="17" t="inlineStr">
        <is>
          <t>Earnings Nov 13 (est.) · Readout ~2029-02: Leukemia, Phase 3</t>
        </is>
      </c>
    </row>
    <row r="525">
      <c r="B525" s="3" t="inlineStr">
        <is>
          <t>QNCX</t>
        </is>
      </c>
      <c r="C525" t="inlineStr">
        <is>
          <t>Quince Therapeutics, Inc.</t>
        </is>
      </c>
      <c r="D525" t="inlineStr">
        <is>
          <t>Biotechnology</t>
        </is>
      </c>
      <c r="E525" s="6" t="inlineStr">
        <is>
          <t>NASDAQ</t>
        </is>
      </c>
      <c r="F525" s="1" t="n">
        <v>40.27</v>
      </c>
      <c r="G525" s="8">
        <f>F525*[523]Main!$C$4</f>
        <v/>
      </c>
      <c r="H525" s="10">
        <f>G525-[523]Main!$C$7+[523]Main!$C$8</f>
        <v/>
      </c>
      <c r="J525" s="1">
        <f>IF(ISNUMBER([523]Main!$C$11),[523]Main!$C$11,"")</f>
        <v/>
      </c>
      <c r="K525" s="57">
        <f>IFERROR(J525/F525-1,"")</f>
        <v/>
      </c>
      <c r="L525" s="12">
        <f>[523]Main!$C$15&amp;" ("&amp;[523]Main!$C$14&amp;")"</f>
        <v/>
      </c>
      <c r="M525" s="58" t="n">
        <v>46337</v>
      </c>
      <c r="N525" s="17" t="inlineStr">
        <is>
          <t>Earnings Nov 11 (est.) · Now IRulya Therapeutics (IRLA) after an Oct 9 merger; model shares and cash predate it</t>
        </is>
      </c>
    </row>
    <row r="526">
      <c r="B526" s="3" t="inlineStr">
        <is>
          <t>BIAF</t>
        </is>
      </c>
      <c r="C526" t="inlineStr">
        <is>
          <t>bioAffinity Technologies Inc</t>
        </is>
      </c>
      <c r="D526" t="inlineStr">
        <is>
          <t>Biotechnology</t>
        </is>
      </c>
      <c r="E526" s="6" t="inlineStr">
        <is>
          <t>NASDAQ</t>
        </is>
      </c>
      <c r="F526" s="1" t="n">
        <v>3.66</v>
      </c>
      <c r="G526" s="8">
        <f>F526*[524]Main!$C$4</f>
        <v/>
      </c>
      <c r="H526" s="10">
        <f>G526-[524]Main!$C$7+[524]Main!$C$8</f>
        <v/>
      </c>
      <c r="J526" s="1">
        <f>IF(ISNUMBER([524]Main!$C$11),[524]Main!$C$11,"")</f>
        <v/>
      </c>
      <c r="K526" s="57">
        <f>IFERROR(J526/F526-1,"")</f>
        <v/>
      </c>
      <c r="L526" s="12">
        <f>[524]Main!$C$15&amp;" ("&amp;[524]Main!$C$14&amp;")"</f>
        <v/>
      </c>
      <c r="M526" s="58" t="n">
        <v>46339</v>
      </c>
      <c r="N526" s="17" t="inlineStr">
        <is>
          <t>Earnings Nov 13 (est.)</t>
        </is>
      </c>
    </row>
    <row r="527">
      <c r="B527" s="3" t="inlineStr">
        <is>
          <t>CVM</t>
        </is>
      </c>
      <c r="C527" t="inlineStr">
        <is>
          <t>CEL-SCI Corp</t>
        </is>
      </c>
      <c r="D527" t="inlineStr">
        <is>
          <t>Biotechnology</t>
        </is>
      </c>
      <c r="E527" s="6" t="inlineStr">
        <is>
          <t>NYSE</t>
        </is>
      </c>
      <c r="F527" s="1" t="n">
        <v>1.56</v>
      </c>
      <c r="G527" s="8">
        <f>F527*[525]Main!$C$4</f>
        <v/>
      </c>
      <c r="H527" s="10">
        <f>G527-[525]Main!$C$7+[525]Main!$C$8</f>
        <v/>
      </c>
      <c r="J527" s="1">
        <f>IF(ISNUMBER([525]Main!$C$11),[525]Main!$C$11,"")</f>
        <v/>
      </c>
      <c r="K527" s="57">
        <f>IFERROR(J527/F527-1,"")</f>
        <v/>
      </c>
      <c r="L527" s="12">
        <f>[525]Main!$C$15&amp;" ("&amp;[525]Main!$C$14&amp;")"</f>
        <v/>
      </c>
      <c r="M527" s="58" t="n"/>
      <c r="N527" s="17" t="n"/>
    </row>
    <row r="528">
      <c r="B528" s="3" t="inlineStr">
        <is>
          <t>ALGS</t>
        </is>
      </c>
      <c r="C528" t="inlineStr">
        <is>
          <t>Aligos Therapeutics, Inc.</t>
        </is>
      </c>
      <c r="D528" t="inlineStr">
        <is>
          <t>Biotechnology</t>
        </is>
      </c>
      <c r="E528" s="6" t="inlineStr">
        <is>
          <t>NASDAQ</t>
        </is>
      </c>
      <c r="F528" s="1" t="n">
        <v>5.03</v>
      </c>
      <c r="G528" s="8">
        <f>F528*[526]Main!$C$4</f>
        <v/>
      </c>
      <c r="H528" s="10">
        <f>G528-[526]Main!$C$7+[526]Main!$C$8</f>
        <v/>
      </c>
      <c r="J528" s="1">
        <f>IF(ISNUMBER([526]Main!$C$11),[526]Main!$C$11,"")</f>
        <v/>
      </c>
      <c r="K528" s="57">
        <f>IFERROR(J528/F528-1,"")</f>
        <v/>
      </c>
      <c r="L528" s="12">
        <f>[526]Main!$C$15&amp;" ("&amp;[526]Main!$C$14&amp;")"</f>
        <v/>
      </c>
      <c r="M528" s="58" t="n">
        <v>46331</v>
      </c>
      <c r="N528" s="17" t="inlineStr">
        <is>
          <t>Earnings Nov 5 (est.) · Readout ~2027-03: HIV / hepatitis, Phase 2</t>
        </is>
      </c>
    </row>
    <row r="529">
      <c r="B529" s="3" t="inlineStr">
        <is>
          <t>GRDX</t>
        </is>
      </c>
      <c r="C529" t="inlineStr">
        <is>
          <t>GridAI Technologies Corp</t>
        </is>
      </c>
      <c r="D529" t="inlineStr">
        <is>
          <t>Biotechnology</t>
        </is>
      </c>
      <c r="E529" s="6" t="inlineStr">
        <is>
          <t>NASDAQ</t>
        </is>
      </c>
      <c r="F529" s="1" t="n">
        <v>4.63</v>
      </c>
      <c r="G529" s="8">
        <f>F529*[527]Main!$C$4</f>
        <v/>
      </c>
      <c r="H529" s="10">
        <f>G529-[527]Main!$C$7+[527]Main!$C$8</f>
        <v/>
      </c>
      <c r="J529" s="1">
        <f>IF(ISNUMBER([527]Main!$C$11),[527]Main!$C$11,"")</f>
        <v/>
      </c>
      <c r="K529" s="57">
        <f>IFERROR(J529/F529-1,"")</f>
        <v/>
      </c>
      <c r="L529" s="12">
        <f>[527]Main!$C$15&amp;" ("&amp;[527]Main!$C$14&amp;")"</f>
        <v/>
      </c>
      <c r="M529" s="58" t="n">
        <v>46344</v>
      </c>
      <c r="N529" s="17" t="inlineStr">
        <is>
          <t>Earnings Nov 18 (est.)</t>
        </is>
      </c>
    </row>
    <row r="530">
      <c r="B530" s="3" t="inlineStr">
        <is>
          <t>MGX</t>
        </is>
      </c>
      <c r="C530" t="inlineStr">
        <is>
          <t>Metagenomi Therapeutics Inc</t>
        </is>
      </c>
      <c r="D530" t="inlineStr">
        <is>
          <t>Biotechnology</t>
        </is>
      </c>
      <c r="E530" s="6" t="inlineStr">
        <is>
          <t>NASDAQ</t>
        </is>
      </c>
      <c r="F530" s="1" t="n">
        <v>0.8313</v>
      </c>
      <c r="G530" s="8">
        <f>F530*[528]Main!$C$4</f>
        <v/>
      </c>
      <c r="H530" s="10">
        <f>G530-[528]Main!$C$7+[528]Main!$C$8</f>
        <v/>
      </c>
      <c r="J530" s="1">
        <f>IF(ISNUMBER([528]Main!$C$11),[528]Main!$C$11,"")</f>
        <v/>
      </c>
      <c r="K530" s="57">
        <f>IFERROR(J530/F530-1,"")</f>
        <v/>
      </c>
      <c r="L530" s="12">
        <f>[528]Main!$C$15&amp;" ("&amp;[528]Main!$C$14&amp;")"</f>
        <v/>
      </c>
      <c r="M530" s="58" t="n">
        <v>46336</v>
      </c>
      <c r="N530" s="17" t="inlineStr">
        <is>
          <t>Earnings Nov 10 (est.)</t>
        </is>
      </c>
    </row>
    <row r="531">
      <c r="B531" s="3" t="inlineStr">
        <is>
          <t>BCTX</t>
        </is>
      </c>
      <c r="C531" t="inlineStr">
        <is>
          <t>Briacell Therapeutics Corp</t>
        </is>
      </c>
      <c r="D531" t="inlineStr">
        <is>
          <t>Biotechnology</t>
        </is>
      </c>
      <c r="E531" s="6" t="inlineStr">
        <is>
          <t>NASDAQ</t>
        </is>
      </c>
      <c r="F531" s="1" t="n">
        <v>3.46</v>
      </c>
      <c r="G531" s="8">
        <f>F531*[529]Main!$C$4</f>
        <v/>
      </c>
      <c r="H531" s="10">
        <f>G531-[529]Main!$C$7+[529]Main!$C$8</f>
        <v/>
      </c>
      <c r="J531" s="1">
        <f>IF(ISNUMBER([529]Main!$C$11),[529]Main!$C$11,"")</f>
        <v/>
      </c>
      <c r="K531" s="57">
        <f>IFERROR(J531/F531-1,"")</f>
        <v/>
      </c>
      <c r="L531" s="12">
        <f>[529]Main!$C$15&amp;" ("&amp;[529]Main!$C$14&amp;")"</f>
        <v/>
      </c>
      <c r="M531" s="58" t="n">
        <v>46316</v>
      </c>
      <c r="N531" s="17" t="inlineStr">
        <is>
          <t>Earnings Oct 21 (est.) · Readout ~2027-12: Breast cancer, Phase 3</t>
        </is>
      </c>
    </row>
    <row r="532">
      <c r="B532" s="3" t="inlineStr">
        <is>
          <t>CPHI</t>
        </is>
      </c>
      <c r="C532" t="inlineStr">
        <is>
          <t>China Pharma Holdings Inc</t>
        </is>
      </c>
      <c r="D532" t="inlineStr">
        <is>
          <t>Pharmaceuticals</t>
        </is>
      </c>
      <c r="E532" s="6" t="inlineStr">
        <is>
          <t>NYSE</t>
        </is>
      </c>
      <c r="F532" s="1" t="n">
        <v>0.7243000000000001</v>
      </c>
      <c r="G532" s="8">
        <f>F532*[530]Main!$C$4</f>
        <v/>
      </c>
      <c r="H532" s="10">
        <f>G532-[530]Main!$C$7+[530]Main!$C$8</f>
        <v/>
      </c>
      <c r="J532" s="1">
        <f>IF(ISNUMBER([530]Main!$C$11),[530]Main!$C$11,"")</f>
        <v/>
      </c>
      <c r="K532" s="57">
        <f>IFERROR(J532/F532-1,"")</f>
        <v/>
      </c>
      <c r="L532" s="12">
        <f>[530]Main!$C$15&amp;" ("&amp;[530]Main!$C$14&amp;")"</f>
        <v/>
      </c>
      <c r="M532" s="58" t="n">
        <v>46337</v>
      </c>
      <c r="N532" s="17" t="inlineStr">
        <is>
          <t>Earnings Nov 11 (est.)</t>
        </is>
      </c>
    </row>
    <row r="533">
      <c r="B533" s="3" t="inlineStr">
        <is>
          <t>ATOS</t>
        </is>
      </c>
      <c r="C533" t="inlineStr">
        <is>
          <t>Atossa Therapeutics Inc</t>
        </is>
      </c>
      <c r="D533" t="inlineStr">
        <is>
          <t>Biotechnology</t>
        </is>
      </c>
      <c r="E533" s="6" t="inlineStr">
        <is>
          <t>NASDAQ</t>
        </is>
      </c>
      <c r="F533" s="1" t="n">
        <v>2.54</v>
      </c>
      <c r="G533" s="8">
        <f>F533*[531]Main!$C$4</f>
        <v/>
      </c>
      <c r="H533" s="10">
        <f>G533-[531]Main!$C$7+[531]Main!$C$8</f>
        <v/>
      </c>
      <c r="J533" s="1">
        <f>IF(ISNUMBER([531]Main!$C$11),[531]Main!$C$11,"")</f>
        <v/>
      </c>
      <c r="K533" s="57">
        <f>IFERROR(J533/F533-1,"")</f>
        <v/>
      </c>
      <c r="L533" s="12">
        <f>[531]Main!$C$15&amp;" ("&amp;[531]Main!$C$14&amp;")"</f>
        <v/>
      </c>
      <c r="M533" s="58" t="n">
        <v>46337</v>
      </c>
      <c r="N533" s="17" t="inlineStr">
        <is>
          <t>Earnings Nov 11 (est.) · Readout ~2026-11: Breast cancer, Phase 2</t>
        </is>
      </c>
    </row>
    <row r="534">
      <c r="B534" s="3" t="inlineStr">
        <is>
          <t>RNAZ</t>
        </is>
      </c>
      <c r="C534" t="inlineStr">
        <is>
          <t>Transcode Therapeutics Inc</t>
        </is>
      </c>
      <c r="D534" t="inlineStr">
        <is>
          <t>Biotechnology</t>
        </is>
      </c>
      <c r="E534" s="6" t="inlineStr">
        <is>
          <t>NASDAQ</t>
        </is>
      </c>
      <c r="F534" s="1" t="n">
        <v>1.66</v>
      </c>
      <c r="G534" s="8">
        <f>F534*[532]Main!$C$4</f>
        <v/>
      </c>
      <c r="H534" s="10">
        <f>G534-[532]Main!$C$7+[532]Main!$C$8</f>
        <v/>
      </c>
      <c r="J534" s="1">
        <f>IF(ISNUMBER([532]Main!$C$11),[532]Main!$C$11,"")</f>
        <v/>
      </c>
      <c r="K534" s="57">
        <f>IFERROR(J534/F534-1,"")</f>
        <v/>
      </c>
      <c r="L534" s="12">
        <f>[532]Main!$C$15&amp;" ("&amp;[532]Main!$C$14&amp;")"</f>
        <v/>
      </c>
      <c r="M534" s="58" t="n">
        <v>46339</v>
      </c>
      <c r="N534" s="17" t="inlineStr">
        <is>
          <t>Earnings Nov 13 (est.)</t>
        </is>
      </c>
    </row>
    <row r="535">
      <c r="B535" s="3" t="inlineStr">
        <is>
          <t>NXTC</t>
        </is>
      </c>
      <c r="C535" t="inlineStr">
        <is>
          <t>NextCure Inc</t>
        </is>
      </c>
      <c r="D535" t="inlineStr">
        <is>
          <t>Biotechnology</t>
        </is>
      </c>
      <c r="E535" s="6" t="inlineStr">
        <is>
          <t>NASDAQ</t>
        </is>
      </c>
      <c r="F535" s="1" t="n">
        <v>5.44</v>
      </c>
      <c r="G535" s="8">
        <f>F535*[533]Main!$C$4</f>
        <v/>
      </c>
      <c r="H535" s="10">
        <f>G535-[533]Main!$C$7+[533]Main!$C$8</f>
        <v/>
      </c>
      <c r="J535" s="1">
        <f>IF(ISNUMBER([533]Main!$C$11),[533]Main!$C$11,"")</f>
        <v/>
      </c>
      <c r="K535" s="57">
        <f>IFERROR(J535/F535-1,"")</f>
        <v/>
      </c>
      <c r="L535" s="12">
        <f>[533]Main!$C$15&amp;" ("&amp;[533]Main!$C$14&amp;")"</f>
        <v/>
      </c>
      <c r="M535" s="58" t="n">
        <v>46330</v>
      </c>
      <c r="N535" s="17" t="inlineStr">
        <is>
          <t>Earnings Nov 4 (est.) · Readout ~2026-12: Ovarian cancer, Phase 1</t>
        </is>
      </c>
    </row>
    <row r="536">
      <c r="B536" s="3" t="inlineStr">
        <is>
          <t>NSRX</t>
        </is>
      </c>
      <c r="C536" t="inlineStr">
        <is>
          <t>Nasus Pharma Ltd</t>
        </is>
      </c>
      <c r="D536" t="inlineStr">
        <is>
          <t>Pharmaceuticals</t>
        </is>
      </c>
      <c r="E536" s="6" t="inlineStr">
        <is>
          <t>NYSE</t>
        </is>
      </c>
      <c r="F536" s="1" t="n">
        <v>3.24</v>
      </c>
      <c r="G536" s="8">
        <f>F536*[534]Main!$C$4</f>
        <v/>
      </c>
      <c r="H536" s="10">
        <f>G536-[534]Main!$C$7+[534]Main!$C$8</f>
        <v/>
      </c>
      <c r="J536" s="1">
        <f>IF(ISNUMBER([534]Main!$C$11),[534]Main!$C$11,"")</f>
        <v/>
      </c>
      <c r="K536" s="57">
        <f>IFERROR(J536/F536-1,"")</f>
        <v/>
      </c>
      <c r="L536" s="12">
        <f>[534]Main!$C$15&amp;" ("&amp;[534]Main!$C$14&amp;")"</f>
        <v/>
      </c>
      <c r="M536" s="58" t="n"/>
      <c r="N536" s="17" t="n"/>
    </row>
    <row r="537">
      <c r="B537" s="3" t="inlineStr">
        <is>
          <t>MIRA</t>
        </is>
      </c>
      <c r="C537" t="inlineStr">
        <is>
          <t>MIRA Pharmaceuticals Inc</t>
        </is>
      </c>
      <c r="D537" t="inlineStr">
        <is>
          <t>Pharmaceuticals</t>
        </is>
      </c>
      <c r="E537" s="6" t="inlineStr">
        <is>
          <t>NASDAQ</t>
        </is>
      </c>
      <c r="F537" s="1" t="n">
        <v>0.6501</v>
      </c>
      <c r="G537" s="8">
        <f>F537*[535]Main!$C$4</f>
        <v/>
      </c>
      <c r="H537" s="10">
        <f>G537-[535]Main!$C$7+[535]Main!$C$8</f>
        <v/>
      </c>
      <c r="J537" s="1">
        <f>IF(ISNUMBER([535]Main!$C$11),[535]Main!$C$11,"")</f>
        <v/>
      </c>
      <c r="K537" s="57">
        <f>IFERROR(J537/F537-1,"")</f>
        <v/>
      </c>
      <c r="L537" s="12">
        <f>[535]Main!$C$15&amp;" ("&amp;[535]Main!$C$14&amp;")"</f>
        <v/>
      </c>
      <c r="M537" s="58" t="n">
        <v>46338</v>
      </c>
      <c r="N537" s="17" t="inlineStr">
        <is>
          <t>Earnings Nov 12 (est.)</t>
        </is>
      </c>
    </row>
    <row r="538">
      <c r="B538" s="3" t="inlineStr">
        <is>
          <t>SHPH</t>
        </is>
      </c>
      <c r="C538" t="inlineStr">
        <is>
          <t>Shuttle Pharmaceuticals Holdings Inc</t>
        </is>
      </c>
      <c r="D538" t="inlineStr">
        <is>
          <t>Biotechnology</t>
        </is>
      </c>
      <c r="E538" s="6" t="inlineStr">
        <is>
          <t>NASDAQ</t>
        </is>
      </c>
      <c r="F538" s="1" t="n">
        <v>4.91</v>
      </c>
      <c r="G538" s="8">
        <f>F538*[536]Main!$C$4</f>
        <v/>
      </c>
      <c r="H538" s="10">
        <f>G538-[536]Main!$C$7+[536]Main!$C$8</f>
        <v/>
      </c>
      <c r="J538" s="1">
        <f>IF(ISNUMBER([536]Main!$C$11),[536]Main!$C$11,"")</f>
        <v/>
      </c>
      <c r="K538" s="57">
        <f>IFERROR(J538/F538-1,"")</f>
        <v/>
      </c>
      <c r="L538" s="12">
        <f>[536]Main!$C$15&amp;" ("&amp;[536]Main!$C$14&amp;")"</f>
        <v/>
      </c>
      <c r="M538" s="58" t="n">
        <v>46338</v>
      </c>
      <c r="N538" s="17" t="inlineStr">
        <is>
          <t>Earnings Nov 12 (est.)</t>
        </is>
      </c>
    </row>
    <row r="539">
      <c r="B539" s="3" t="inlineStr">
        <is>
          <t>IGC</t>
        </is>
      </c>
      <c r="C539" t="inlineStr">
        <is>
          <t>IGC Pharma Inc</t>
        </is>
      </c>
      <c r="D539" t="inlineStr">
        <is>
          <t>Pharmaceuticals</t>
        </is>
      </c>
      <c r="E539" s="6" t="inlineStr">
        <is>
          <t>NYSE</t>
        </is>
      </c>
      <c r="F539" s="1" t="n">
        <v>0.245</v>
      </c>
      <c r="G539" s="8">
        <f>F539*[537]Main!$C$4</f>
        <v/>
      </c>
      <c r="H539" s="10">
        <f>G539-[537]Main!$C$7+[537]Main!$C$8</f>
        <v/>
      </c>
      <c r="J539" s="1">
        <f>IF(ISNUMBER([537]Main!$C$11),[537]Main!$C$11,"")</f>
        <v/>
      </c>
      <c r="K539" s="57">
        <f>IFERROR(J539/F539-1,"")</f>
        <v/>
      </c>
      <c r="L539" s="12">
        <f>[537]Main!$C$15&amp;" ("&amp;[537]Main!$C$14&amp;")"</f>
        <v/>
      </c>
      <c r="M539" s="58" t="n">
        <v>46339</v>
      </c>
      <c r="N539" s="17" t="inlineStr">
        <is>
          <t>Earnings Nov 13 (est.) · Readout ~2026-11: Alzheimer's disease, Phase 2</t>
        </is>
      </c>
    </row>
    <row r="540">
      <c r="B540" s="3" t="inlineStr">
        <is>
          <t>VBIO</t>
        </is>
      </c>
      <c r="C540" t="inlineStr">
        <is>
          <t>Valion Bio Inc</t>
        </is>
      </c>
      <c r="D540" t="inlineStr">
        <is>
          <t>Biotechnology</t>
        </is>
      </c>
      <c r="E540" s="6" t="inlineStr">
        <is>
          <t>NASDAQ</t>
        </is>
      </c>
      <c r="F540" s="1" t="n">
        <v>1.19</v>
      </c>
      <c r="G540" s="8">
        <f>F540*[538]Main!$C$4</f>
        <v/>
      </c>
      <c r="H540" s="10">
        <f>G540-[538]Main!$C$7+[538]Main!$C$8</f>
        <v/>
      </c>
      <c r="J540" s="1">
        <f>IF(ISNUMBER([538]Main!$C$11),[538]Main!$C$11,"")</f>
        <v/>
      </c>
      <c r="K540" s="57">
        <f>IFERROR(J540/F540-1,"")</f>
        <v/>
      </c>
      <c r="L540" s="12">
        <f>[538]Main!$C$15&amp;" ("&amp;[538]Main!$C$14&amp;")"</f>
        <v/>
      </c>
      <c r="M540" s="58" t="n">
        <v>46339</v>
      </c>
      <c r="N540" s="17" t="inlineStr">
        <is>
          <t>Earnings Nov 13 (est.)</t>
        </is>
      </c>
    </row>
    <row r="541">
      <c r="B541" s="3" t="inlineStr">
        <is>
          <t>MCRB</t>
        </is>
      </c>
      <c r="C541" t="inlineStr">
        <is>
          <t>Seres Therapeutics, Inc.</t>
        </is>
      </c>
      <c r="D541" t="inlineStr">
        <is>
          <t>Biotechnology</t>
        </is>
      </c>
      <c r="E541" s="6" t="inlineStr">
        <is>
          <t>NASDAQ</t>
        </is>
      </c>
      <c r="F541" s="1" t="n">
        <v>2.31</v>
      </c>
      <c r="G541" s="8">
        <f>F541*[539]Main!$C$4</f>
        <v/>
      </c>
      <c r="H541" s="10">
        <f>G541-[539]Main!$C$7+[539]Main!$C$8</f>
        <v/>
      </c>
      <c r="J541" s="1">
        <f>IF(ISNUMBER([539]Main!$C$11),[539]Main!$C$11,"")</f>
        <v/>
      </c>
      <c r="K541" s="57">
        <f>IFERROR(J541/F541-1,"")</f>
        <v/>
      </c>
      <c r="L541" s="12">
        <f>[539]Main!$C$15&amp;" ("&amp;[539]Main!$C$14&amp;")"</f>
        <v/>
      </c>
      <c r="M541" s="58" t="n">
        <v>46330</v>
      </c>
      <c r="N541" s="17" t="inlineStr">
        <is>
          <t>Earnings Nov 4 (est.)</t>
        </is>
      </c>
    </row>
    <row r="542">
      <c r="B542" s="3" t="inlineStr">
        <is>
          <t>EDSA</t>
        </is>
      </c>
      <c r="C542" t="inlineStr">
        <is>
          <t>Edesa Biotech Inc</t>
        </is>
      </c>
      <c r="D542" t="inlineStr">
        <is>
          <t>Biotechnology</t>
        </is>
      </c>
      <c r="E542" s="6" t="inlineStr">
        <is>
          <t>NASDAQ</t>
        </is>
      </c>
      <c r="F542" s="1" t="n">
        <v>2.82</v>
      </c>
      <c r="G542" s="8">
        <f>F542*[540]Main!$C$4</f>
        <v/>
      </c>
      <c r="H542" s="10">
        <f>G542-[540]Main!$C$7+[540]Main!$C$8</f>
        <v/>
      </c>
      <c r="J542" s="1">
        <f>IF(ISNUMBER([540]Main!$C$11),[540]Main!$C$11,"")</f>
        <v/>
      </c>
      <c r="K542" s="57">
        <f>IFERROR(J542/F542-1,"")</f>
        <v/>
      </c>
      <c r="L542" s="12">
        <f>[540]Main!$C$15&amp;" ("&amp;[540]Main!$C$14&amp;")"</f>
        <v/>
      </c>
      <c r="M542" s="58" t="n">
        <v>46367</v>
      </c>
      <c r="N542" s="17" t="inlineStr">
        <is>
          <t>Earnings Dec 11 (est.)</t>
        </is>
      </c>
    </row>
    <row r="543">
      <c r="B543" s="3" t="inlineStr">
        <is>
          <t>LNAI</t>
        </is>
      </c>
      <c r="C543" t="inlineStr">
        <is>
          <t>Lunai Bioworks Inc</t>
        </is>
      </c>
      <c r="D543" t="inlineStr">
        <is>
          <t>Biotechnology</t>
        </is>
      </c>
      <c r="E543" s="6" t="inlineStr">
        <is>
          <t>NASDAQ</t>
        </is>
      </c>
      <c r="F543" s="1" t="n">
        <v>0.515</v>
      </c>
      <c r="G543" s="8">
        <f>F543*[541]Main!$C$4</f>
        <v/>
      </c>
      <c r="H543" s="10">
        <f>G543-[541]Main!$C$7+[541]Main!$C$8</f>
        <v/>
      </c>
      <c r="J543" s="1">
        <f>IF(ISNUMBER([541]Main!$C$11),[541]Main!$C$11,"")</f>
        <v/>
      </c>
      <c r="K543" s="57">
        <f>IFERROR(J543/F543-1,"")</f>
        <v/>
      </c>
      <c r="L543" s="12">
        <f>[541]Main!$C$15&amp;" ("&amp;[541]Main!$C$14&amp;")"</f>
        <v/>
      </c>
      <c r="M543" s="58" t="n">
        <v>46339</v>
      </c>
      <c r="N543" s="17" t="inlineStr">
        <is>
          <t>Earnings Nov 13 (est.)</t>
        </is>
      </c>
    </row>
    <row r="544">
      <c r="B544" s="3" t="inlineStr">
        <is>
          <t>ABVC</t>
        </is>
      </c>
      <c r="C544" t="inlineStr">
        <is>
          <t>ABVC Biopharma Inc</t>
        </is>
      </c>
      <c r="D544" t="inlineStr">
        <is>
          <t>Biotechnology</t>
        </is>
      </c>
      <c r="E544" s="6" t="inlineStr">
        <is>
          <t>NASDAQ</t>
        </is>
      </c>
      <c r="F544" s="1" t="n">
        <v>0.93</v>
      </c>
      <c r="G544" s="8">
        <f>F544*[542]Main!$C$4</f>
        <v/>
      </c>
      <c r="H544" s="10">
        <f>G544-[542]Main!$C$7+[542]Main!$C$8</f>
        <v/>
      </c>
      <c r="J544" s="1">
        <f>IF(ISNUMBER([542]Main!$C$11),[542]Main!$C$11,"")</f>
        <v/>
      </c>
      <c r="K544" s="57">
        <f>IFERROR(J544/F544-1,"")</f>
        <v/>
      </c>
      <c r="L544" s="12">
        <f>[542]Main!$C$15&amp;" ("&amp;[542]Main!$C$14&amp;")"</f>
        <v/>
      </c>
      <c r="M544" s="58" t="n">
        <v>46325</v>
      </c>
      <c r="N544" s="17" t="inlineStr">
        <is>
          <t>Earnings Oct 30 (est.)</t>
        </is>
      </c>
    </row>
    <row r="545">
      <c r="B545" s="3" t="inlineStr">
        <is>
          <t>SCLX</t>
        </is>
      </c>
      <c r="C545" t="inlineStr">
        <is>
          <t>Scilex Holding Co</t>
        </is>
      </c>
      <c r="D545" t="inlineStr">
        <is>
          <t>Pharmaceuticals</t>
        </is>
      </c>
      <c r="E545" s="6" t="inlineStr">
        <is>
          <t>NASDAQ</t>
        </is>
      </c>
      <c r="F545" s="1" t="n">
        <v>2.53</v>
      </c>
      <c r="G545" s="8">
        <f>F545*[543]Main!$C$4</f>
        <v/>
      </c>
      <c r="H545" s="10">
        <f>G545-[543]Main!$C$7+[543]Main!$C$8</f>
        <v/>
      </c>
      <c r="J545" s="1">
        <f>IF(ISNUMBER([543]Main!$C$11),[543]Main!$C$11,"")</f>
        <v/>
      </c>
      <c r="K545" s="57">
        <f>IFERROR(J545/F545-1,"")</f>
        <v/>
      </c>
      <c r="L545" s="12">
        <f>[543]Main!$C$15&amp;" ("&amp;[543]Main!$C$14&amp;")"</f>
        <v/>
      </c>
      <c r="M545" s="58" t="n">
        <v>46339</v>
      </c>
      <c r="N545" s="17" t="inlineStr">
        <is>
          <t>Earnings Nov 13 (est.)</t>
        </is>
      </c>
    </row>
    <row r="546">
      <c r="B546" s="3" t="inlineStr">
        <is>
          <t>FFR</t>
        </is>
      </c>
      <c r="C546" t="inlineStr">
        <is>
          <t>FF EAI Robotics Ecosystem Inc.</t>
        </is>
      </c>
      <c r="D546" t="inlineStr">
        <is>
          <t>Biotechnology</t>
        </is>
      </c>
      <c r="E546" s="6" t="inlineStr">
        <is>
          <t>NASDAQ</t>
        </is>
      </c>
      <c r="F546" s="1" t="n">
        <v>1.08</v>
      </c>
      <c r="G546" s="8">
        <f>F546*[544]Main!$C$4</f>
        <v/>
      </c>
      <c r="H546" s="10">
        <f>G546-[544]Main!$C$7+[544]Main!$C$8</f>
        <v/>
      </c>
      <c r="J546" s="1">
        <f>IF(ISNUMBER([544]Main!$C$11),[544]Main!$C$11,"")</f>
        <v/>
      </c>
      <c r="K546" s="57">
        <f>IFERROR(J546/F546-1,"")</f>
        <v/>
      </c>
      <c r="L546" s="12">
        <f>[544]Main!$C$15&amp;" ("&amp;[544]Main!$C$14&amp;")"</f>
        <v/>
      </c>
      <c r="M546" s="58" t="n">
        <v>46339</v>
      </c>
      <c r="N546" s="17" t="inlineStr">
        <is>
          <t>Earnings Nov 13 (est.)</t>
        </is>
      </c>
    </row>
    <row r="547">
      <c r="B547" s="3" t="inlineStr">
        <is>
          <t>EVAX</t>
        </is>
      </c>
      <c r="C547" t="inlineStr">
        <is>
          <t>Evaxion A/S</t>
        </is>
      </c>
      <c r="D547" t="inlineStr">
        <is>
          <t>Biotechnology</t>
        </is>
      </c>
      <c r="E547" s="6" t="inlineStr">
        <is>
          <t>NASDAQ</t>
        </is>
      </c>
      <c r="F547" s="1" t="n">
        <v>4.05</v>
      </c>
      <c r="G547" s="8">
        <f>F547*[545]Main!$C$4</f>
        <v/>
      </c>
      <c r="H547" s="10">
        <f>G547-[545]Main!$C$7+[545]Main!$C$8</f>
        <v/>
      </c>
      <c r="J547" s="1">
        <f>IF(ISNUMBER([545]Main!$C$11),[545]Main!$C$11,"")</f>
        <v/>
      </c>
      <c r="K547" s="57">
        <f>IFERROR(J547/F547-1,"")</f>
        <v/>
      </c>
      <c r="L547" s="12">
        <f>[545]Main!$C$15&amp;" ("&amp;[545]Main!$C$14&amp;")"</f>
        <v/>
      </c>
      <c r="M547" s="58" t="n">
        <v>46345</v>
      </c>
      <c r="N547" s="17" t="inlineStr">
        <is>
          <t>Earnings Nov 19 (before open)</t>
        </is>
      </c>
    </row>
    <row r="548">
      <c r="B548" s="3" t="inlineStr">
        <is>
          <t>BYSI</t>
        </is>
      </c>
      <c r="C548" t="inlineStr">
        <is>
          <t>Beyondspring Inc</t>
        </is>
      </c>
      <c r="D548" t="inlineStr">
        <is>
          <t>Biotechnology</t>
        </is>
      </c>
      <c r="E548" s="6" t="inlineStr">
        <is>
          <t>NASDAQ</t>
        </is>
      </c>
      <c r="F548" s="1" t="n">
        <v>0.5227000000000001</v>
      </c>
      <c r="G548" s="8">
        <f>F548*[546]Main!$C$4</f>
        <v/>
      </c>
      <c r="H548" s="10">
        <f>G548-[546]Main!$C$7+[546]Main!$C$8</f>
        <v/>
      </c>
      <c r="J548" s="1">
        <f>IF(ISNUMBER([546]Main!$C$11),[546]Main!$C$11,"")</f>
        <v/>
      </c>
      <c r="K548" s="57">
        <f>IFERROR(J548/F548-1,"")</f>
        <v/>
      </c>
      <c r="L548" s="12">
        <f>[546]Main!$C$15&amp;" ("&amp;[546]Main!$C$14&amp;")"</f>
        <v/>
      </c>
      <c r="M548" s="58" t="n">
        <v>46337</v>
      </c>
      <c r="N548" s="17" t="inlineStr">
        <is>
          <t>Earnings Nov 11 (est.) · Readout ~2029-06-01: Lung cancer, Phase 3</t>
        </is>
      </c>
    </row>
    <row r="549">
      <c r="B549" s="3" t="inlineStr">
        <is>
          <t>CNTX</t>
        </is>
      </c>
      <c r="C549" t="inlineStr">
        <is>
          <t>Context Therapeutics Inc</t>
        </is>
      </c>
      <c r="D549" t="inlineStr">
        <is>
          <t>Pharmaceuticals</t>
        </is>
      </c>
      <c r="E549" s="6" t="inlineStr">
        <is>
          <t>NASDAQ</t>
        </is>
      </c>
      <c r="F549" s="1" t="n">
        <v>0.2438</v>
      </c>
      <c r="G549" s="8">
        <f>F549*[547]Main!$C$4</f>
        <v/>
      </c>
      <c r="H549" s="10">
        <f>G549-[547]Main!$C$7+[547]Main!$C$8</f>
        <v/>
      </c>
      <c r="J549" s="1">
        <f>IF(ISNUMBER([547]Main!$C$11),[547]Main!$C$11,"")</f>
        <v/>
      </c>
      <c r="K549" s="57">
        <f>IFERROR(J549/F549-1,"")</f>
        <v/>
      </c>
      <c r="L549" s="12">
        <f>[547]Main!$C$15&amp;" ("&amp;[547]Main!$C$14&amp;")"</f>
        <v/>
      </c>
      <c r="M549" s="58" t="n">
        <v>46330</v>
      </c>
      <c r="N549" s="17" t="inlineStr">
        <is>
          <t>Earnings Nov 4 (est.) · Readout ~2026-12: Solid tumors (basket), Phase 1</t>
        </is>
      </c>
    </row>
    <row r="550">
      <c r="B550" s="3" t="inlineStr">
        <is>
          <t>TXMD</t>
        </is>
      </c>
      <c r="C550" t="inlineStr">
        <is>
          <t>TherapeuticsMD Inc</t>
        </is>
      </c>
      <c r="D550" t="inlineStr">
        <is>
          <t>Pharmaceuticals</t>
        </is>
      </c>
      <c r="E550" s="6" t="inlineStr">
        <is>
          <t>NASDAQ</t>
        </is>
      </c>
      <c r="F550" s="1" t="n">
        <v>1.88</v>
      </c>
      <c r="G550" s="8">
        <f>F550*[548]Main!$C$4</f>
        <v/>
      </c>
      <c r="H550" s="10">
        <f>G550-[548]Main!$C$7+[548]Main!$C$8</f>
        <v/>
      </c>
      <c r="J550" s="1">
        <f>IF(ISNUMBER([548]Main!$C$11),[548]Main!$C$11,"")</f>
        <v/>
      </c>
      <c r="K550" s="57">
        <f>IFERROR(J550/F550-1,"")</f>
        <v/>
      </c>
      <c r="L550" s="12">
        <f>[548]Main!$C$15&amp;" ("&amp;[548]Main!$C$14&amp;")"</f>
        <v/>
      </c>
      <c r="M550" s="58" t="n">
        <v>46337</v>
      </c>
      <c r="N550" s="17" t="inlineStr">
        <is>
          <t>Earnings Nov 11 (est.)</t>
        </is>
      </c>
    </row>
    <row r="551">
      <c r="B551" s="3" t="inlineStr">
        <is>
          <t>KYNB</t>
        </is>
      </c>
      <c r="C551" t="inlineStr">
        <is>
          <t>Kyntra Bio, Inc.</t>
        </is>
      </c>
      <c r="D551" t="inlineStr">
        <is>
          <t>Biotechnology</t>
        </is>
      </c>
      <c r="E551" s="6" t="inlineStr">
        <is>
          <t>NASDAQ</t>
        </is>
      </c>
      <c r="F551" s="1" t="n">
        <v>5.28</v>
      </c>
      <c r="G551" s="8">
        <f>F551*[549]Main!$C$4</f>
        <v/>
      </c>
      <c r="H551" s="10">
        <f>G551-[549]Main!$C$7+[549]Main!$C$8</f>
        <v/>
      </c>
      <c r="J551" s="1">
        <f>IF(ISNUMBER([549]Main!$C$11),[549]Main!$C$11,"")</f>
        <v/>
      </c>
      <c r="K551" s="57">
        <f>IFERROR(J551/F551-1,"")</f>
        <v/>
      </c>
      <c r="L551" s="12">
        <f>[549]Main!$C$15&amp;" ("&amp;[549]Main!$C$14&amp;")"</f>
        <v/>
      </c>
      <c r="M551" s="58" t="n">
        <v>46335</v>
      </c>
      <c r="N551" s="17" t="inlineStr">
        <is>
          <t>Earnings Nov 9 (est.) · Readout ~2028-03-31: Prostate cancer, Phase 2</t>
        </is>
      </c>
    </row>
    <row r="552">
      <c r="B552" s="3" t="inlineStr">
        <is>
          <t>AYTU</t>
        </is>
      </c>
      <c r="C552" t="inlineStr">
        <is>
          <t>Aytu Biopharma Inc</t>
        </is>
      </c>
      <c r="D552" t="inlineStr">
        <is>
          <t>Pharmaceuticals</t>
        </is>
      </c>
      <c r="E552" s="6" t="inlineStr">
        <is>
          <t>NASDAQ</t>
        </is>
      </c>
      <c r="F552" s="1" t="n">
        <v>2.01</v>
      </c>
      <c r="G552" s="8">
        <f>F552*[550]Main!$C$4</f>
        <v/>
      </c>
      <c r="H552" s="10">
        <f>G552-[550]Main!$C$7+[550]Main!$C$8</f>
        <v/>
      </c>
      <c r="J552" s="1">
        <f>IF(ISNUMBER([550]Main!$C$11),[550]Main!$C$11,"")</f>
        <v/>
      </c>
      <c r="K552" s="57">
        <f>IFERROR(J552/F552-1,"")</f>
        <v/>
      </c>
      <c r="L552" s="12">
        <f>[550]Main!$C$15&amp;" ("&amp;[550]Main!$C$14&amp;")"</f>
        <v/>
      </c>
      <c r="M552" s="58" t="n">
        <v>46338</v>
      </c>
      <c r="N552" s="17" t="inlineStr">
        <is>
          <t>Earnings Nov 12 (est.)</t>
        </is>
      </c>
    </row>
    <row r="553">
      <c r="B553" s="3" t="inlineStr">
        <is>
          <t>COCP</t>
        </is>
      </c>
      <c r="C553" t="inlineStr">
        <is>
          <t>Cocrystal Pharma Inc</t>
        </is>
      </c>
      <c r="D553" t="inlineStr">
        <is>
          <t>Pharmaceuticals</t>
        </is>
      </c>
      <c r="E553" s="6" t="inlineStr">
        <is>
          <t>NASDAQ</t>
        </is>
      </c>
      <c r="F553" s="1" t="n">
        <v>0.9429</v>
      </c>
      <c r="G553" s="8">
        <f>F553*[551]Main!$C$4</f>
        <v/>
      </c>
      <c r="H553" s="10">
        <f>G553-[551]Main!$C$7+[551]Main!$C$8</f>
        <v/>
      </c>
      <c r="J553" s="1">
        <f>IF(ISNUMBER([551]Main!$C$11),[551]Main!$C$11,"")</f>
        <v/>
      </c>
      <c r="K553" s="57">
        <f>IFERROR(J553/F553-1,"")</f>
        <v/>
      </c>
      <c r="L553" s="12">
        <f>[551]Main!$C$15&amp;" ("&amp;[551]Main!$C$14&amp;")"</f>
        <v/>
      </c>
      <c r="M553" s="58" t="n">
        <v>46339</v>
      </c>
      <c r="N553" s="17" t="inlineStr">
        <is>
          <t>Earnings Nov 13 (est.) · Readout ~2026-10-01: Viral infections (other), Phase 1/2</t>
        </is>
      </c>
    </row>
    <row r="554">
      <c r="B554" s="3" t="inlineStr">
        <is>
          <t>ESLA</t>
        </is>
      </c>
      <c r="C554" t="inlineStr">
        <is>
          <t>Estrella Immunopharma Inc</t>
        </is>
      </c>
      <c r="D554" t="inlineStr">
        <is>
          <t>Biotechnology</t>
        </is>
      </c>
      <c r="E554" s="6" t="inlineStr">
        <is>
          <t>NASDAQ</t>
        </is>
      </c>
      <c r="F554" s="1" t="n">
        <v>0.4</v>
      </c>
      <c r="G554" s="8">
        <f>F554*[552]Main!$C$4</f>
        <v/>
      </c>
      <c r="H554" s="10">
        <f>G554-[552]Main!$C$7+[552]Main!$C$8</f>
        <v/>
      </c>
      <c r="J554" s="1">
        <f>IF(ISNUMBER([552]Main!$C$11),[552]Main!$C$11,"")</f>
        <v/>
      </c>
      <c r="K554" s="57">
        <f>IFERROR(J554/F554-1,"")</f>
        <v/>
      </c>
      <c r="L554" s="12">
        <f>[552]Main!$C$15&amp;" ("&amp;[552]Main!$C$14&amp;")"</f>
        <v/>
      </c>
      <c r="M554" s="58" t="n"/>
      <c r="N554" s="17" t="inlineStr">
        <is>
          <t>Readout ~2027-07-31: Lymphoma, Phase 1/2</t>
        </is>
      </c>
    </row>
    <row r="555">
      <c r="B555" s="3" t="inlineStr">
        <is>
          <t>JAGX</t>
        </is>
      </c>
      <c r="C555" t="inlineStr">
        <is>
          <t>Jaguar Health Inc</t>
        </is>
      </c>
      <c r="D555" t="inlineStr">
        <is>
          <t>Pharmaceuticals</t>
        </is>
      </c>
      <c r="E555" s="6" t="inlineStr">
        <is>
          <t>NASDAQ</t>
        </is>
      </c>
      <c r="F555" s="1" t="n">
        <v>2.63</v>
      </c>
      <c r="G555" s="8">
        <f>F555*[553]Main!$C$4</f>
        <v/>
      </c>
      <c r="H555" s="10">
        <f>G555-[553]Main!$C$7+[553]Main!$C$8</f>
        <v/>
      </c>
      <c r="J555" s="1">
        <f>IF(ISNUMBER([553]Main!$C$11),[553]Main!$C$11,"")</f>
        <v/>
      </c>
      <c r="K555" s="57">
        <f>IFERROR(J555/F555-1,"")</f>
        <v/>
      </c>
      <c r="L555" s="12">
        <f>[553]Main!$C$15&amp;" ("&amp;[553]Main!$C$14&amp;")"</f>
        <v/>
      </c>
      <c r="M555" s="58" t="n">
        <v>46339</v>
      </c>
      <c r="N555" s="17" t="inlineStr">
        <is>
          <t>Earnings Nov 13 (est.)</t>
        </is>
      </c>
    </row>
    <row r="556">
      <c r="B556" s="3" t="inlineStr">
        <is>
          <t>NEUP</t>
        </is>
      </c>
      <c r="C556" t="inlineStr">
        <is>
          <t>Neuphoria Therapeutics Inc</t>
        </is>
      </c>
      <c r="D556" t="inlineStr">
        <is>
          <t>Biotechnology</t>
        </is>
      </c>
      <c r="E556" s="6" t="inlineStr">
        <is>
          <t>NASDAQ</t>
        </is>
      </c>
      <c r="F556" s="1" t="n">
        <v>3.39</v>
      </c>
      <c r="G556" s="8">
        <f>F556*[554]Main!$C$4</f>
        <v/>
      </c>
      <c r="H556" s="10">
        <f>G556-[554]Main!$C$7+[554]Main!$C$8</f>
        <v/>
      </c>
      <c r="J556" s="1">
        <f>IF(ISNUMBER([554]Main!$C$11),[554]Main!$C$11,"")</f>
        <v/>
      </c>
      <c r="K556" s="57">
        <f>IFERROR(J556/F556-1,"")</f>
        <v/>
      </c>
      <c r="L556" s="12">
        <f>[554]Main!$C$15&amp;" ("&amp;[554]Main!$C$14&amp;")"</f>
        <v/>
      </c>
      <c r="M556" s="58" t="n">
        <v>46339</v>
      </c>
      <c r="N556" s="17" t="inlineStr">
        <is>
          <t>Earnings Nov 13 (est.)</t>
        </is>
      </c>
    </row>
    <row r="557">
      <c r="B557" s="3" t="inlineStr">
        <is>
          <t>MRKR</t>
        </is>
      </c>
      <c r="C557" t="inlineStr">
        <is>
          <t>Marker Therapeutics Inc</t>
        </is>
      </c>
      <c r="D557" t="inlineStr">
        <is>
          <t>Biotechnology</t>
        </is>
      </c>
      <c r="E557" s="6" t="inlineStr">
        <is>
          <t>NASDAQ</t>
        </is>
      </c>
      <c r="F557" s="1" t="n">
        <v>1.16</v>
      </c>
      <c r="G557" s="8">
        <f>F557*[555]Main!$C$4</f>
        <v/>
      </c>
      <c r="H557" s="10">
        <f>G557-[555]Main!$C$7+[555]Main!$C$8</f>
        <v/>
      </c>
      <c r="J557" s="1">
        <f>IF(ISNUMBER([555]Main!$C$11),[555]Main!$C$11,"")</f>
        <v/>
      </c>
      <c r="K557" s="57">
        <f>IFERROR(J557/F557-1,"")</f>
        <v/>
      </c>
      <c r="L557" s="12">
        <f>[555]Main!$C$15&amp;" ("&amp;[555]Main!$C$14&amp;")"</f>
        <v/>
      </c>
      <c r="M557" s="58" t="n">
        <v>46338</v>
      </c>
      <c r="N557" s="17" t="inlineStr">
        <is>
          <t>Earnings Nov 12 (est.) · Readout ~2028-02-28: Lymphoma, Phase 1</t>
        </is>
      </c>
    </row>
    <row r="558">
      <c r="B558" s="3" t="inlineStr">
        <is>
          <t>ATYR</t>
        </is>
      </c>
      <c r="C558" t="inlineStr">
        <is>
          <t>aTyr Pharma Inc</t>
        </is>
      </c>
      <c r="D558" t="inlineStr">
        <is>
          <t>Biotechnology</t>
        </is>
      </c>
      <c r="E558" s="6" t="inlineStr">
        <is>
          <t>NASDAQ</t>
        </is>
      </c>
      <c r="F558" s="1" t="n">
        <v>0.1733</v>
      </c>
      <c r="G558" s="8">
        <f>F558*[556]Main!$C$4</f>
        <v/>
      </c>
      <c r="H558" s="10">
        <f>G558-[556]Main!$C$7+[556]Main!$C$8</f>
        <v/>
      </c>
      <c r="J558" s="1">
        <f>IF(ISNUMBER([556]Main!$C$11),[556]Main!$C$11,"")</f>
        <v/>
      </c>
      <c r="K558" s="57">
        <f>IFERROR(J558/F558-1,"")</f>
        <v/>
      </c>
      <c r="L558" s="12">
        <f>[556]Main!$C$15&amp;" ("&amp;[556]Main!$C$14&amp;")"</f>
        <v/>
      </c>
      <c r="M558" s="58" t="n">
        <v>46331</v>
      </c>
      <c r="N558" s="17" t="inlineStr">
        <is>
          <t>Earnings Nov 5 (est.)</t>
        </is>
      </c>
    </row>
    <row r="559">
      <c r="B559" s="3" t="inlineStr">
        <is>
          <t>AKTX</t>
        </is>
      </c>
      <c r="C559" t="inlineStr">
        <is>
          <t>Akari Therapeutics PLC</t>
        </is>
      </c>
      <c r="D559" t="inlineStr">
        <is>
          <t>Biotechnology</t>
        </is>
      </c>
      <c r="E559" s="6" t="inlineStr">
        <is>
          <t>NASDAQ</t>
        </is>
      </c>
      <c r="F559" s="1" t="n">
        <v>9.289999999999999</v>
      </c>
      <c r="G559" s="8">
        <f>F559*[557]Main!$C$4</f>
        <v/>
      </c>
      <c r="H559" s="10">
        <f>G559-[557]Main!$C$7+[557]Main!$C$8</f>
        <v/>
      </c>
      <c r="J559" s="1">
        <f>IF(ISNUMBER([557]Main!$C$11),[557]Main!$C$11,"")</f>
        <v/>
      </c>
      <c r="K559" s="57">
        <f>IFERROR(J559/F559-1,"")</f>
        <v/>
      </c>
      <c r="L559" s="12">
        <f>[557]Main!$C$15&amp;" ("&amp;[557]Main!$C$14&amp;")"</f>
        <v/>
      </c>
      <c r="M559" s="58" t="n">
        <v>46338</v>
      </c>
      <c r="N559" s="17" t="inlineStr">
        <is>
          <t>Earnings Nov 12 (est.)</t>
        </is>
      </c>
    </row>
    <row r="560">
      <c r="B560" s="3" t="inlineStr">
        <is>
          <t>JSPR</t>
        </is>
      </c>
      <c r="C560" t="inlineStr">
        <is>
          <t>Jasper Therapeutics, Inc.</t>
        </is>
      </c>
      <c r="D560" t="inlineStr">
        <is>
          <t>Biotechnology</t>
        </is>
      </c>
      <c r="E560" s="6" t="inlineStr">
        <is>
          <t>NASDAQ</t>
        </is>
      </c>
      <c r="F560" s="1" t="n">
        <v>0.4999</v>
      </c>
      <c r="G560" s="8">
        <f>F560*[558]Main!$C$4</f>
        <v/>
      </c>
      <c r="H560" s="10">
        <f>G560-[558]Main!$C$7+[558]Main!$C$8</f>
        <v/>
      </c>
      <c r="J560" s="1">
        <f>IF(ISNUMBER([558]Main!$C$11),[558]Main!$C$11,"")</f>
        <v/>
      </c>
      <c r="K560" s="57">
        <f>IFERROR(J560/F560-1,"")</f>
        <v/>
      </c>
      <c r="L560" s="12">
        <f>[558]Main!$C$15&amp;" ("&amp;[558]Main!$C$14&amp;")"</f>
        <v/>
      </c>
      <c r="M560" s="58" t="n">
        <v>46335</v>
      </c>
      <c r="N560" s="17" t="inlineStr">
        <is>
          <t>Earnings Nov 9 (est.)</t>
        </is>
      </c>
    </row>
    <row r="561">
      <c r="B561" s="3" t="inlineStr">
        <is>
          <t>KAPA</t>
        </is>
      </c>
      <c r="C561" t="inlineStr">
        <is>
          <t>Kairos Pharma Ltd</t>
        </is>
      </c>
      <c r="D561" t="inlineStr">
        <is>
          <t>Biotechnology</t>
        </is>
      </c>
      <c r="E561" s="6" t="inlineStr">
        <is>
          <t>NYSE</t>
        </is>
      </c>
      <c r="F561" s="1" t="n">
        <v>0.5837</v>
      </c>
      <c r="G561" s="8">
        <f>F561*[559]Main!$C$4</f>
        <v/>
      </c>
      <c r="H561" s="10">
        <f>G561-[559]Main!$C$7+[559]Main!$C$8</f>
        <v/>
      </c>
      <c r="J561" s="1">
        <f>IF(ISNUMBER([559]Main!$C$11),[559]Main!$C$11,"")</f>
        <v/>
      </c>
      <c r="K561" s="57">
        <f>IFERROR(J561/F561-1,"")</f>
        <v/>
      </c>
      <c r="L561" s="12">
        <f>[559]Main!$C$15&amp;" ("&amp;[559]Main!$C$14&amp;")"</f>
        <v/>
      </c>
      <c r="M561" s="58" t="n">
        <v>46339</v>
      </c>
      <c r="N561" s="17" t="inlineStr">
        <is>
          <t>Earnings Nov 13 (est.)</t>
        </is>
      </c>
    </row>
    <row r="562">
      <c r="B562" s="3" t="inlineStr">
        <is>
          <t>GNTA</t>
        </is>
      </c>
      <c r="C562" t="inlineStr">
        <is>
          <t>Genenta Science SpA</t>
        </is>
      </c>
      <c r="D562" t="inlineStr">
        <is>
          <t>Biotechnology</t>
        </is>
      </c>
      <c r="E562" s="6" t="inlineStr">
        <is>
          <t>NASDAQ</t>
        </is>
      </c>
      <c r="F562" s="1" t="n">
        <v>0.615</v>
      </c>
      <c r="G562" s="8">
        <f>F562*[560]Main!$C$4</f>
        <v/>
      </c>
      <c r="H562" s="10">
        <f>G562-[560]Main!$C$7+[560]Main!$C$8</f>
        <v/>
      </c>
      <c r="J562" s="1">
        <f>IF(ISNUMBER([560]Main!$C$11),[560]Main!$C$11,"")</f>
        <v/>
      </c>
      <c r="K562" s="57">
        <f>IFERROR(J562/F562-1,"")</f>
        <v/>
      </c>
      <c r="L562" s="12">
        <f>[560]Main!$C$15&amp;" ("&amp;[560]Main!$C$14&amp;")"</f>
        <v/>
      </c>
      <c r="M562" s="58" t="n"/>
      <c r="N562" s="17" t="n"/>
    </row>
    <row r="563">
      <c r="B563" s="3" t="inlineStr">
        <is>
          <t>TCRX</t>
        </is>
      </c>
      <c r="C563" t="inlineStr">
        <is>
          <t>TScan Therapeutics Inc</t>
        </is>
      </c>
      <c r="D563" t="inlineStr">
        <is>
          <t>Biotechnology</t>
        </is>
      </c>
      <c r="E563" s="6" t="inlineStr">
        <is>
          <t>NASDAQ</t>
        </is>
      </c>
      <c r="F563" s="1" t="n">
        <v>0.224</v>
      </c>
      <c r="G563" s="8">
        <f>F563*[561]Main!$C$4</f>
        <v/>
      </c>
      <c r="H563" s="10">
        <f>G563-[561]Main!$C$7+[561]Main!$C$8</f>
        <v/>
      </c>
      <c r="J563" s="1">
        <f>IF(ISNUMBER([561]Main!$C$11),[561]Main!$C$11,"")</f>
        <v/>
      </c>
      <c r="K563" s="57">
        <f>IFERROR(J563/F563-1,"")</f>
        <v/>
      </c>
      <c r="L563" s="12">
        <f>[561]Main!$C$15&amp;" ("&amp;[561]Main!$C$14&amp;")"</f>
        <v/>
      </c>
      <c r="M563" s="58" t="n">
        <v>46337</v>
      </c>
      <c r="N563" s="17" t="inlineStr">
        <is>
          <t>Earnings Nov 11 (est.) · Readout ~2026-12-30: Solid tumors (basket), Phase 1</t>
        </is>
      </c>
    </row>
    <row r="564">
      <c r="B564" s="3" t="inlineStr">
        <is>
          <t>DYAI</t>
        </is>
      </c>
      <c r="C564" t="inlineStr">
        <is>
          <t>Dyadic International Inc</t>
        </is>
      </c>
      <c r="D564" t="inlineStr">
        <is>
          <t>Biotechnology</t>
        </is>
      </c>
      <c r="E564" s="6" t="inlineStr">
        <is>
          <t>NASDAQ</t>
        </is>
      </c>
      <c r="F564" s="1" t="n">
        <v>0.3851</v>
      </c>
      <c r="G564" s="8">
        <f>F564*[562]Main!$C$4</f>
        <v/>
      </c>
      <c r="H564" s="10">
        <f>G564-[562]Main!$C$7+[562]Main!$C$8</f>
        <v/>
      </c>
      <c r="J564" s="1">
        <f>IF(ISNUMBER([562]Main!$C$11),[562]Main!$C$11,"")</f>
        <v/>
      </c>
      <c r="K564" s="57">
        <f>IFERROR(J564/F564-1,"")</f>
        <v/>
      </c>
      <c r="L564" s="12">
        <f>[562]Main!$C$15&amp;" ("&amp;[562]Main!$C$14&amp;")"</f>
        <v/>
      </c>
      <c r="M564" s="58" t="n">
        <v>46337</v>
      </c>
      <c r="N564" s="17" t="inlineStr">
        <is>
          <t>Earnings Nov 11 (est.)</t>
        </is>
      </c>
    </row>
    <row r="565">
      <c r="B565" s="3" t="inlineStr">
        <is>
          <t>PLRZ</t>
        </is>
      </c>
      <c r="C565" t="inlineStr">
        <is>
          <t>Polyrizon Ltd</t>
        </is>
      </c>
      <c r="D565" t="inlineStr">
        <is>
          <t>Biotechnology</t>
        </is>
      </c>
      <c r="E565" s="6" t="inlineStr">
        <is>
          <t>NASDAQ</t>
        </is>
      </c>
      <c r="F565" s="1" t="n">
        <v>9.15</v>
      </c>
      <c r="G565" s="8">
        <f>F565*[563]Main!$C$4</f>
        <v/>
      </c>
      <c r="H565" s="10">
        <f>G565-[563]Main!$C$7+[563]Main!$C$8</f>
        <v/>
      </c>
      <c r="J565" s="1">
        <f>IF(ISNUMBER([563]Main!$C$11),[563]Main!$C$11,"")</f>
        <v/>
      </c>
      <c r="K565" s="57">
        <f>IFERROR(J565/F565-1,"")</f>
        <v/>
      </c>
      <c r="L565" s="12">
        <f>[563]Main!$C$15&amp;" ("&amp;[563]Main!$C$14&amp;")"</f>
        <v/>
      </c>
      <c r="M565" s="58" t="n"/>
      <c r="N565" s="17" t="n"/>
    </row>
    <row r="566">
      <c r="B566" s="3" t="inlineStr">
        <is>
          <t>ACTU</t>
        </is>
      </c>
      <c r="C566" t="inlineStr">
        <is>
          <t>Actuate Therapeutics Inc</t>
        </is>
      </c>
      <c r="D566" t="inlineStr">
        <is>
          <t>Biotechnology</t>
        </is>
      </c>
      <c r="E566" s="6" t="inlineStr">
        <is>
          <t>NASDAQ</t>
        </is>
      </c>
      <c r="F566" s="1" t="n">
        <v>0.6161</v>
      </c>
      <c r="G566" s="8">
        <f>F566*[564]Main!$C$4</f>
        <v/>
      </c>
      <c r="H566" s="10">
        <f>G566-[564]Main!$C$7+[564]Main!$C$8</f>
        <v/>
      </c>
      <c r="J566" s="1">
        <f>IF(ISNUMBER([564]Main!$C$11),[564]Main!$C$11,"")</f>
        <v/>
      </c>
      <c r="K566" s="57">
        <f>IFERROR(J566/F566-1,"")</f>
        <v/>
      </c>
      <c r="L566" s="12">
        <f>[564]Main!$C$15&amp;" ("&amp;[564]Main!$C$14&amp;")"</f>
        <v/>
      </c>
      <c r="M566" s="58" t="n">
        <v>46338</v>
      </c>
      <c r="N566" s="17" t="inlineStr">
        <is>
          <t>Earnings Nov 12 (est.) · Readout ~2029-07: Solid tumors (basket), Phase 2</t>
        </is>
      </c>
    </row>
    <row r="567">
      <c r="B567" s="3" t="inlineStr">
        <is>
          <t>ALLR</t>
        </is>
      </c>
      <c r="C567" t="inlineStr">
        <is>
          <t>Allarity Therapeutics Inc</t>
        </is>
      </c>
      <c r="D567" t="inlineStr">
        <is>
          <t>Biotechnology</t>
        </is>
      </c>
      <c r="E567" s="6" t="inlineStr">
        <is>
          <t>NASDAQ</t>
        </is>
      </c>
      <c r="F567" s="1" t="n">
        <v>0.8758</v>
      </c>
      <c r="G567" s="8">
        <f>F567*[565]Main!$C$4</f>
        <v/>
      </c>
      <c r="H567" s="10">
        <f>G567-[565]Main!$C$7+[565]Main!$C$8</f>
        <v/>
      </c>
      <c r="J567" s="1">
        <f>IF(ISNUMBER([565]Main!$C$11),[565]Main!$C$11,"")</f>
        <v/>
      </c>
      <c r="K567" s="57">
        <f>IFERROR(J567/F567-1,"")</f>
        <v/>
      </c>
      <c r="L567" s="12">
        <f>[565]Main!$C$15&amp;" ("&amp;[565]Main!$C$14&amp;")"</f>
        <v/>
      </c>
      <c r="M567" s="58" t="n">
        <v>46339</v>
      </c>
      <c r="N567" s="17" t="inlineStr">
        <is>
          <t>Earnings Nov 13 (est.) · Readout ~2027-03: Ovarian cancer, Phase 2</t>
        </is>
      </c>
    </row>
    <row r="568">
      <c r="B568" s="3" t="inlineStr">
        <is>
          <t>KTTA</t>
        </is>
      </c>
      <c r="C568" t="inlineStr">
        <is>
          <t>Pasithea Therapeutics Corp</t>
        </is>
      </c>
      <c r="D568" t="inlineStr">
        <is>
          <t>Biotechnology</t>
        </is>
      </c>
      <c r="E568" s="6" t="inlineStr">
        <is>
          <t>NASDAQ</t>
        </is>
      </c>
      <c r="F568" s="1" t="n">
        <v>0.41</v>
      </c>
      <c r="G568" s="8">
        <f>F568*[566]Main!$C$4</f>
        <v/>
      </c>
      <c r="H568" s="10">
        <f>G568-[566]Main!$C$7+[566]Main!$C$8</f>
        <v/>
      </c>
      <c r="J568" s="1">
        <f>IF(ISNUMBER([566]Main!$C$11),[566]Main!$C$11,"")</f>
        <v/>
      </c>
      <c r="K568" s="57">
        <f>IFERROR(J568/F568-1,"")</f>
        <v/>
      </c>
      <c r="L568" s="12">
        <f>[566]Main!$C$15&amp;" ("&amp;[566]Main!$C$14&amp;")"</f>
        <v/>
      </c>
      <c r="M568" s="58" t="n">
        <v>46338</v>
      </c>
      <c r="N568" s="17" t="inlineStr">
        <is>
          <t>Earnings Nov 12 (est.)</t>
        </is>
      </c>
    </row>
    <row r="569">
      <c r="B569" s="3" t="inlineStr">
        <is>
          <t>BCDA</t>
        </is>
      </c>
      <c r="C569" t="inlineStr">
        <is>
          <t>BioCardia Inc</t>
        </is>
      </c>
      <c r="D569" t="inlineStr">
        <is>
          <t>Biotechnology</t>
        </is>
      </c>
      <c r="E569" s="6" t="inlineStr">
        <is>
          <t>NASDAQ</t>
        </is>
      </c>
      <c r="F569" s="1" t="n">
        <v>1.04</v>
      </c>
      <c r="G569" s="8">
        <f>F569*[567]Main!$C$4</f>
        <v/>
      </c>
      <c r="H569" s="10">
        <f>G569-[567]Main!$C$7+[567]Main!$C$8</f>
        <v/>
      </c>
      <c r="J569" s="1">
        <f>IF(ISNUMBER([567]Main!$C$11),[567]Main!$C$11,"")</f>
        <v/>
      </c>
      <c r="K569" s="57">
        <f>IFERROR(J569/F569-1,"")</f>
        <v/>
      </c>
      <c r="L569" s="12">
        <f>[567]Main!$C$15&amp;" ("&amp;[567]Main!$C$14&amp;")"</f>
        <v/>
      </c>
      <c r="M569" s="58" t="n">
        <v>46337</v>
      </c>
      <c r="N569" s="17" t="inlineStr">
        <is>
          <t>Earnings Nov 11 (est.) · Readout ~2026-12: Heart failure, Phase 3</t>
        </is>
      </c>
    </row>
    <row r="570">
      <c r="B570" s="3" t="inlineStr">
        <is>
          <t>LPCN</t>
        </is>
      </c>
      <c r="C570" t="inlineStr">
        <is>
          <t>Lipocine Inc</t>
        </is>
      </c>
      <c r="D570" t="inlineStr">
        <is>
          <t>Pharmaceuticals</t>
        </is>
      </c>
      <c r="E570" s="6" t="inlineStr">
        <is>
          <t>NASDAQ</t>
        </is>
      </c>
      <c r="F570" s="1" t="n">
        <v>1.62</v>
      </c>
      <c r="G570" s="8">
        <f>F570*[568]Main!$C$4</f>
        <v/>
      </c>
      <c r="H570" s="10">
        <f>G570-[568]Main!$C$7+[568]Main!$C$8</f>
        <v/>
      </c>
      <c r="J570" s="1">
        <f>IF(ISNUMBER([568]Main!$C$11),[568]Main!$C$11,"")</f>
        <v/>
      </c>
      <c r="K570" s="57">
        <f>IFERROR(J570/F570-1,"")</f>
        <v/>
      </c>
      <c r="L570" s="12">
        <f>[568]Main!$C$15&amp;" ("&amp;[568]Main!$C$14&amp;")"</f>
        <v/>
      </c>
      <c r="M570" s="58" t="n">
        <v>46331</v>
      </c>
      <c r="N570" s="17" t="inlineStr">
        <is>
          <t>Earnings Nov 5 (est.) · Readout ~2027-08: Depression / mood, Phase 3</t>
        </is>
      </c>
    </row>
    <row r="571">
      <c r="B571" s="3" t="inlineStr">
        <is>
          <t>NCEL</t>
        </is>
      </c>
      <c r="C571" t="inlineStr">
        <is>
          <t>NewcelX AG</t>
        </is>
      </c>
      <c r="D571" t="inlineStr">
        <is>
          <t>Biotechnology</t>
        </is>
      </c>
      <c r="E571" s="6" t="inlineStr">
        <is>
          <t>NASDAQ</t>
        </is>
      </c>
      <c r="F571" s="1" t="n">
        <v>2.61</v>
      </c>
      <c r="G571" s="8">
        <f>F571*[569]Main!$C$4</f>
        <v/>
      </c>
      <c r="H571" s="10">
        <f>G571-[569]Main!$C$7+[569]Main!$C$8</f>
        <v/>
      </c>
      <c r="J571" s="1">
        <f>IF(ISNUMBER([569]Main!$C$11),[569]Main!$C$11,"")</f>
        <v/>
      </c>
      <c r="K571" s="57">
        <f>IFERROR(J571/F571-1,"")</f>
        <v/>
      </c>
      <c r="L571" s="12">
        <f>[569]Main!$C$15&amp;" ("&amp;[569]Main!$C$14&amp;")"</f>
        <v/>
      </c>
      <c r="M571" s="58" t="n"/>
      <c r="N571" s="17" t="n"/>
    </row>
    <row r="572">
      <c r="B572" s="3" t="inlineStr">
        <is>
          <t>TVRD</t>
        </is>
      </c>
      <c r="C572" t="inlineStr">
        <is>
          <t>Tvardi Therapeutics, Inc.</t>
        </is>
      </c>
      <c r="D572" t="inlineStr">
        <is>
          <t>Pharmaceuticals</t>
        </is>
      </c>
      <c r="E572" s="6" t="inlineStr">
        <is>
          <t>NASDAQ</t>
        </is>
      </c>
      <c r="F572" s="1" t="n">
        <v>0.992</v>
      </c>
      <c r="G572" s="8">
        <f>F572*[570]Main!$C$4</f>
        <v/>
      </c>
      <c r="H572" s="10">
        <f>G572-[570]Main!$C$7+[570]Main!$C$8</f>
        <v/>
      </c>
      <c r="J572" s="1">
        <f>IF(ISNUMBER([570]Main!$C$11),[570]Main!$C$11,"")</f>
        <v/>
      </c>
      <c r="K572" s="57">
        <f>IFERROR(J572/F572-1,"")</f>
        <v/>
      </c>
      <c r="L572" s="12">
        <f>[570]Main!$C$15&amp;" ("&amp;[570]Main!$C$14&amp;")"</f>
        <v/>
      </c>
      <c r="M572" s="58" t="n">
        <v>46338</v>
      </c>
      <c r="N572" s="17" t="inlineStr">
        <is>
          <t>Earnings Nov 12 (est.) · Readout ~2027-02-01: Liver cancer, Phase 1/2</t>
        </is>
      </c>
    </row>
    <row r="573">
      <c r="B573" s="3" t="inlineStr">
        <is>
          <t>RKTO</t>
        </is>
      </c>
      <c r="C573" t="inlineStr">
        <is>
          <t>Rocket One Inc</t>
        </is>
      </c>
      <c r="D573" t="inlineStr">
        <is>
          <t>Pharmaceuticals</t>
        </is>
      </c>
      <c r="E573" s="6" t="inlineStr">
        <is>
          <t>NASDAQ</t>
        </is>
      </c>
      <c r="F573" s="1" t="n">
        <v>0.5311</v>
      </c>
      <c r="G573" s="8">
        <f>F573*[571]Main!$C$4</f>
        <v/>
      </c>
      <c r="H573" s="10">
        <f>G573-[571]Main!$C$7+[571]Main!$C$8</f>
        <v/>
      </c>
      <c r="J573" s="1">
        <f>IF(ISNUMBER([571]Main!$C$11),[571]Main!$C$11,"")</f>
        <v/>
      </c>
      <c r="K573" s="57">
        <f>IFERROR(J573/F573-1,"")</f>
        <v/>
      </c>
      <c r="L573" s="12">
        <f>[571]Main!$C$15&amp;" ("&amp;[571]Main!$C$14&amp;")"</f>
        <v/>
      </c>
      <c r="M573" s="58" t="n">
        <v>46337</v>
      </c>
      <c r="N573" s="17" t="inlineStr">
        <is>
          <t>Earnings Nov 11 (est.)</t>
        </is>
      </c>
    </row>
    <row r="574">
      <c r="B574" s="3" t="inlineStr">
        <is>
          <t>HIND</t>
        </is>
      </c>
      <c r="C574" t="inlineStr">
        <is>
          <t>Vyome Holdings Inc</t>
        </is>
      </c>
      <c r="D574" t="inlineStr">
        <is>
          <t>Pharmaceuticals</t>
        </is>
      </c>
      <c r="E574" s="6" t="inlineStr">
        <is>
          <t>NASDAQ</t>
        </is>
      </c>
      <c r="F574" s="1" t="n">
        <v>1.84</v>
      </c>
      <c r="G574" s="8">
        <f>F574*[572]Main!$C$4</f>
        <v/>
      </c>
      <c r="H574" s="10">
        <f>G574-[572]Main!$C$7+[572]Main!$C$8</f>
        <v/>
      </c>
      <c r="J574" s="1">
        <f>IF(ISNUMBER([572]Main!$C$11),[572]Main!$C$11,"")</f>
        <v/>
      </c>
      <c r="K574" s="57">
        <f>IFERROR(J574/F574-1,"")</f>
        <v/>
      </c>
      <c r="L574" s="12">
        <f>[572]Main!$C$15&amp;" ("&amp;[572]Main!$C$14&amp;")"</f>
        <v/>
      </c>
      <c r="M574" s="58" t="n">
        <v>46339</v>
      </c>
      <c r="N574" s="17" t="inlineStr">
        <is>
          <t>Earnings Nov 13 (est.)</t>
        </is>
      </c>
    </row>
    <row r="575">
      <c r="B575" s="3" t="inlineStr">
        <is>
          <t>CNSY</t>
        </is>
      </c>
      <c r="C575" t="inlineStr">
        <is>
          <t>Cerenome, Inc</t>
        </is>
      </c>
      <c r="D575" t="inlineStr">
        <is>
          <t>Biotechnology</t>
        </is>
      </c>
      <c r="E575" s="6" t="inlineStr">
        <is>
          <t>NASDAQ</t>
        </is>
      </c>
      <c r="F575" s="1" t="n">
        <v>1.68</v>
      </c>
      <c r="G575" s="8">
        <f>F575*[573]Main!$C$4</f>
        <v/>
      </c>
      <c r="H575" s="10">
        <f>G575-[573]Main!$C$7+[573]Main!$C$8</f>
        <v/>
      </c>
      <c r="J575" s="1">
        <f>IF(ISNUMBER([573]Main!$C$11),[573]Main!$C$11,"")</f>
        <v/>
      </c>
      <c r="K575" s="57">
        <f>IFERROR(J575/F575-1,"")</f>
        <v/>
      </c>
      <c r="L575" s="12">
        <f>[573]Main!$C$15&amp;" ("&amp;[573]Main!$C$14&amp;")"</f>
        <v/>
      </c>
      <c r="M575" s="58" t="n">
        <v>46324</v>
      </c>
      <c r="N575" s="17" t="inlineStr">
        <is>
          <t>Earnings Oct 29 (est.) · Readout ~2027-04: Brain cancer, Phase 1/2</t>
        </is>
      </c>
    </row>
    <row r="576">
      <c r="B576" s="3" t="inlineStr">
        <is>
          <t>CTXR</t>
        </is>
      </c>
      <c r="C576" t="inlineStr">
        <is>
          <t>Citius Pharmaceuticals Inc</t>
        </is>
      </c>
      <c r="D576" t="inlineStr">
        <is>
          <t>Pharmaceuticals</t>
        </is>
      </c>
      <c r="E576" s="6" t="inlineStr">
        <is>
          <t>NASDAQ</t>
        </is>
      </c>
      <c r="F576" s="1" t="n">
        <v>0.4175</v>
      </c>
      <c r="G576" s="8">
        <f>F576*[574]Main!$C$4</f>
        <v/>
      </c>
      <c r="H576" s="10">
        <f>G576-[574]Main!$C$7+[574]Main!$C$8</f>
        <v/>
      </c>
      <c r="J576" s="1">
        <f>IF(ISNUMBER([574]Main!$C$11),[574]Main!$C$11,"")</f>
        <v/>
      </c>
      <c r="K576" s="57">
        <f>IFERROR(J576/F576-1,"")</f>
        <v/>
      </c>
      <c r="L576" s="12">
        <f>[574]Main!$C$15&amp;" ("&amp;[574]Main!$C$14&amp;")"</f>
        <v/>
      </c>
      <c r="M576" s="58" t="n"/>
      <c r="N576" s="17" t="n"/>
    </row>
    <row r="577">
      <c r="B577" s="3" t="inlineStr">
        <is>
          <t>ARTL</t>
        </is>
      </c>
      <c r="C577" t="inlineStr">
        <is>
          <t>Artelo Biosciences, Inc</t>
        </is>
      </c>
      <c r="D577" t="inlineStr">
        <is>
          <t>Pharmaceuticals</t>
        </is>
      </c>
      <c r="E577" s="6" t="inlineStr">
        <is>
          <t>NASDAQ</t>
        </is>
      </c>
      <c r="F577" s="1" t="n">
        <v>2.62</v>
      </c>
      <c r="G577" s="8">
        <f>F577*[575]Main!$C$4</f>
        <v/>
      </c>
      <c r="H577" s="10">
        <f>G577-[575]Main!$C$7+[575]Main!$C$8</f>
        <v/>
      </c>
      <c r="J577" s="1">
        <f>IF(ISNUMBER([575]Main!$C$11),[575]Main!$C$11,"")</f>
        <v/>
      </c>
      <c r="K577" s="57">
        <f>IFERROR(J577/F577-1,"")</f>
        <v/>
      </c>
      <c r="L577" s="12">
        <f>[575]Main!$C$15&amp;" ("&amp;[575]Main!$C$14&amp;")"</f>
        <v/>
      </c>
      <c r="M577" s="58" t="n">
        <v>46337</v>
      </c>
      <c r="N577" s="17" t="inlineStr">
        <is>
          <t>Earnings Nov 11 (est.)</t>
        </is>
      </c>
    </row>
    <row r="578">
      <c r="B578" s="3" t="inlineStr">
        <is>
          <t>BFRI</t>
        </is>
      </c>
      <c r="C578" t="inlineStr">
        <is>
          <t>Biofrontera Inc</t>
        </is>
      </c>
      <c r="D578" t="inlineStr">
        <is>
          <t>Pharmaceuticals</t>
        </is>
      </c>
      <c r="E578" s="6" t="inlineStr">
        <is>
          <t>NASDAQ</t>
        </is>
      </c>
      <c r="F578" s="1" t="n">
        <v>0.804</v>
      </c>
      <c r="G578" s="8">
        <f>F578*[576]Main!$C$4</f>
        <v/>
      </c>
      <c r="H578" s="10">
        <f>G578-[576]Main!$C$7+[576]Main!$C$8</f>
        <v/>
      </c>
      <c r="J578" s="1">
        <f>IF(ISNUMBER([576]Main!$C$11),[576]Main!$C$11,"")</f>
        <v/>
      </c>
      <c r="K578" s="57">
        <f>IFERROR(J578/F578-1,"")</f>
        <v/>
      </c>
      <c r="L578" s="12">
        <f>[576]Main!$C$15&amp;" ("&amp;[576]Main!$C$14&amp;")"</f>
        <v/>
      </c>
      <c r="M578" s="58" t="n">
        <v>46337</v>
      </c>
      <c r="N578" s="17" t="inlineStr">
        <is>
          <t>Earnings Nov 11 (est.)</t>
        </is>
      </c>
    </row>
    <row r="579">
      <c r="B579" s="3" t="inlineStr">
        <is>
          <t>AEON</t>
        </is>
      </c>
      <c r="C579" t="inlineStr">
        <is>
          <t>Aeon Biopharma Inc</t>
        </is>
      </c>
      <c r="D579" t="inlineStr">
        <is>
          <t>Biotechnology</t>
        </is>
      </c>
      <c r="E579" s="6" t="inlineStr">
        <is>
          <t>NYSE</t>
        </is>
      </c>
      <c r="F579" s="1" t="n">
        <v>0.2315</v>
      </c>
      <c r="G579" s="8">
        <f>F579*[577]Main!$C$4</f>
        <v/>
      </c>
      <c r="H579" s="10">
        <f>G579-[577]Main!$C$7+[577]Main!$C$8</f>
        <v/>
      </c>
      <c r="J579" s="1">
        <f>IF(ISNUMBER([577]Main!$C$11),[577]Main!$C$11,"")</f>
        <v/>
      </c>
      <c r="K579" s="57">
        <f>IFERROR(J579/F579-1,"")</f>
        <v/>
      </c>
      <c r="L579" s="12">
        <f>[577]Main!$C$15&amp;" ("&amp;[577]Main!$C$14&amp;")"</f>
        <v/>
      </c>
      <c r="M579" s="58" t="n">
        <v>46339</v>
      </c>
      <c r="N579" s="17" t="inlineStr">
        <is>
          <t>Earnings Nov 13 (est.)</t>
        </is>
      </c>
    </row>
    <row r="580">
      <c r="B580" s="3" t="inlineStr">
        <is>
          <t>ASBP</t>
        </is>
      </c>
      <c r="C580" t="inlineStr">
        <is>
          <t>Aspire-lakewood Holdings, Inc.</t>
        </is>
      </c>
      <c r="D580" t="inlineStr">
        <is>
          <t>Pharmaceuticals</t>
        </is>
      </c>
      <c r="E580" s="6" t="inlineStr">
        <is>
          <t>NASDAQ</t>
        </is>
      </c>
      <c r="F580" s="1" t="n">
        <v>8.720000000000001</v>
      </c>
      <c r="G580" s="8">
        <f>F580*[578]Main!$C$4</f>
        <v/>
      </c>
      <c r="H580" s="10">
        <f>G580-[578]Main!$C$7+[578]Main!$C$8</f>
        <v/>
      </c>
      <c r="J580" s="1">
        <f>IF(ISNUMBER([578]Main!$C$11),[578]Main!$C$11,"")</f>
        <v/>
      </c>
      <c r="K580" s="57">
        <f>IFERROR(J580/F580-1,"")</f>
        <v/>
      </c>
      <c r="L580" s="12">
        <f>[578]Main!$C$15&amp;" ("&amp;[578]Main!$C$14&amp;")"</f>
        <v/>
      </c>
      <c r="M580" s="58" t="n">
        <v>46339</v>
      </c>
      <c r="N580" s="17" t="inlineStr">
        <is>
          <t>Earnings Nov 13 (est.)</t>
        </is>
      </c>
    </row>
    <row r="581">
      <c r="B581" s="3" t="inlineStr">
        <is>
          <t>KZIA</t>
        </is>
      </c>
      <c r="C581" t="inlineStr">
        <is>
          <t>Kazia Therapeutics Ltd</t>
        </is>
      </c>
      <c r="D581" t="inlineStr">
        <is>
          <t>Biotechnology</t>
        </is>
      </c>
      <c r="E581" s="6" t="inlineStr">
        <is>
          <t>NASDAQ</t>
        </is>
      </c>
      <c r="F581" s="1" t="n">
        <v>7.88</v>
      </c>
      <c r="G581" s="8">
        <f>F581*[579]Main!$C$4</f>
        <v/>
      </c>
      <c r="H581" s="10">
        <f>G581-[579]Main!$C$7+[579]Main!$C$8</f>
        <v/>
      </c>
      <c r="J581" s="1">
        <f>IF(ISNUMBER([579]Main!$C$11),[579]Main!$C$11,"")</f>
        <v/>
      </c>
      <c r="K581" s="57">
        <f>IFERROR(J581/F581-1,"")</f>
        <v/>
      </c>
      <c r="L581" s="12">
        <f>[579]Main!$C$15&amp;" ("&amp;[579]Main!$C$14&amp;")"</f>
        <v/>
      </c>
      <c r="M581" s="58" t="n"/>
      <c r="N581" s="17" t="n"/>
    </row>
    <row r="582">
      <c r="B582" s="3" t="inlineStr">
        <is>
          <t>ENSC</t>
        </is>
      </c>
      <c r="C582" t="inlineStr">
        <is>
          <t>Ensysce Biosciences Inc</t>
        </is>
      </c>
      <c r="D582" t="inlineStr">
        <is>
          <t>Biotechnology</t>
        </is>
      </c>
      <c r="E582" s="6" t="inlineStr">
        <is>
          <t>NASDAQ</t>
        </is>
      </c>
      <c r="F582" s="1" t="n">
        <v>0.4986</v>
      </c>
      <c r="G582" s="8">
        <f>F582*[580]Main!$C$4</f>
        <v/>
      </c>
      <c r="H582" s="10">
        <f>G582-[580]Main!$C$7+[580]Main!$C$8</f>
        <v/>
      </c>
      <c r="J582" s="1">
        <f>IF(ISNUMBER([580]Main!$C$11),[580]Main!$C$11,"")</f>
        <v/>
      </c>
      <c r="K582" s="57">
        <f>IFERROR(J582/F582-1,"")</f>
        <v/>
      </c>
      <c r="L582" s="12">
        <f>[580]Main!$C$15&amp;" ("&amp;[580]Main!$C$14&amp;")"</f>
        <v/>
      </c>
      <c r="M582" s="58" t="n">
        <v>46339</v>
      </c>
      <c r="N582" s="17" t="inlineStr">
        <is>
          <t>Earnings Nov 13 (est.)</t>
        </is>
      </c>
    </row>
    <row r="583">
      <c r="B583" s="3" t="inlineStr">
        <is>
          <t>PTN</t>
        </is>
      </c>
      <c r="C583" t="inlineStr">
        <is>
          <t>Palatin Technologies Inc</t>
        </is>
      </c>
      <c r="D583" t="inlineStr">
        <is>
          <t>Biotechnology</t>
        </is>
      </c>
      <c r="E583" s="6" t="inlineStr">
        <is>
          <t>NASDAQ</t>
        </is>
      </c>
      <c r="F583" s="1" t="n">
        <v>5.52</v>
      </c>
      <c r="G583" s="8">
        <f>F583*[581]Main!$C$4</f>
        <v/>
      </c>
      <c r="H583" s="10">
        <f>G583-[581]Main!$C$7+[581]Main!$C$8</f>
        <v/>
      </c>
      <c r="J583" s="1">
        <f>IF(ISNUMBER([581]Main!$C$11),[581]Main!$C$11,"")</f>
        <v/>
      </c>
      <c r="K583" s="57">
        <f>IFERROR(J583/F583-1,"")</f>
        <v/>
      </c>
      <c r="L583" s="12">
        <f>[581]Main!$C$15&amp;" ("&amp;[581]Main!$C$14&amp;")"</f>
        <v/>
      </c>
      <c r="M583" s="58" t="n">
        <v>46339</v>
      </c>
      <c r="N583" s="17" t="inlineStr">
        <is>
          <t>Earnings Nov 13 (est.)</t>
        </is>
      </c>
    </row>
    <row r="584">
      <c r="B584" s="3" t="inlineStr">
        <is>
          <t>PASG</t>
        </is>
      </c>
      <c r="C584" t="inlineStr">
        <is>
          <t>Passage Bio Inc</t>
        </is>
      </c>
      <c r="D584" t="inlineStr">
        <is>
          <t>Biotechnology</t>
        </is>
      </c>
      <c r="E584" s="6" t="inlineStr">
        <is>
          <t>NASDAQ</t>
        </is>
      </c>
      <c r="F584" s="1" t="n">
        <v>3.6</v>
      </c>
      <c r="G584" s="8">
        <f>F584*[582]Main!$C$4</f>
        <v/>
      </c>
      <c r="H584" s="10">
        <f>G584-[582]Main!$C$7+[582]Main!$C$8</f>
        <v/>
      </c>
      <c r="J584" s="1">
        <f>IF(ISNUMBER([582]Main!$C$11),[582]Main!$C$11,"")</f>
        <v/>
      </c>
      <c r="K584" s="57">
        <f>IFERROR(J584/F584-1,"")</f>
        <v/>
      </c>
      <c r="L584" s="12">
        <f>[582]Main!$C$15&amp;" ("&amp;[582]Main!$C$14&amp;")"</f>
        <v/>
      </c>
      <c r="M584" s="58" t="n">
        <v>46335</v>
      </c>
      <c r="N584" s="17" t="inlineStr">
        <is>
          <t>Earnings Nov 9 (est.) · Readout ~2028-08: Alzheimer's disease, Phase 1/2</t>
        </is>
      </c>
    </row>
    <row r="585">
      <c r="B585" s="3" t="inlineStr">
        <is>
          <t>DARE</t>
        </is>
      </c>
      <c r="C585" t="inlineStr">
        <is>
          <t>Dare Bioscience Inc</t>
        </is>
      </c>
      <c r="D585" t="inlineStr">
        <is>
          <t>Pharmaceuticals</t>
        </is>
      </c>
      <c r="E585" s="6" t="inlineStr">
        <is>
          <t>NASDAQ</t>
        </is>
      </c>
      <c r="F585" s="1" t="n">
        <v>0.6889999999999999</v>
      </c>
      <c r="G585" s="8">
        <f>F585*[583]Main!$C$4</f>
        <v/>
      </c>
      <c r="H585" s="10">
        <f>G585-[583]Main!$C$7+[583]Main!$C$8</f>
        <v/>
      </c>
      <c r="J585" s="1">
        <f>IF(ISNUMBER([583]Main!$C$11),[583]Main!$C$11,"")</f>
        <v/>
      </c>
      <c r="K585" s="57">
        <f>IFERROR(J585/F585-1,"")</f>
        <v/>
      </c>
      <c r="L585" s="12">
        <f>[583]Main!$C$15&amp;" ("&amp;[583]Main!$C$14&amp;")"</f>
        <v/>
      </c>
      <c r="M585" s="58" t="n">
        <v>46338</v>
      </c>
      <c r="N585" s="17" t="inlineStr">
        <is>
          <t>Earnings Nov 12 (est.) · Readout ~2027-10: Viral infections (other), Phase 2</t>
        </is>
      </c>
    </row>
    <row r="586">
      <c r="B586" s="3" t="inlineStr">
        <is>
          <t>PLUR</t>
        </is>
      </c>
      <c r="C586" t="inlineStr">
        <is>
          <t>Pluri Inc</t>
        </is>
      </c>
      <c r="D586" t="inlineStr">
        <is>
          <t>Biotechnology</t>
        </is>
      </c>
      <c r="E586" s="6" t="inlineStr">
        <is>
          <t>NASDAQ</t>
        </is>
      </c>
      <c r="F586" s="1" t="n">
        <v>0.9</v>
      </c>
      <c r="G586" s="8">
        <f>F586*[584]Main!$C$4</f>
        <v/>
      </c>
      <c r="H586" s="10">
        <f>G586-[584]Main!$C$7+[584]Main!$C$8</f>
        <v/>
      </c>
      <c r="J586" s="1">
        <f>IF(ISNUMBER([584]Main!$C$11),[584]Main!$C$11,"")</f>
        <v/>
      </c>
      <c r="K586" s="57">
        <f>IFERROR(J586/F586-1,"")</f>
        <v/>
      </c>
      <c r="L586" s="12">
        <f>[584]Main!$C$15&amp;" ("&amp;[584]Main!$C$14&amp;")"</f>
        <v/>
      </c>
      <c r="M586" s="58" t="n">
        <v>46337</v>
      </c>
      <c r="N586" s="17" t="inlineStr">
        <is>
          <t>Earnings Nov 11 (est.)</t>
        </is>
      </c>
    </row>
    <row r="587">
      <c r="B587" s="3" t="inlineStr">
        <is>
          <t>INAB</t>
        </is>
      </c>
      <c r="C587" t="inlineStr">
        <is>
          <t>IN8bio, Inc.</t>
        </is>
      </c>
      <c r="D587" t="inlineStr">
        <is>
          <t>Biotechnology</t>
        </is>
      </c>
      <c r="E587" s="6" t="inlineStr">
        <is>
          <t>NASDAQ</t>
        </is>
      </c>
      <c r="F587" s="1" t="n">
        <v>1.14</v>
      </c>
      <c r="G587" s="8">
        <f>F587*[585]Main!$C$4</f>
        <v/>
      </c>
      <c r="H587" s="10">
        <f>G587-[585]Main!$C$7+[585]Main!$C$8</f>
        <v/>
      </c>
      <c r="J587" s="1">
        <f>IF(ISNUMBER([585]Main!$C$11),[585]Main!$C$11,"")</f>
        <v/>
      </c>
      <c r="K587" s="57">
        <f>IFERROR(J587/F587-1,"")</f>
        <v/>
      </c>
      <c r="L587" s="12">
        <f>[585]Main!$C$15&amp;" ("&amp;[585]Main!$C$14&amp;")"</f>
        <v/>
      </c>
      <c r="M587" s="58" t="n">
        <v>46331</v>
      </c>
      <c r="N587" s="17" t="inlineStr">
        <is>
          <t>Earnings Nov 5 (est.)</t>
        </is>
      </c>
    </row>
    <row r="588">
      <c r="B588" s="3" t="inlineStr">
        <is>
          <t>INTS</t>
        </is>
      </c>
      <c r="C588" t="inlineStr">
        <is>
          <t>Intensity Therapeutics Inc</t>
        </is>
      </c>
      <c r="D588" t="inlineStr">
        <is>
          <t>Biotechnology</t>
        </is>
      </c>
      <c r="E588" s="6" t="inlineStr">
        <is>
          <t>NASDAQ</t>
        </is>
      </c>
      <c r="F588" s="1" t="n">
        <v>3.28</v>
      </c>
      <c r="G588" s="8">
        <f>F588*[586]Main!$C$4</f>
        <v/>
      </c>
      <c r="H588" s="10">
        <f>G588-[586]Main!$C$7+[586]Main!$C$8</f>
        <v/>
      </c>
      <c r="J588" s="1">
        <f>IF(ISNUMBER([586]Main!$C$11),[586]Main!$C$11,"")</f>
        <v/>
      </c>
      <c r="K588" s="57">
        <f>IFERROR(J588/F588-1,"")</f>
        <v/>
      </c>
      <c r="L588" s="12">
        <f>[586]Main!$C$15&amp;" ("&amp;[586]Main!$C$14&amp;")"</f>
        <v/>
      </c>
      <c r="M588" s="58" t="n">
        <v>46331</v>
      </c>
      <c r="N588" s="17" t="inlineStr">
        <is>
          <t>Earnings Nov 5 (est.) · Readout ~2027-12: Sarcoma / GIST, Phase 3</t>
        </is>
      </c>
    </row>
    <row r="589">
      <c r="B589" s="3" t="inlineStr">
        <is>
          <t>CLRB</t>
        </is>
      </c>
      <c r="C589" t="inlineStr">
        <is>
          <t>Cellectar Biosciences Inc</t>
        </is>
      </c>
      <c r="D589" t="inlineStr">
        <is>
          <t>Biotechnology</t>
        </is>
      </c>
      <c r="E589" s="6" t="inlineStr">
        <is>
          <t>NASDAQ</t>
        </is>
      </c>
      <c r="F589" s="1" t="n">
        <v>1.23</v>
      </c>
      <c r="G589" s="8">
        <f>F589*[587]Main!$C$4</f>
        <v/>
      </c>
      <c r="H589" s="10">
        <f>G589-[587]Main!$C$7+[587]Main!$C$8</f>
        <v/>
      </c>
      <c r="J589" s="1">
        <f>IF(ISNUMBER([587]Main!$C$11),[587]Main!$C$11,"")</f>
        <v/>
      </c>
      <c r="K589" s="57">
        <f>IFERROR(J589/F589-1,"")</f>
        <v/>
      </c>
      <c r="L589" s="12">
        <f>[587]Main!$C$15&amp;" ("&amp;[587]Main!$C$14&amp;")"</f>
        <v/>
      </c>
      <c r="M589" s="58" t="n">
        <v>46338</v>
      </c>
      <c r="N589" s="17" t="inlineStr">
        <is>
          <t>Earnings Nov 12 (est.) · Readout ~2027-06-30: Brain cancer, Phase 1</t>
        </is>
      </c>
    </row>
    <row r="590">
      <c r="B590" s="3" t="inlineStr">
        <is>
          <t>KPRX</t>
        </is>
      </c>
      <c r="C590" t="inlineStr">
        <is>
          <t>Kiora Pharmaceuticals, Inc.</t>
        </is>
      </c>
      <c r="D590" t="inlineStr">
        <is>
          <t>Pharmaceuticals</t>
        </is>
      </c>
      <c r="E590" s="6" t="inlineStr">
        <is>
          <t>NASDAQ</t>
        </is>
      </c>
      <c r="F590" s="1" t="n">
        <v>2.33</v>
      </c>
      <c r="G590" s="8">
        <f>F590*[588]Main!$C$4</f>
        <v/>
      </c>
      <c r="H590" s="10">
        <f>G590-[588]Main!$C$7+[588]Main!$C$8</f>
        <v/>
      </c>
      <c r="J590" s="1">
        <f>IF(ISNUMBER([588]Main!$C$11),[588]Main!$C$11,"")</f>
        <v/>
      </c>
      <c r="K590" s="57">
        <f>IFERROR(J590/F590-1,"")</f>
        <v/>
      </c>
      <c r="L590" s="12">
        <f>[588]Main!$C$15&amp;" ("&amp;[588]Main!$C$14&amp;")"</f>
        <v/>
      </c>
      <c r="M590" s="58" t="n">
        <v>46332</v>
      </c>
      <c r="N590" s="17" t="inlineStr">
        <is>
          <t>Earnings Nov 6 (est.) · Readout ~2026-11: Retinal disease (AMD / DME), Phase 2</t>
        </is>
      </c>
    </row>
    <row r="591">
      <c r="B591" s="3" t="inlineStr">
        <is>
          <t>MDXH</t>
        </is>
      </c>
      <c r="C591" t="inlineStr">
        <is>
          <t>MDxHealth SA</t>
        </is>
      </c>
      <c r="D591" t="inlineStr">
        <is>
          <t>Biotechnology</t>
        </is>
      </c>
      <c r="E591" s="6" t="inlineStr">
        <is>
          <t>NASDAQ</t>
        </is>
      </c>
      <c r="F591" s="1" t="n">
        <v>0.1944</v>
      </c>
      <c r="G591" s="8">
        <f>F591*[589]Main!$C$4</f>
        <v/>
      </c>
      <c r="H591" s="10">
        <f>G591-[589]Main!$C$7+[589]Main!$C$8</f>
        <v/>
      </c>
      <c r="J591" s="1">
        <f>IF(ISNUMBER([589]Main!$C$11),[589]Main!$C$11,"")</f>
        <v/>
      </c>
      <c r="K591" s="57">
        <f>IFERROR(J591/F591-1,"")</f>
        <v/>
      </c>
      <c r="L591" s="12">
        <f>[589]Main!$C$15&amp;" ("&amp;[589]Main!$C$14&amp;")"</f>
        <v/>
      </c>
      <c r="M591" s="58" t="n">
        <v>46337</v>
      </c>
      <c r="N591" s="17" t="inlineStr">
        <is>
          <t>Earnings Nov 11 (est.)</t>
        </is>
      </c>
    </row>
    <row r="592">
      <c r="B592" s="3" t="inlineStr">
        <is>
          <t>QNTM</t>
        </is>
      </c>
      <c r="C592" t="inlineStr">
        <is>
          <t>Quantum Biopharma Ltd</t>
        </is>
      </c>
      <c r="D592" t="inlineStr">
        <is>
          <t>Pharmaceuticals</t>
        </is>
      </c>
      <c r="E592" s="6" t="inlineStr">
        <is>
          <t>NASDAQ</t>
        </is>
      </c>
      <c r="F592" s="1" t="n">
        <v>2.43</v>
      </c>
      <c r="G592" s="8">
        <f>F592*[590]Main!$C$4</f>
        <v/>
      </c>
      <c r="H592" s="10">
        <f>G592-[590]Main!$C$7+[590]Main!$C$8</f>
        <v/>
      </c>
      <c r="J592" s="1">
        <f>IF(ISNUMBER([590]Main!$C$11),[590]Main!$C$11,"")</f>
        <v/>
      </c>
      <c r="K592" s="57">
        <f>IFERROR(J592/F592-1,"")</f>
        <v/>
      </c>
      <c r="L592" s="12">
        <f>[590]Main!$C$15&amp;" ("&amp;[590]Main!$C$14&amp;")"</f>
        <v/>
      </c>
      <c r="M592" s="58" t="n">
        <v>46332</v>
      </c>
      <c r="N592" s="17" t="inlineStr">
        <is>
          <t>Earnings Nov 6 (est.)</t>
        </is>
      </c>
    </row>
    <row r="593">
      <c r="B593" s="3" t="inlineStr">
        <is>
          <t>GDTC</t>
        </is>
      </c>
      <c r="C593" t="inlineStr">
        <is>
          <t>CytoMed Therapeutics Ltd</t>
        </is>
      </c>
      <c r="D593" t="inlineStr">
        <is>
          <t>Biotechnology</t>
        </is>
      </c>
      <c r="E593" s="6" t="inlineStr">
        <is>
          <t>NASDAQ</t>
        </is>
      </c>
      <c r="F593" s="1" t="n">
        <v>0.8715000000000001</v>
      </c>
      <c r="G593" s="8">
        <f>F593*[591]Main!$C$4</f>
        <v/>
      </c>
      <c r="H593" s="10">
        <f>G593-[591]Main!$C$7+[591]Main!$C$8</f>
        <v/>
      </c>
      <c r="J593" s="1">
        <f>IF(ISNUMBER([591]Main!$C$11),[591]Main!$C$11,"")</f>
        <v/>
      </c>
      <c r="K593" s="57">
        <f>IFERROR(J593/F593-1,"")</f>
        <v/>
      </c>
      <c r="L593" s="12">
        <f>[591]Main!$C$15&amp;" ("&amp;[591]Main!$C$14&amp;")"</f>
        <v/>
      </c>
      <c r="M593" s="58" t="n"/>
      <c r="N593" s="17" t="n"/>
    </row>
    <row r="594">
      <c r="B594" s="3" t="inlineStr">
        <is>
          <t>PHIO</t>
        </is>
      </c>
      <c r="C594" t="inlineStr">
        <is>
          <t>Phio Pharmaceuticals Corp</t>
        </is>
      </c>
      <c r="D594" t="inlineStr">
        <is>
          <t>Biotechnology</t>
        </is>
      </c>
      <c r="E594" s="6" t="inlineStr">
        <is>
          <t>NASDAQ</t>
        </is>
      </c>
      <c r="F594" s="1" t="n">
        <v>0.8921</v>
      </c>
      <c r="G594" s="8">
        <f>F594*[592]Main!$C$4</f>
        <v/>
      </c>
      <c r="H594" s="10">
        <f>G594-[592]Main!$C$7+[592]Main!$C$8</f>
        <v/>
      </c>
      <c r="J594" s="1">
        <f>IF(ISNUMBER([592]Main!$C$11),[592]Main!$C$11,"")</f>
        <v/>
      </c>
      <c r="K594" s="57">
        <f>IFERROR(J594/F594-1,"")</f>
        <v/>
      </c>
      <c r="L594" s="12">
        <f>[592]Main!$C$15&amp;" ("&amp;[592]Main!$C$14&amp;")"</f>
        <v/>
      </c>
      <c r="M594" s="58" t="n">
        <v>46338</v>
      </c>
      <c r="N594" s="17" t="inlineStr">
        <is>
          <t>Earnings Nov 12 (est.) · Readout ~2026-12-31: Solid tumors (basket), Phase 1</t>
        </is>
      </c>
    </row>
    <row r="595">
      <c r="B595" s="3" t="inlineStr">
        <is>
          <t>TPST</t>
        </is>
      </c>
      <c r="C595" t="inlineStr">
        <is>
          <t>Tempest Therapeutics Inc</t>
        </is>
      </c>
      <c r="D595" t="inlineStr">
        <is>
          <t>Biotechnology</t>
        </is>
      </c>
      <c r="E595" s="6" t="inlineStr">
        <is>
          <t>NASDAQ</t>
        </is>
      </c>
      <c r="F595" s="1" t="n">
        <v>0.5762</v>
      </c>
      <c r="G595" s="8">
        <f>F595*[593]Main!$C$4</f>
        <v/>
      </c>
      <c r="H595" s="10">
        <f>G595-[593]Main!$C$7+[593]Main!$C$8</f>
        <v/>
      </c>
      <c r="J595" s="1">
        <f>IF(ISNUMBER([593]Main!$C$11),[593]Main!$C$11,"")</f>
        <v/>
      </c>
      <c r="K595" s="57">
        <f>IFERROR(J595/F595-1,"")</f>
        <v/>
      </c>
      <c r="L595" s="12">
        <f>[593]Main!$C$15&amp;" ("&amp;[593]Main!$C$14&amp;")"</f>
        <v/>
      </c>
      <c r="M595" s="58" t="n">
        <v>46330</v>
      </c>
      <c r="N595" s="17" t="inlineStr">
        <is>
          <t>Earnings Nov 4 (est.) · Readout ~2027-07-30: Liver cancer, Phase 3</t>
        </is>
      </c>
    </row>
    <row r="596">
      <c r="B596" s="3" t="inlineStr">
        <is>
          <t>PBM</t>
        </is>
      </c>
      <c r="C596" t="inlineStr">
        <is>
          <t>Psyence Biomedical Ltd</t>
        </is>
      </c>
      <c r="D596" t="inlineStr">
        <is>
          <t>Biotechnology</t>
        </is>
      </c>
      <c r="E596" s="6" t="inlineStr">
        <is>
          <t>NASDAQ</t>
        </is>
      </c>
      <c r="F596" s="1" t="n">
        <v>4.24</v>
      </c>
      <c r="G596" s="8">
        <f>F596*[594]Main!$C$4</f>
        <v/>
      </c>
      <c r="H596" s="10">
        <f>G596-[594]Main!$C$7+[594]Main!$C$8</f>
        <v/>
      </c>
      <c r="J596" s="1">
        <f>IF(ISNUMBER([594]Main!$C$11),[594]Main!$C$11,"")</f>
        <v/>
      </c>
      <c r="K596" s="57">
        <f>IFERROR(J596/F596-1,"")</f>
        <v/>
      </c>
      <c r="L596" s="12">
        <f>[594]Main!$C$15&amp;" ("&amp;[594]Main!$C$14&amp;")"</f>
        <v/>
      </c>
      <c r="M596" s="58" t="n"/>
      <c r="N596" s="17" t="inlineStr">
        <is>
          <t>Readout ~2026-12-30: Solid tumors (basket), Phase 2</t>
        </is>
      </c>
    </row>
    <row r="597">
      <c r="B597" s="3" t="inlineStr">
        <is>
          <t>TOVX</t>
        </is>
      </c>
      <c r="C597" t="inlineStr">
        <is>
          <t>Theriva Biologics Inc</t>
        </is>
      </c>
      <c r="D597" t="inlineStr">
        <is>
          <t>Biotechnology</t>
        </is>
      </c>
      <c r="E597" s="6" t="inlineStr">
        <is>
          <t>NYSE</t>
        </is>
      </c>
      <c r="F597" s="1" t="n">
        <v>0.2047</v>
      </c>
      <c r="G597" s="8">
        <f>F597*[595]Main!$C$4</f>
        <v/>
      </c>
      <c r="H597" s="10">
        <f>G597-[595]Main!$C$7+[595]Main!$C$8</f>
        <v/>
      </c>
      <c r="J597" s="1">
        <f>IF(ISNUMBER([595]Main!$C$11),[595]Main!$C$11,"")</f>
        <v/>
      </c>
      <c r="K597" s="57">
        <f>IFERROR(J597/F597-1,"")</f>
        <v/>
      </c>
      <c r="L597" s="12">
        <f>[595]Main!$C$15&amp;" ("&amp;[595]Main!$C$14&amp;")"</f>
        <v/>
      </c>
      <c r="M597" s="58" t="n">
        <v>46337</v>
      </c>
      <c r="N597" s="17" t="inlineStr">
        <is>
          <t>Earnings Nov 11 (est.) · Readout ~2027-08-01: Pancreatic cancer, Phase 2</t>
        </is>
      </c>
    </row>
    <row r="598">
      <c r="B598" s="3" t="inlineStr">
        <is>
          <t>LSTA</t>
        </is>
      </c>
      <c r="C598" t="inlineStr">
        <is>
          <t>Lisata Therapeutics, Inc.</t>
        </is>
      </c>
      <c r="D598" t="inlineStr">
        <is>
          <t>Biotechnology</t>
        </is>
      </c>
      <c r="E598" s="6" t="inlineStr">
        <is>
          <t>NASDAQ</t>
        </is>
      </c>
      <c r="F598" s="1" t="n">
        <v>1.04</v>
      </c>
      <c r="G598" s="8">
        <f>F598*[596]Main!$C$4</f>
        <v/>
      </c>
      <c r="H598" s="10">
        <f>G598-[596]Main!$C$7+[596]Main!$C$8</f>
        <v/>
      </c>
      <c r="J598" s="1">
        <f>IF(ISNUMBER([596]Main!$C$11),[596]Main!$C$11,"")</f>
        <v/>
      </c>
      <c r="K598" s="57">
        <f>IFERROR(J598/F598-1,"")</f>
        <v/>
      </c>
      <c r="L598" s="12">
        <f>[596]Main!$C$15&amp;" ("&amp;[596]Main!$C$14&amp;")"</f>
        <v/>
      </c>
      <c r="M598" s="58" t="n">
        <v>46331</v>
      </c>
      <c r="N598" s="17" t="inlineStr">
        <is>
          <t>Earnings Nov 5 (est.)</t>
        </is>
      </c>
    </row>
    <row r="599">
      <c r="B599" s="3" t="inlineStr">
        <is>
          <t>CMMB</t>
        </is>
      </c>
      <c r="C599" t="inlineStr">
        <is>
          <t>Chemomab Therapeutics Ltd</t>
        </is>
      </c>
      <c r="D599" t="inlineStr">
        <is>
          <t>Biotechnology</t>
        </is>
      </c>
      <c r="E599" s="6" t="inlineStr">
        <is>
          <t>NASDAQ</t>
        </is>
      </c>
      <c r="F599" s="1" t="n">
        <v>1.18</v>
      </c>
      <c r="G599" s="8">
        <f>F599*[597]Main!$C$4</f>
        <v/>
      </c>
      <c r="H599" s="10">
        <f>G599-[597]Main!$C$7+[597]Main!$C$8</f>
        <v/>
      </c>
      <c r="J599" s="1">
        <f>IF(ISNUMBER([597]Main!$C$11),[597]Main!$C$11,"")</f>
        <v/>
      </c>
      <c r="K599" s="57">
        <f>IFERROR(J599/F599-1,"")</f>
        <v/>
      </c>
      <c r="L599" s="12">
        <f>[597]Main!$C$15&amp;" ("&amp;[597]Main!$C$14&amp;")"</f>
        <v/>
      </c>
      <c r="M599" s="58" t="n">
        <v>46317</v>
      </c>
      <c r="N599" s="17" t="inlineStr">
        <is>
          <t>Earnings Oct 22 (est.)</t>
        </is>
      </c>
    </row>
    <row r="600">
      <c r="B600" s="3" t="inlineStr">
        <is>
          <t>ADIL</t>
        </is>
      </c>
      <c r="C600" t="inlineStr">
        <is>
          <t>Adial Pharmaceuticals Inc</t>
        </is>
      </c>
      <c r="D600" t="inlineStr">
        <is>
          <t>Pharmaceuticals</t>
        </is>
      </c>
      <c r="E600" s="6" t="inlineStr">
        <is>
          <t>NASDAQ</t>
        </is>
      </c>
      <c r="F600" s="1" t="n">
        <v>3.82</v>
      </c>
      <c r="G600" s="8">
        <f>F600*[598]Main!$C$4</f>
        <v/>
      </c>
      <c r="H600" s="10">
        <f>G600-[598]Main!$C$7+[598]Main!$C$8</f>
        <v/>
      </c>
      <c r="J600" s="1">
        <f>IF(ISNUMBER([598]Main!$C$11),[598]Main!$C$11,"")</f>
        <v/>
      </c>
      <c r="K600" s="57">
        <f>IFERROR(J600/F600-1,"")</f>
        <v/>
      </c>
      <c r="L600" s="12">
        <f>[598]Main!$C$15&amp;" ("&amp;[598]Main!$C$14&amp;")"</f>
        <v/>
      </c>
      <c r="M600" s="58" t="n">
        <v>46338</v>
      </c>
      <c r="N600" s="17" t="inlineStr">
        <is>
          <t>Earnings Nov 12 (est.)</t>
        </is>
      </c>
    </row>
    <row r="601">
      <c r="B601" s="3" t="inlineStr">
        <is>
          <t>MTVA</t>
        </is>
      </c>
      <c r="C601" t="inlineStr">
        <is>
          <t>MetaVia Inc</t>
        </is>
      </c>
      <c r="D601" t="inlineStr">
        <is>
          <t>Biotechnology</t>
        </is>
      </c>
      <c r="E601" s="6" t="inlineStr">
        <is>
          <t>NASDAQ</t>
        </is>
      </c>
      <c r="F601" s="1" t="n">
        <v>1.29</v>
      </c>
      <c r="G601" s="8">
        <f>F601*[599]Main!$C$4</f>
        <v/>
      </c>
      <c r="H601" s="10">
        <f>G601-[599]Main!$C$7+[599]Main!$C$8</f>
        <v/>
      </c>
      <c r="J601" s="1">
        <f>IF(ISNUMBER([599]Main!$C$11),[599]Main!$C$11,"")</f>
        <v/>
      </c>
      <c r="K601" s="57">
        <f>IFERROR(J601/F601-1,"")</f>
        <v/>
      </c>
      <c r="L601" s="12">
        <f>[599]Main!$C$15&amp;" ("&amp;[599]Main!$C$14&amp;")"</f>
        <v/>
      </c>
      <c r="M601" s="58" t="n">
        <v>46331</v>
      </c>
      <c r="N601" s="17" t="inlineStr">
        <is>
          <t>Earnings Nov 5 (est.)</t>
        </is>
      </c>
    </row>
    <row r="602">
      <c r="B602" s="3" t="inlineStr">
        <is>
          <t>VTGN</t>
        </is>
      </c>
      <c r="C602" t="inlineStr">
        <is>
          <t>Vistagen Therapeutics, Inc.</t>
        </is>
      </c>
      <c r="D602" t="inlineStr">
        <is>
          <t>Biotechnology</t>
        </is>
      </c>
      <c r="E602" s="6" t="inlineStr">
        <is>
          <t>NASDAQ</t>
        </is>
      </c>
      <c r="F602" s="1" t="n">
        <v>0.1978</v>
      </c>
      <c r="G602" s="8">
        <f>F602*[600]Main!$C$4</f>
        <v/>
      </c>
      <c r="H602" s="10">
        <f>G602-[600]Main!$C$7+[600]Main!$C$8</f>
        <v/>
      </c>
      <c r="J602" s="1">
        <f>IF(ISNUMBER([600]Main!$C$11),[600]Main!$C$11,"")</f>
        <v/>
      </c>
      <c r="K602" s="57">
        <f>IFERROR(J602/F602-1,"")</f>
        <v/>
      </c>
      <c r="L602" s="12">
        <f>[600]Main!$C$15&amp;" ("&amp;[600]Main!$C$14&amp;")"</f>
        <v/>
      </c>
      <c r="M602" s="58" t="n">
        <v>46338</v>
      </c>
      <c r="N602" s="17" t="inlineStr">
        <is>
          <t>Earnings Nov 12 (est.)</t>
        </is>
      </c>
    </row>
    <row r="603">
      <c r="B603" s="3" t="inlineStr">
        <is>
          <t>KPTI</t>
        </is>
      </c>
      <c r="C603" t="inlineStr">
        <is>
          <t>Karyopharm Therapeutics Inc.</t>
        </is>
      </c>
      <c r="D603" t="inlineStr">
        <is>
          <t>Biotechnology</t>
        </is>
      </c>
      <c r="E603" s="6" t="inlineStr">
        <is>
          <t>NASDAQ</t>
        </is>
      </c>
      <c r="F603" s="1" t="n">
        <v>0.3586</v>
      </c>
      <c r="G603" s="8">
        <f>F603*[601]Main!$C$4</f>
        <v/>
      </c>
      <c r="H603" s="10">
        <f>G603-[601]Main!$C$7+[601]Main!$C$8</f>
        <v/>
      </c>
      <c r="J603" s="1">
        <f>IF(ISNUMBER([601]Main!$C$11),[601]Main!$C$11,"")</f>
        <v/>
      </c>
      <c r="K603" s="57">
        <f>IFERROR(J603/F603-1,"")</f>
        <v/>
      </c>
      <c r="L603" s="12">
        <f>[601]Main!$C$15&amp;" ("&amp;[601]Main!$C$14&amp;")"</f>
        <v/>
      </c>
      <c r="M603" s="58" t="n">
        <v>46328</v>
      </c>
      <c r="N603" s="17" t="inlineStr">
        <is>
          <t>Earnings Nov 2 (est.)</t>
        </is>
      </c>
    </row>
    <row r="604">
      <c r="B604" s="3" t="inlineStr">
        <is>
          <t>LTRN</t>
        </is>
      </c>
      <c r="C604" t="inlineStr">
        <is>
          <t>Lantern Pharma Inc</t>
        </is>
      </c>
      <c r="D604" t="inlineStr">
        <is>
          <t>Biotechnology</t>
        </is>
      </c>
      <c r="E604" s="6" t="inlineStr">
        <is>
          <t>NASDAQ</t>
        </is>
      </c>
      <c r="F604" s="1" t="n">
        <v>0.6564</v>
      </c>
      <c r="G604" s="8">
        <f>F604*[602]Main!$C$4</f>
        <v/>
      </c>
      <c r="H604" s="10">
        <f>G604-[602]Main!$C$7+[602]Main!$C$8</f>
        <v/>
      </c>
      <c r="J604" s="1">
        <f>IF(ISNUMBER([602]Main!$C$11),[602]Main!$C$11,"")</f>
        <v/>
      </c>
      <c r="K604" s="57">
        <f>IFERROR(J604/F604-1,"")</f>
        <v/>
      </c>
      <c r="L604" s="12">
        <f>[602]Main!$C$15&amp;" ("&amp;[602]Main!$C$14&amp;")"</f>
        <v/>
      </c>
      <c r="M604" s="58" t="n">
        <v>46337</v>
      </c>
      <c r="N604" s="17" t="inlineStr">
        <is>
          <t>Earnings Nov 11 (est.) · Readout ~2026-12: Solid tumors (basket), Phase 2</t>
        </is>
      </c>
    </row>
    <row r="605">
      <c r="B605" s="3" t="inlineStr">
        <is>
          <t>BIVI</t>
        </is>
      </c>
      <c r="C605" t="inlineStr">
        <is>
          <t>BioVie Inc</t>
        </is>
      </c>
      <c r="D605" t="inlineStr">
        <is>
          <t>Biotechnology</t>
        </is>
      </c>
      <c r="E605" s="6" t="inlineStr">
        <is>
          <t>NASDAQ</t>
        </is>
      </c>
      <c r="F605" s="1" t="n">
        <v>1.37</v>
      </c>
      <c r="G605" s="8">
        <f>F605*[603]Main!$C$4</f>
        <v/>
      </c>
      <c r="H605" s="10">
        <f>G605-[603]Main!$C$7+[603]Main!$C$8</f>
        <v/>
      </c>
      <c r="J605" s="1">
        <f>IF(ISNUMBER([603]Main!$C$11),[603]Main!$C$11,"")</f>
        <v/>
      </c>
      <c r="K605" s="57">
        <f>IFERROR(J605/F605-1,"")</f>
        <v/>
      </c>
      <c r="L605" s="12">
        <f>[603]Main!$C$15&amp;" ("&amp;[603]Main!$C$14&amp;")"</f>
        <v/>
      </c>
      <c r="M605" s="58" t="n">
        <v>46335</v>
      </c>
      <c r="N605" s="17" t="inlineStr">
        <is>
          <t>Earnings Nov 9 (est.)</t>
        </is>
      </c>
    </row>
    <row r="606">
      <c r="B606" s="3" t="inlineStr">
        <is>
          <t>IMCC</t>
        </is>
      </c>
      <c r="C606" t="inlineStr">
        <is>
          <t>IM Cannabis Corp</t>
        </is>
      </c>
      <c r="D606" t="inlineStr">
        <is>
          <t>Pharmaceuticals</t>
        </is>
      </c>
      <c r="E606" s="6" t="inlineStr">
        <is>
          <t>NASDAQ</t>
        </is>
      </c>
      <c r="F606" s="1" t="n">
        <v>1.4</v>
      </c>
      <c r="G606" s="8">
        <f>F606*[604]Main!$C$4</f>
        <v/>
      </c>
      <c r="H606" s="10">
        <f>G606-[604]Main!$C$7+[604]Main!$C$8</f>
        <v/>
      </c>
      <c r="J606" s="1">
        <f>IF(ISNUMBER([604]Main!$C$11),[604]Main!$C$11,"")</f>
        <v/>
      </c>
      <c r="K606" s="57">
        <f>IFERROR(J606/F606-1,"")</f>
        <v/>
      </c>
      <c r="L606" s="12">
        <f>[604]Main!$C$15&amp;" ("&amp;[604]Main!$C$14&amp;")"</f>
        <v/>
      </c>
      <c r="M606" s="58" t="n">
        <v>46338</v>
      </c>
      <c r="N606" s="17" t="inlineStr">
        <is>
          <t>Earnings Nov 12 (est.)</t>
        </is>
      </c>
    </row>
    <row r="607">
      <c r="B607" s="3" t="inlineStr">
        <is>
          <t>BOLT</t>
        </is>
      </c>
      <c r="C607" t="inlineStr">
        <is>
          <t>Bolt Biotherapeutics, Inc.</t>
        </is>
      </c>
      <c r="D607" t="inlineStr">
        <is>
          <t>Biotechnology</t>
        </is>
      </c>
      <c r="E607" s="6" t="inlineStr">
        <is>
          <t>NASDAQ</t>
        </is>
      </c>
      <c r="F607" s="1" t="n">
        <v>4.31</v>
      </c>
      <c r="G607" s="8">
        <f>F607*[605]Main!$C$4</f>
        <v/>
      </c>
      <c r="H607" s="10">
        <f>G607-[605]Main!$C$7+[605]Main!$C$8</f>
        <v/>
      </c>
      <c r="J607" s="1">
        <f>IF(ISNUMBER([605]Main!$C$11),[605]Main!$C$11,"")</f>
        <v/>
      </c>
      <c r="K607" s="57">
        <f>IFERROR(J607/F607-1,"")</f>
        <v/>
      </c>
      <c r="L607" s="12">
        <f>[605]Main!$C$15&amp;" ("&amp;[605]Main!$C$14&amp;")"</f>
        <v/>
      </c>
      <c r="M607" s="58" t="n">
        <v>46337</v>
      </c>
      <c r="N607" s="17" t="inlineStr">
        <is>
          <t>Earnings Nov 11 (est.) · Readout ~2027-05: Gastric / esophageal cancer, Phase 1/2</t>
        </is>
      </c>
    </row>
    <row r="608">
      <c r="B608" s="3" t="inlineStr">
        <is>
          <t>RGNT</t>
        </is>
      </c>
      <c r="C608" t="inlineStr">
        <is>
          <t>Regentis Biomaterials Ltd</t>
        </is>
      </c>
      <c r="D608" t="inlineStr">
        <is>
          <t>Biotechnology</t>
        </is>
      </c>
      <c r="E608" s="6" t="inlineStr">
        <is>
          <t>NYSE</t>
        </is>
      </c>
      <c r="F608" s="1" t="n">
        <v>1.47</v>
      </c>
      <c r="G608" s="8">
        <f>F608*[606]Main!$C$4</f>
        <v/>
      </c>
      <c r="H608" s="10">
        <f>G608-[606]Main!$C$7+[606]Main!$C$8</f>
        <v/>
      </c>
      <c r="J608" s="1">
        <f>IF(ISNUMBER([606]Main!$C$11),[606]Main!$C$11,"")</f>
        <v/>
      </c>
      <c r="K608" s="57">
        <f>IFERROR(J608/F608-1,"")</f>
        <v/>
      </c>
      <c r="L608" s="12">
        <f>[606]Main!$C$15&amp;" ("&amp;[606]Main!$C$14&amp;")"</f>
        <v/>
      </c>
      <c r="M608" s="58" t="n"/>
      <c r="N608" s="17" t="n"/>
    </row>
    <row r="609">
      <c r="B609" s="3" t="inlineStr">
        <is>
          <t>IMRN</t>
        </is>
      </c>
      <c r="C609" t="inlineStr">
        <is>
          <t>Immuron Ltd</t>
        </is>
      </c>
      <c r="D609" t="inlineStr">
        <is>
          <t>Biotechnology</t>
        </is>
      </c>
      <c r="E609" s="6" t="inlineStr">
        <is>
          <t>NASDAQ</t>
        </is>
      </c>
      <c r="F609" s="1" t="n">
        <v>0.9564</v>
      </c>
      <c r="G609" s="8">
        <f>F609*[607]Main!$C$4</f>
        <v/>
      </c>
      <c r="H609" s="10">
        <f>G609-[607]Main!$C$7+[607]Main!$C$8</f>
        <v/>
      </c>
      <c r="J609" s="1">
        <f>IF(ISNUMBER([607]Main!$C$11),[607]Main!$C$11,"")</f>
        <v/>
      </c>
      <c r="K609" s="57">
        <f>IFERROR(J609/F609-1,"")</f>
        <v/>
      </c>
      <c r="L609" s="12">
        <f>[607]Main!$C$15&amp;" ("&amp;[607]Main!$C$14&amp;")"</f>
        <v/>
      </c>
      <c r="M609" s="58" t="n"/>
      <c r="N609" s="17" t="n"/>
    </row>
    <row r="610">
      <c r="B610" s="3" t="inlineStr">
        <is>
          <t>SNGX</t>
        </is>
      </c>
      <c r="C610" t="inlineStr">
        <is>
          <t>Soligenix Inc</t>
        </is>
      </c>
      <c r="D610" t="inlineStr">
        <is>
          <t>Biotechnology</t>
        </is>
      </c>
      <c r="E610" s="6" t="inlineStr">
        <is>
          <t>NASDAQ</t>
        </is>
      </c>
      <c r="F610" s="1" t="n">
        <v>0.3546</v>
      </c>
      <c r="G610" s="8">
        <f>F610*[608]Main!$C$4</f>
        <v/>
      </c>
      <c r="H610" s="10">
        <f>G610-[608]Main!$C$7+[608]Main!$C$8</f>
        <v/>
      </c>
      <c r="J610" s="1">
        <f>IF(ISNUMBER([608]Main!$C$11),[608]Main!$C$11,"")</f>
        <v/>
      </c>
      <c r="K610" s="57">
        <f>IFERROR(J610/F610-1,"")</f>
        <v/>
      </c>
      <c r="L610" s="12">
        <f>[608]Main!$C$15&amp;" ("&amp;[608]Main!$C$14&amp;")"</f>
        <v/>
      </c>
      <c r="M610" s="58" t="n">
        <v>46332</v>
      </c>
      <c r="N610" s="17" t="inlineStr">
        <is>
          <t>Earnings Nov 6 (est.)</t>
        </is>
      </c>
    </row>
    <row r="611">
      <c r="B611" s="3" t="inlineStr">
        <is>
          <t>APRE</t>
        </is>
      </c>
      <c r="C611" t="inlineStr">
        <is>
          <t>Aprea Therapeutics Inc</t>
        </is>
      </c>
      <c r="D611" t="inlineStr">
        <is>
          <t>Biotechnology</t>
        </is>
      </c>
      <c r="E611" s="6" t="inlineStr">
        <is>
          <t>NASDAQ</t>
        </is>
      </c>
      <c r="F611" s="1" t="n">
        <v>0.5612</v>
      </c>
      <c r="G611" s="8">
        <f>F611*[609]Main!$C$4</f>
        <v/>
      </c>
      <c r="H611" s="10">
        <f>G611-[609]Main!$C$7+[609]Main!$C$8</f>
        <v/>
      </c>
      <c r="J611" s="1">
        <f>IF(ISNUMBER([609]Main!$C$11),[609]Main!$C$11,"")</f>
        <v/>
      </c>
      <c r="K611" s="57">
        <f>IFERROR(J611/F611-1,"")</f>
        <v/>
      </c>
      <c r="L611" s="12">
        <f>[609]Main!$C$15&amp;" ("&amp;[609]Main!$C$14&amp;")"</f>
        <v/>
      </c>
      <c r="M611" s="58" t="n">
        <v>46337</v>
      </c>
      <c r="N611" s="17" t="inlineStr">
        <is>
          <t>Earnings Nov 11 (est.) · Readout ~2027-06: Solid tumors (basket), Phase 1/2</t>
        </is>
      </c>
    </row>
    <row r="612">
      <c r="B612" s="3" t="inlineStr">
        <is>
          <t>INM</t>
        </is>
      </c>
      <c r="C612" t="inlineStr">
        <is>
          <t>InMed Pharmaceuticals Inc</t>
        </is>
      </c>
      <c r="D612" t="inlineStr">
        <is>
          <t>Pharmaceuticals</t>
        </is>
      </c>
      <c r="E612" s="6" t="inlineStr">
        <is>
          <t>NASDAQ</t>
        </is>
      </c>
      <c r="F612" s="1" t="n">
        <v>1.34</v>
      </c>
      <c r="G612" s="8">
        <f>F612*[610]Main!$C$4</f>
        <v/>
      </c>
      <c r="H612" s="10">
        <f>G612-[610]Main!$C$7+[610]Main!$C$8</f>
        <v/>
      </c>
      <c r="J612" s="1">
        <f>IF(ISNUMBER([610]Main!$C$11),[610]Main!$C$11,"")</f>
        <v/>
      </c>
      <c r="K612" s="57">
        <f>IFERROR(J612/F612-1,"")</f>
        <v/>
      </c>
      <c r="L612" s="12">
        <f>[610]Main!$C$15&amp;" ("&amp;[610]Main!$C$14&amp;")"</f>
        <v/>
      </c>
      <c r="M612" s="58" t="n">
        <v>46331</v>
      </c>
      <c r="N612" s="17" t="inlineStr">
        <is>
          <t>Earnings Nov 5 (est.)</t>
        </is>
      </c>
    </row>
    <row r="613">
      <c r="B613" s="3" t="inlineStr">
        <is>
          <t>XCUR</t>
        </is>
      </c>
      <c r="C613" t="inlineStr">
        <is>
          <t>Exicure Inc</t>
        </is>
      </c>
      <c r="D613" t="inlineStr">
        <is>
          <t>Biotechnology</t>
        </is>
      </c>
      <c r="E613" s="6" t="inlineStr">
        <is>
          <t>NASDAQ</t>
        </is>
      </c>
      <c r="F613" s="1" t="n">
        <v>0.9987</v>
      </c>
      <c r="G613" s="8">
        <f>F613*[611]Main!$C$4</f>
        <v/>
      </c>
      <c r="H613" s="10">
        <f>G613-[611]Main!$C$7+[611]Main!$C$8</f>
        <v/>
      </c>
      <c r="J613" s="1">
        <f>IF(ISNUMBER([611]Main!$C$11),[611]Main!$C$11,"")</f>
        <v/>
      </c>
      <c r="K613" s="57">
        <f>IFERROR(J613/F613-1,"")</f>
        <v/>
      </c>
      <c r="L613" s="12">
        <f>[611]Main!$C$15&amp;" ("&amp;[611]Main!$C$14&amp;")"</f>
        <v/>
      </c>
      <c r="M613" s="58" t="n">
        <v>46332</v>
      </c>
      <c r="N613" s="17" t="inlineStr">
        <is>
          <t>Earnings Nov 6 (est.)</t>
        </is>
      </c>
    </row>
    <row r="614">
      <c r="B614" s="3" t="inlineStr">
        <is>
          <t>CNSP</t>
        </is>
      </c>
      <c r="C614" t="inlineStr">
        <is>
          <t>CNS Pharmaceuticals Inc</t>
        </is>
      </c>
      <c r="D614" t="inlineStr">
        <is>
          <t>Pharmaceuticals</t>
        </is>
      </c>
      <c r="E614" s="6" t="inlineStr">
        <is>
          <t>NASDAQ</t>
        </is>
      </c>
      <c r="F614" s="1" t="n">
        <v>4.99</v>
      </c>
      <c r="G614" s="8">
        <f>F614*[612]Main!$C$4</f>
        <v/>
      </c>
      <c r="H614" s="10">
        <f>G614-[612]Main!$C$7+[612]Main!$C$8</f>
        <v/>
      </c>
      <c r="J614" s="1">
        <f>IF(ISNUMBER([612]Main!$C$11),[612]Main!$C$11,"")</f>
        <v/>
      </c>
      <c r="K614" s="57">
        <f>IFERROR(J614/F614-1,"")</f>
        <v/>
      </c>
      <c r="L614" s="12">
        <f>[612]Main!$C$15&amp;" ("&amp;[612]Main!$C$14&amp;")"</f>
        <v/>
      </c>
      <c r="M614" s="58" t="n">
        <v>46339</v>
      </c>
      <c r="N614" s="17" t="inlineStr">
        <is>
          <t>Earnings Nov 13 (est.)</t>
        </is>
      </c>
    </row>
    <row r="615">
      <c r="B615" s="3" t="inlineStr">
        <is>
          <t>SNTI</t>
        </is>
      </c>
      <c r="C615" t="inlineStr">
        <is>
          <t>Senti Biosciences Holdings Inc</t>
        </is>
      </c>
      <c r="D615" t="inlineStr">
        <is>
          <t>Biotechnology</t>
        </is>
      </c>
      <c r="E615" s="6" t="inlineStr">
        <is>
          <t>NASDAQ</t>
        </is>
      </c>
      <c r="F615" s="1" t="n">
        <v>0.2277</v>
      </c>
      <c r="G615" s="8">
        <f>F615*[613]Main!$C$4</f>
        <v/>
      </c>
      <c r="H615" s="10">
        <f>G615-[613]Main!$C$7+[613]Main!$C$8</f>
        <v/>
      </c>
      <c r="J615" s="1">
        <f>IF(ISNUMBER([613]Main!$C$11),[613]Main!$C$11,"")</f>
        <v/>
      </c>
      <c r="K615" s="57">
        <f>IFERROR(J615/F615-1,"")</f>
        <v/>
      </c>
      <c r="L615" s="12">
        <f>[613]Main!$C$15&amp;" ("&amp;[613]Main!$C$14&amp;")"</f>
        <v/>
      </c>
      <c r="M615" s="58" t="n">
        <v>46338</v>
      </c>
      <c r="N615" s="17" t="inlineStr">
        <is>
          <t>Earnings Nov 12 (est.)</t>
        </is>
      </c>
    </row>
    <row r="616">
      <c r="B616" s="3" t="inlineStr">
        <is>
          <t>TCRT</t>
        </is>
      </c>
      <c r="C616" t="inlineStr">
        <is>
          <t>Alaunos Therapeutics Inc</t>
        </is>
      </c>
      <c r="D616" t="inlineStr">
        <is>
          <t>Biotechnology</t>
        </is>
      </c>
      <c r="E616" s="6" t="inlineStr">
        <is>
          <t>NASDAQ</t>
        </is>
      </c>
      <c r="F616" s="1" t="n">
        <v>2.97</v>
      </c>
      <c r="G616" s="8">
        <f>F616*[614]Main!$C$4</f>
        <v/>
      </c>
      <c r="H616" s="10">
        <f>G616-[614]Main!$C$7+[614]Main!$C$8</f>
        <v/>
      </c>
      <c r="J616" s="1">
        <f>IF(ISNUMBER([614]Main!$C$11),[614]Main!$C$11,"")</f>
        <v/>
      </c>
      <c r="K616" s="57">
        <f>IFERROR(J616/F616-1,"")</f>
        <v/>
      </c>
      <c r="L616" s="12">
        <f>[614]Main!$C$15&amp;" ("&amp;[614]Main!$C$14&amp;")"</f>
        <v/>
      </c>
      <c r="M616" s="58" t="n">
        <v>46339</v>
      </c>
      <c r="N616" s="17" t="inlineStr">
        <is>
          <t>Earnings Nov 13 (est.)</t>
        </is>
      </c>
    </row>
    <row r="617">
      <c r="B617" s="3" t="inlineStr">
        <is>
          <t>FBLG</t>
        </is>
      </c>
      <c r="C617" t="inlineStr">
        <is>
          <t>Fibrobiologics Inc</t>
        </is>
      </c>
      <c r="D617" t="inlineStr">
        <is>
          <t>Biotechnology</t>
        </is>
      </c>
      <c r="E617" s="6" t="inlineStr">
        <is>
          <t>NASDAQ</t>
        </is>
      </c>
      <c r="F617" s="1" t="n">
        <v>0.9199000000000001</v>
      </c>
      <c r="G617" s="8">
        <f>F617*[615]Main!$C$4</f>
        <v/>
      </c>
      <c r="H617" s="10">
        <f>G617-[615]Main!$C$7+[615]Main!$C$8</f>
        <v/>
      </c>
      <c r="J617" s="1">
        <f>IF(ISNUMBER([615]Main!$C$11),[615]Main!$C$11,"")</f>
        <v/>
      </c>
      <c r="K617" s="57">
        <f>IFERROR(J617/F617-1,"")</f>
        <v/>
      </c>
      <c r="L617" s="12">
        <f>[615]Main!$C$15&amp;" ("&amp;[615]Main!$C$14&amp;")"</f>
        <v/>
      </c>
      <c r="M617" s="58" t="n">
        <v>46325</v>
      </c>
      <c r="N617" s="17" t="inlineStr">
        <is>
          <t>Earnings Oct 30 (est.)</t>
        </is>
      </c>
    </row>
    <row r="618">
      <c r="B618" s="3" t="inlineStr">
        <is>
          <t>ALZN</t>
        </is>
      </c>
      <c r="C618" t="inlineStr">
        <is>
          <t>Alzamend Neuro Inc</t>
        </is>
      </c>
      <c r="D618" t="inlineStr">
        <is>
          <t>Biotechnology</t>
        </is>
      </c>
      <c r="E618" s="6" t="inlineStr">
        <is>
          <t>NASDAQ</t>
        </is>
      </c>
      <c r="F618" s="1" t="n">
        <v>1.3</v>
      </c>
      <c r="G618" s="8">
        <f>F618*[616]Main!$C$4</f>
        <v/>
      </c>
      <c r="H618" s="10">
        <f>G618-[616]Main!$C$7+[616]Main!$C$8</f>
        <v/>
      </c>
      <c r="J618" s="1">
        <f>IF(ISNUMBER([616]Main!$C$11),[616]Main!$C$11,"")</f>
        <v/>
      </c>
      <c r="K618" s="57">
        <f>IFERROR(J618/F618-1,"")</f>
        <v/>
      </c>
      <c r="L618" s="12">
        <f>[616]Main!$C$15&amp;" ("&amp;[616]Main!$C$14&amp;")"</f>
        <v/>
      </c>
      <c r="M618" s="58" t="n">
        <v>46364</v>
      </c>
      <c r="N618" s="17" t="inlineStr">
        <is>
          <t>Earnings Dec 8 (est.) · Readout ~2026-12: Depression / mood, Phase 1/2</t>
        </is>
      </c>
    </row>
    <row r="619">
      <c r="B619" s="3" t="inlineStr">
        <is>
          <t>TRAW</t>
        </is>
      </c>
      <c r="C619" t="inlineStr">
        <is>
          <t>Traws Pharma Inc</t>
        </is>
      </c>
      <c r="D619" t="inlineStr">
        <is>
          <t>Pharmaceuticals</t>
        </is>
      </c>
      <c r="E619" s="6" t="inlineStr">
        <is>
          <t>NASDAQ</t>
        </is>
      </c>
      <c r="F619" s="1" t="n">
        <v>0.3767</v>
      </c>
      <c r="G619" s="8">
        <f>F619*[617]Main!$C$4</f>
        <v/>
      </c>
      <c r="H619" s="10">
        <f>G619-[617]Main!$C$7+[617]Main!$C$8</f>
        <v/>
      </c>
      <c r="J619" s="1">
        <f>IF(ISNUMBER([617]Main!$C$11),[617]Main!$C$11,"")</f>
        <v/>
      </c>
      <c r="K619" s="57">
        <f>IFERROR(J619/F619-1,"")</f>
        <v/>
      </c>
      <c r="L619" s="12">
        <f>[617]Main!$C$15&amp;" ("&amp;[617]Main!$C$14&amp;")"</f>
        <v/>
      </c>
      <c r="M619" s="58" t="n">
        <v>46338</v>
      </c>
      <c r="N619" s="17" t="inlineStr">
        <is>
          <t>Earnings Nov 12 (est.) · Readout ~2026-11: Vaccines / respiratory viruses, Phase 2</t>
        </is>
      </c>
    </row>
    <row r="620">
      <c r="B620" s="3" t="inlineStr">
        <is>
          <t>ENVB</t>
        </is>
      </c>
      <c r="C620" t="inlineStr">
        <is>
          <t>Enveric Biosciences Inc</t>
        </is>
      </c>
      <c r="D620" t="inlineStr">
        <is>
          <t>Pharmaceuticals</t>
        </is>
      </c>
      <c r="E620" s="6" t="inlineStr">
        <is>
          <t>NASDAQ</t>
        </is>
      </c>
      <c r="F620" s="1" t="n">
        <v>1.44</v>
      </c>
      <c r="G620" s="8">
        <f>F620*[618]Main!$C$4</f>
        <v/>
      </c>
      <c r="H620" s="10">
        <f>G620-[618]Main!$C$7+[618]Main!$C$8</f>
        <v/>
      </c>
      <c r="J620" s="1">
        <f>IF(ISNUMBER([618]Main!$C$11),[618]Main!$C$11,"")</f>
        <v/>
      </c>
      <c r="K620" s="57">
        <f>IFERROR(J620/F620-1,"")</f>
        <v/>
      </c>
      <c r="L620" s="12">
        <f>[618]Main!$C$15&amp;" ("&amp;[618]Main!$C$14&amp;")"</f>
        <v/>
      </c>
      <c r="M620" s="58" t="n">
        <v>46339</v>
      </c>
      <c r="N620" s="17" t="inlineStr">
        <is>
          <t>Earnings Nov 13 (est.)</t>
        </is>
      </c>
    </row>
    <row r="621">
      <c r="B621" s="3" t="inlineStr">
        <is>
          <t>BGMS</t>
        </is>
      </c>
      <c r="C621" t="inlineStr">
        <is>
          <t>Bio Green Med Solution Inc</t>
        </is>
      </c>
      <c r="D621" t="inlineStr">
        <is>
          <t>Biotechnology</t>
        </is>
      </c>
      <c r="E621" s="6" t="inlineStr">
        <is>
          <t>NASDAQ</t>
        </is>
      </c>
      <c r="F621" s="1" t="n">
        <v>0.9399999999999999</v>
      </c>
      <c r="G621" s="8">
        <f>F621*[619]Main!$C$4</f>
        <v/>
      </c>
      <c r="H621" s="10">
        <f>G621-[619]Main!$C$7+[619]Main!$C$8</f>
        <v/>
      </c>
      <c r="J621" s="1">
        <f>IF(ISNUMBER([619]Main!$C$11),[619]Main!$C$11,"")</f>
        <v/>
      </c>
      <c r="K621" s="57">
        <f>IFERROR(J621/F621-1,"")</f>
        <v/>
      </c>
      <c r="L621" s="12">
        <f>[619]Main!$C$15&amp;" ("&amp;[619]Main!$C$14&amp;")"</f>
        <v/>
      </c>
      <c r="M621" s="58" t="n">
        <v>46338</v>
      </c>
      <c r="N621" s="17" t="inlineStr">
        <is>
          <t>Earnings Nov 12 (est.)</t>
        </is>
      </c>
    </row>
    <row r="622">
      <c r="B622" s="3" t="inlineStr">
        <is>
          <t>APUS</t>
        </is>
      </c>
      <c r="C622" t="inlineStr">
        <is>
          <t>Apimeds Pharmaceuticals US Inc</t>
        </is>
      </c>
      <c r="D622" t="inlineStr">
        <is>
          <t>Biotechnology</t>
        </is>
      </c>
      <c r="E622" s="6" t="inlineStr">
        <is>
          <t>NYSE</t>
        </is>
      </c>
      <c r="F622" s="1" t="n">
        <v>3.41</v>
      </c>
      <c r="G622" s="8">
        <f>F622*[620]Main!$C$4</f>
        <v/>
      </c>
      <c r="H622" s="10">
        <f>G622-[620]Main!$C$7+[620]Main!$C$8</f>
        <v/>
      </c>
      <c r="J622" s="1">
        <f>IF(ISNUMBER([620]Main!$C$11),[620]Main!$C$11,"")</f>
        <v/>
      </c>
      <c r="K622" s="57">
        <f>IFERROR(J622/F622-1,"")</f>
        <v/>
      </c>
      <c r="L622" s="12">
        <f>[620]Main!$C$15&amp;" ("&amp;[620]Main!$C$14&amp;")"</f>
        <v/>
      </c>
      <c r="M622" s="58" t="n">
        <v>46337</v>
      </c>
      <c r="N622" s="17" t="inlineStr">
        <is>
          <t>Earnings Nov 11 (est.)</t>
        </is>
      </c>
    </row>
    <row r="623">
      <c r="B623" s="3" t="inlineStr">
        <is>
          <t>HLSQ</t>
        </is>
      </c>
      <c r="C623" t="inlineStr">
        <is>
          <t>Tessera Defense and Homeland Security Inc</t>
        </is>
      </c>
      <c r="D623" t="inlineStr">
        <is>
          <t>Biotechnology</t>
        </is>
      </c>
      <c r="E623" s="6" t="inlineStr">
        <is>
          <t>NYSE</t>
        </is>
      </c>
      <c r="F623" s="1" t="n">
        <v>0.2323</v>
      </c>
      <c r="G623" s="8">
        <f>F623*[621]Main!$C$4</f>
        <v/>
      </c>
      <c r="H623" s="10">
        <f>G623-[621]Main!$C$7+[621]Main!$C$8</f>
        <v/>
      </c>
      <c r="J623" s="1">
        <f>IF(ISNUMBER([621]Main!$C$11),[621]Main!$C$11,"")</f>
        <v/>
      </c>
      <c r="K623" s="57">
        <f>IFERROR(J623/F623-1,"")</f>
        <v/>
      </c>
      <c r="L623" s="12">
        <f>[621]Main!$C$15&amp;" ("&amp;[621]Main!$C$14&amp;")"</f>
        <v/>
      </c>
      <c r="M623" s="58" t="n">
        <v>46337</v>
      </c>
      <c r="N623" s="17" t="inlineStr">
        <is>
          <t>Earnings Nov 11 (est.)</t>
        </is>
      </c>
    </row>
    <row r="624">
      <c r="B624" s="3" t="inlineStr">
        <is>
          <t>ACXP</t>
        </is>
      </c>
      <c r="C624" t="inlineStr">
        <is>
          <t>Acurx Pharmaceuticals Inc</t>
        </is>
      </c>
      <c r="D624" t="inlineStr">
        <is>
          <t>Biotechnology</t>
        </is>
      </c>
      <c r="E624" s="6" t="inlineStr">
        <is>
          <t>NASDAQ</t>
        </is>
      </c>
      <c r="F624" s="1" t="n">
        <v>1.14</v>
      </c>
      <c r="G624" s="8">
        <f>F624*[622]Main!$C$4</f>
        <v/>
      </c>
      <c r="H624" s="10">
        <f>G624-[622]Main!$C$7+[622]Main!$C$8</f>
        <v/>
      </c>
      <c r="J624" s="1">
        <f>IF(ISNUMBER([622]Main!$C$11),[622]Main!$C$11,"")</f>
        <v/>
      </c>
      <c r="K624" s="57">
        <f>IFERROR(J624/F624-1,"")</f>
        <v/>
      </c>
      <c r="L624" s="12">
        <f>[622]Main!$C$15&amp;" ("&amp;[622]Main!$C$14&amp;")"</f>
        <v/>
      </c>
      <c r="M624" s="58" t="n">
        <v>46337</v>
      </c>
      <c r="N624" s="17" t="inlineStr">
        <is>
          <t>Earnings Nov 11 (est.) · Readout ~2027-09-29: Bacterial / fungal infections, Phase 2</t>
        </is>
      </c>
    </row>
    <row r="625">
      <c r="B625" s="3" t="inlineStr">
        <is>
          <t>IMNN</t>
        </is>
      </c>
      <c r="C625" t="inlineStr">
        <is>
          <t>Imunon Inc</t>
        </is>
      </c>
      <c r="D625" t="inlineStr">
        <is>
          <t>Biotechnology</t>
        </is>
      </c>
      <c r="E625" s="6" t="inlineStr">
        <is>
          <t>NASDAQ</t>
        </is>
      </c>
      <c r="F625" s="1" t="n">
        <v>1.005</v>
      </c>
      <c r="G625" s="8">
        <f>F625*[623]Main!$C$4</f>
        <v/>
      </c>
      <c r="H625" s="10">
        <f>G625-[623]Main!$C$7+[623]Main!$C$8</f>
        <v/>
      </c>
      <c r="J625" s="1">
        <f>IF(ISNUMBER([623]Main!$C$11),[623]Main!$C$11,"")</f>
        <v/>
      </c>
      <c r="K625" s="57">
        <f>IFERROR(J625/F625-1,"")</f>
        <v/>
      </c>
      <c r="L625" s="12">
        <f>[623]Main!$C$15&amp;" ("&amp;[623]Main!$C$14&amp;")"</f>
        <v/>
      </c>
      <c r="M625" s="58" t="n">
        <v>46338</v>
      </c>
      <c r="N625" s="17" t="inlineStr">
        <is>
          <t>Earnings Nov 12 (est.) · Readout ~2027-06-30: Ovarian cancer, Phase 3</t>
        </is>
      </c>
    </row>
    <row r="626">
      <c r="B626" s="3" t="inlineStr">
        <is>
          <t>AQB</t>
        </is>
      </c>
      <c r="C626" t="inlineStr">
        <is>
          <t>AquaBounty Technologies Inc</t>
        </is>
      </c>
      <c r="D626" t="inlineStr">
        <is>
          <t>Biotechnology</t>
        </is>
      </c>
      <c r="E626" s="6" t="inlineStr">
        <is>
          <t>NASDAQ</t>
        </is>
      </c>
      <c r="F626" s="1" t="n">
        <v>1.15</v>
      </c>
      <c r="G626" s="8">
        <f>F626*[624]Main!$C$4</f>
        <v/>
      </c>
      <c r="H626" s="10">
        <f>G626-[624]Main!$C$7+[624]Main!$C$8</f>
        <v/>
      </c>
      <c r="J626" s="1">
        <f>IF(ISNUMBER([624]Main!$C$11),[624]Main!$C$11,"")</f>
        <v/>
      </c>
      <c r="K626" s="57">
        <f>IFERROR(J626/F626-1,"")</f>
        <v/>
      </c>
      <c r="L626" s="12">
        <f>[624]Main!$C$15&amp;" ("&amp;[624]Main!$C$14&amp;")"</f>
        <v/>
      </c>
      <c r="M626" s="58" t="n">
        <v>46322</v>
      </c>
      <c r="N626" s="17" t="inlineStr">
        <is>
          <t>Earnings Oct 27 (est.)</t>
        </is>
      </c>
    </row>
    <row r="627">
      <c r="B627" s="3" t="inlineStr">
        <is>
          <t>MBRX</t>
        </is>
      </c>
      <c r="C627" t="inlineStr">
        <is>
          <t>Moleculin Biotech Inc</t>
        </is>
      </c>
      <c r="D627" t="inlineStr">
        <is>
          <t>Biotechnology</t>
        </is>
      </c>
      <c r="E627" s="6" t="inlineStr">
        <is>
          <t>NASDAQ</t>
        </is>
      </c>
      <c r="F627" s="1" t="n">
        <v>6.19</v>
      </c>
      <c r="G627" s="8">
        <f>F627*[625]Main!$C$4</f>
        <v/>
      </c>
      <c r="H627" s="10">
        <f>G627-[625]Main!$C$7+[625]Main!$C$8</f>
        <v/>
      </c>
      <c r="J627" s="1">
        <f>IF(ISNUMBER([625]Main!$C$11),[625]Main!$C$11,"")</f>
        <v/>
      </c>
      <c r="K627" s="57">
        <f>IFERROR(J627/F627-1,"")</f>
        <v/>
      </c>
      <c r="L627" s="12">
        <f>[625]Main!$C$15&amp;" ("&amp;[625]Main!$C$14&amp;")"</f>
        <v/>
      </c>
      <c r="M627" s="58" t="n"/>
      <c r="N627" s="17" t="inlineStr">
        <is>
          <t>1-for-20 reverse split Oct 20 · Readout ~2029-08: Leukemia, Phase 2/3</t>
        </is>
      </c>
    </row>
    <row r="628">
      <c r="B628" s="3" t="inlineStr">
        <is>
          <t>SNOA</t>
        </is>
      </c>
      <c r="C628" t="inlineStr">
        <is>
          <t>Sonoma Pharmaceuticals Inc</t>
        </is>
      </c>
      <c r="D628" t="inlineStr">
        <is>
          <t>Pharmaceuticals</t>
        </is>
      </c>
      <c r="E628" s="6" t="inlineStr">
        <is>
          <t>NASDAQ</t>
        </is>
      </c>
      <c r="F628" s="1" t="n">
        <v>1.15</v>
      </c>
      <c r="G628" s="8">
        <f>F628*[626]Main!$C$4</f>
        <v/>
      </c>
      <c r="H628" s="10">
        <f>G628-[626]Main!$C$7+[626]Main!$C$8</f>
        <v/>
      </c>
      <c r="J628" s="1">
        <f>IF(ISNUMBER([626]Main!$C$11),[626]Main!$C$11,"")</f>
        <v/>
      </c>
      <c r="K628" s="57">
        <f>IFERROR(J628/F628-1,"")</f>
        <v/>
      </c>
      <c r="L628" s="12">
        <f>[626]Main!$C$15&amp;" ("&amp;[626]Main!$C$14&amp;")"</f>
        <v/>
      </c>
      <c r="M628" s="58" t="n">
        <v>46329</v>
      </c>
      <c r="N628" s="17" t="inlineStr">
        <is>
          <t>Earnings Nov 3 (est.) · Readout ~2026-11: Rheumatoid / spondyloarthritis, Phase 1</t>
        </is>
      </c>
    </row>
    <row r="629">
      <c r="B629" s="3" t="inlineStr">
        <is>
          <t>PULM</t>
        </is>
      </c>
      <c r="C629" t="inlineStr">
        <is>
          <t>Pulmatrix Inc</t>
        </is>
      </c>
      <c r="D629" t="inlineStr">
        <is>
          <t>Pharmaceuticals</t>
        </is>
      </c>
      <c r="E629" s="6" t="inlineStr">
        <is>
          <t>NASDAQ</t>
        </is>
      </c>
      <c r="F629" s="1" t="n">
        <v>1.43</v>
      </c>
      <c r="G629" s="8">
        <f>F629*[627]Main!$C$4</f>
        <v/>
      </c>
      <c r="H629" s="10">
        <f>G629-[627]Main!$C$7+[627]Main!$C$8</f>
        <v/>
      </c>
      <c r="J629" s="1">
        <f>IF(ISNUMBER([627]Main!$C$11),[627]Main!$C$11,"")</f>
        <v/>
      </c>
      <c r="K629" s="57">
        <f>IFERROR(J629/F629-1,"")</f>
        <v/>
      </c>
      <c r="L629" s="12">
        <f>[627]Main!$C$15&amp;" ("&amp;[627]Main!$C$14&amp;")"</f>
        <v/>
      </c>
      <c r="M629" s="58" t="n"/>
      <c r="N629" s="17" t="n"/>
    </row>
    <row r="630">
      <c r="B630" s="3" t="inlineStr">
        <is>
          <t>AIM</t>
        </is>
      </c>
      <c r="C630" t="inlineStr">
        <is>
          <t>AIM ImmunoTech Inc</t>
        </is>
      </c>
      <c r="D630" t="inlineStr">
        <is>
          <t>Biotechnology</t>
        </is>
      </c>
      <c r="E630" s="6" t="inlineStr">
        <is>
          <t>NYSE</t>
        </is>
      </c>
      <c r="F630" s="1" t="n">
        <v>0.1679</v>
      </c>
      <c r="G630" s="8">
        <f>F630*[628]Main!$C$4</f>
        <v/>
      </c>
      <c r="H630" s="10">
        <f>G630-[628]Main!$C$7+[628]Main!$C$8</f>
        <v/>
      </c>
      <c r="J630" s="1">
        <f>IF(ISNUMBER([628]Main!$C$11),[628]Main!$C$11,"")</f>
        <v/>
      </c>
      <c r="K630" s="57">
        <f>IFERROR(J630/F630-1,"")</f>
        <v/>
      </c>
      <c r="L630" s="12">
        <f>[628]Main!$C$15&amp;" ("&amp;[628]Main!$C$14&amp;")"</f>
        <v/>
      </c>
      <c r="M630" s="58" t="n">
        <v>46342</v>
      </c>
      <c r="N630" s="17" t="inlineStr">
        <is>
          <t>Earnings Nov 16 (est.)</t>
        </is>
      </c>
    </row>
    <row r="631">
      <c r="B631" s="3" t="inlineStr">
        <is>
          <t>CELZ</t>
        </is>
      </c>
      <c r="C631" t="inlineStr">
        <is>
          <t>Creative Medical Technology Holdings Inc</t>
        </is>
      </c>
      <c r="D631" t="inlineStr">
        <is>
          <t>Biotechnology</t>
        </is>
      </c>
      <c r="E631" s="6" t="inlineStr">
        <is>
          <t>NASDAQ</t>
        </is>
      </c>
      <c r="F631" s="1" t="n">
        <v>0.7547</v>
      </c>
      <c r="G631" s="8">
        <f>F631*[629]Main!$C$4</f>
        <v/>
      </c>
      <c r="H631" s="10">
        <f>G631-[629]Main!$C$7+[629]Main!$C$8</f>
        <v/>
      </c>
      <c r="J631" s="1">
        <f>IF(ISNUMBER([629]Main!$C$11),[629]Main!$C$11,"")</f>
        <v/>
      </c>
      <c r="K631" s="57">
        <f>IFERROR(J631/F631-1,"")</f>
        <v/>
      </c>
      <c r="L631" s="12">
        <f>[629]Main!$C$15&amp;" ("&amp;[629]Main!$C$14&amp;")"</f>
        <v/>
      </c>
      <c r="M631" s="58" t="n">
        <v>46332</v>
      </c>
      <c r="N631" s="17" t="inlineStr">
        <is>
          <t>Earnings Nov 6 (est.) · Readout ~2027-01-20: Migraine / pain, Phase 1/2</t>
        </is>
      </c>
    </row>
    <row r="632">
      <c r="B632" s="3" t="inlineStr">
        <is>
          <t>GELS</t>
        </is>
      </c>
      <c r="C632" t="inlineStr">
        <is>
          <t>Gelteq Ltd</t>
        </is>
      </c>
      <c r="D632" t="inlineStr">
        <is>
          <t>Pharmaceuticals</t>
        </is>
      </c>
      <c r="E632" s="6" t="inlineStr">
        <is>
          <t>NASDAQ</t>
        </is>
      </c>
      <c r="F632" s="1" t="n">
        <v>0.448</v>
      </c>
      <c r="G632" s="8">
        <f>F632*[630]Main!$C$4</f>
        <v/>
      </c>
      <c r="H632" s="10">
        <f>G632-[630]Main!$C$7+[630]Main!$C$8</f>
        <v/>
      </c>
      <c r="J632" s="1">
        <f>IF(ISNUMBER([630]Main!$C$11),[630]Main!$C$11,"")</f>
        <v/>
      </c>
      <c r="K632" s="57">
        <f>IFERROR(J632/F632-1,"")</f>
        <v/>
      </c>
      <c r="L632" s="12">
        <f>[630]Main!$C$15&amp;" ("&amp;[630]Main!$C$14&amp;")"</f>
        <v/>
      </c>
      <c r="M632" s="58" t="n"/>
      <c r="N632" s="17" t="n"/>
    </row>
    <row r="633">
      <c r="B633" s="3" t="inlineStr">
        <is>
          <t>PCSA</t>
        </is>
      </c>
      <c r="C633" t="inlineStr">
        <is>
          <t>Processa Pharmaceuticals Inc</t>
        </is>
      </c>
      <c r="D633" t="inlineStr">
        <is>
          <t>Pharmaceuticals</t>
        </is>
      </c>
      <c r="E633" s="6" t="inlineStr">
        <is>
          <t>NASDAQ</t>
        </is>
      </c>
      <c r="F633" s="1" t="n">
        <v>1.79</v>
      </c>
      <c r="G633" s="8">
        <f>F633*[631]Main!$C$4</f>
        <v/>
      </c>
      <c r="H633" s="10">
        <f>G633-[631]Main!$C$7+[631]Main!$C$8</f>
        <v/>
      </c>
      <c r="J633" s="1">
        <f>IF(ISNUMBER([631]Main!$C$11),[631]Main!$C$11,"")</f>
        <v/>
      </c>
      <c r="K633" s="57">
        <f>IFERROR(J633/F633-1,"")</f>
        <v/>
      </c>
      <c r="L633" s="12">
        <f>[631]Main!$C$15&amp;" ("&amp;[631]Main!$C$14&amp;")"</f>
        <v/>
      </c>
      <c r="M633" s="58" t="n">
        <v>46331</v>
      </c>
      <c r="N633" s="17" t="inlineStr">
        <is>
          <t>Earnings Nov 5 (est.)</t>
        </is>
      </c>
    </row>
    <row r="634">
      <c r="B634" s="3" t="inlineStr">
        <is>
          <t>XBIO</t>
        </is>
      </c>
      <c r="C634" t="inlineStr">
        <is>
          <t>Xenetic Biosciences Inc</t>
        </is>
      </c>
      <c r="D634" t="inlineStr">
        <is>
          <t>Biotechnology</t>
        </is>
      </c>
      <c r="E634" s="6" t="inlineStr">
        <is>
          <t>NASDAQ</t>
        </is>
      </c>
      <c r="F634" s="1" t="n">
        <v>2</v>
      </c>
      <c r="G634" s="8">
        <f>F634*[632]Main!$C$4</f>
        <v/>
      </c>
      <c r="H634" s="10">
        <f>G634-[632]Main!$C$7+[632]Main!$C$8</f>
        <v/>
      </c>
      <c r="J634" s="1">
        <f>IF(ISNUMBER([632]Main!$C$11),[632]Main!$C$11,"")</f>
        <v/>
      </c>
      <c r="K634" s="57">
        <f>IFERROR(J634/F634-1,"")</f>
        <v/>
      </c>
      <c r="L634" s="12">
        <f>[632]Main!$C$15&amp;" ("&amp;[632]Main!$C$14&amp;")"</f>
        <v/>
      </c>
      <c r="M634" s="58" t="n">
        <v>46337</v>
      </c>
      <c r="N634" s="17" t="inlineStr">
        <is>
          <t>Earnings Nov 11 (est.)</t>
        </is>
      </c>
    </row>
    <row r="635">
      <c r="B635" s="3" t="inlineStr">
        <is>
          <t>QCLS</t>
        </is>
      </c>
      <c r="C635" t="inlineStr">
        <is>
          <t>Q/C Technologies Inc</t>
        </is>
      </c>
      <c r="D635" t="inlineStr">
        <is>
          <t>Pharmaceuticals</t>
        </is>
      </c>
      <c r="E635" s="6" t="inlineStr">
        <is>
          <t>NASDAQ</t>
        </is>
      </c>
      <c r="F635" s="1" t="n">
        <v>0.5</v>
      </c>
      <c r="G635" s="8">
        <f>F635*[633]Main!$C$4</f>
        <v/>
      </c>
      <c r="H635" s="10">
        <f>G635-[633]Main!$C$7+[633]Main!$C$8</f>
        <v/>
      </c>
      <c r="J635" s="1">
        <f>IF(ISNUMBER([633]Main!$C$11),[633]Main!$C$11,"")</f>
        <v/>
      </c>
      <c r="K635" s="57">
        <f>IFERROR(J635/F635-1,"")</f>
        <v/>
      </c>
      <c r="L635" s="12">
        <f>[633]Main!$C$15&amp;" ("&amp;[633]Main!$C$14&amp;")"</f>
        <v/>
      </c>
      <c r="M635" s="58" t="n">
        <v>46344</v>
      </c>
      <c r="N635" s="17" t="inlineStr">
        <is>
          <t>Earnings Nov 18 (est.)</t>
        </is>
      </c>
    </row>
    <row r="636">
      <c r="B636" s="3" t="inlineStr">
        <is>
          <t>AZTR</t>
        </is>
      </c>
      <c r="C636" t="inlineStr">
        <is>
          <t>Azitra Inc</t>
        </is>
      </c>
      <c r="D636" t="inlineStr">
        <is>
          <t>Biotechnology</t>
        </is>
      </c>
      <c r="E636" s="6" t="inlineStr">
        <is>
          <t>NYSE</t>
        </is>
      </c>
      <c r="F636" s="1" t="n">
        <v>0.07149999999999999</v>
      </c>
      <c r="G636" s="8">
        <f>F636*[634]Main!$C$4</f>
        <v/>
      </c>
      <c r="H636" s="10">
        <f>G636-[634]Main!$C$7+[634]Main!$C$8</f>
        <v/>
      </c>
      <c r="J636" s="1">
        <f>IF(ISNUMBER([634]Main!$C$11),[634]Main!$C$11,"")</f>
        <v/>
      </c>
      <c r="K636" s="57">
        <f>IFERROR(J636/F636-1,"")</f>
        <v/>
      </c>
      <c r="L636" s="12">
        <f>[634]Main!$C$15&amp;" ("&amp;[634]Main!$C$14&amp;")"</f>
        <v/>
      </c>
      <c r="M636" s="58" t="n">
        <v>46337</v>
      </c>
      <c r="N636" s="17" t="inlineStr">
        <is>
          <t>Earnings Nov 11 (est.)</t>
        </is>
      </c>
    </row>
    <row r="637">
      <c r="B637" s="3" t="inlineStr">
        <is>
          <t>NCNA</t>
        </is>
      </c>
      <c r="C637" t="inlineStr">
        <is>
          <t>NuCana PLC</t>
        </is>
      </c>
      <c r="D637" t="inlineStr">
        <is>
          <t>Biotechnology</t>
        </is>
      </c>
      <c r="E637" s="6" t="inlineStr">
        <is>
          <t>NASDAQ</t>
        </is>
      </c>
      <c r="F637" s="1" t="n">
        <v>1.0056</v>
      </c>
      <c r="G637" s="8">
        <f>F637*[635]Main!$C$4</f>
        <v/>
      </c>
      <c r="H637" s="10">
        <f>G637-[635]Main!$C$7+[635]Main!$C$8</f>
        <v/>
      </c>
      <c r="J637" s="1">
        <f>IF(ISNUMBER([635]Main!$C$11),[635]Main!$C$11,"")</f>
        <v/>
      </c>
      <c r="K637" s="57">
        <f>IFERROR(J637/F637-1,"")</f>
        <v/>
      </c>
      <c r="L637" s="12">
        <f>[635]Main!$C$15&amp;" ("&amp;[635]Main!$C$14&amp;")"</f>
        <v/>
      </c>
      <c r="M637" s="58" t="n">
        <v>46338</v>
      </c>
      <c r="N637" s="17" t="inlineStr">
        <is>
          <t>Earnings Nov 12 (est.)</t>
        </is>
      </c>
    </row>
    <row r="638">
      <c r="B638" s="3" t="inlineStr">
        <is>
          <t>YCBD</t>
        </is>
      </c>
      <c r="C638" t="inlineStr">
        <is>
          <t>cbdMD Inc</t>
        </is>
      </c>
      <c r="D638" t="inlineStr">
        <is>
          <t>Pharmaceuticals</t>
        </is>
      </c>
      <c r="E638" s="6" t="inlineStr">
        <is>
          <t>NYSE</t>
        </is>
      </c>
      <c r="F638" s="1" t="n">
        <v>0.3873</v>
      </c>
      <c r="G638" s="8">
        <f>F638*[636]Main!$C$4</f>
        <v/>
      </c>
      <c r="H638" s="10">
        <f>G638-[636]Main!$C$7+[636]Main!$C$8</f>
        <v/>
      </c>
      <c r="J638" s="1">
        <f>IF(ISNUMBER([636]Main!$C$11),[636]Main!$C$11,"")</f>
        <v/>
      </c>
      <c r="K638" s="57">
        <f>IFERROR(J638/F638-1,"")</f>
        <v/>
      </c>
      <c r="L638" s="12">
        <f>[636]Main!$C$15&amp;" ("&amp;[636]Main!$C$14&amp;")"</f>
        <v/>
      </c>
      <c r="M638" s="58" t="n"/>
      <c r="N638" s="17" t="n"/>
    </row>
    <row r="639">
      <c r="B639" s="3" t="inlineStr">
        <is>
          <t>CVKD</t>
        </is>
      </c>
      <c r="C639" t="inlineStr">
        <is>
          <t>Cadrenal Therapeutics Inc</t>
        </is>
      </c>
      <c r="D639" t="inlineStr">
        <is>
          <t>Pharmaceuticals</t>
        </is>
      </c>
      <c r="E639" s="6" t="inlineStr">
        <is>
          <t>NASDAQ</t>
        </is>
      </c>
      <c r="F639" s="1" t="n">
        <v>1.04</v>
      </c>
      <c r="G639" s="8">
        <f>F639*[637]Main!$C$4</f>
        <v/>
      </c>
      <c r="H639" s="10">
        <f>G639-[637]Main!$C$7+[637]Main!$C$8</f>
        <v/>
      </c>
      <c r="J639" s="1">
        <f>IF(ISNUMBER([637]Main!$C$11),[637]Main!$C$11,"")</f>
        <v/>
      </c>
      <c r="K639" s="57">
        <f>IFERROR(J639/F639-1,"")</f>
        <v/>
      </c>
      <c r="L639" s="12">
        <f>[637]Main!$C$15&amp;" ("&amp;[637]Main!$C$14&amp;")"</f>
        <v/>
      </c>
      <c r="M639" s="58" t="n">
        <v>46335</v>
      </c>
      <c r="N639" s="17" t="inlineStr">
        <is>
          <t>Earnings Nov 9 (est.)</t>
        </is>
      </c>
    </row>
    <row r="640">
      <c r="B640" s="3" t="inlineStr">
        <is>
          <t>PMCB</t>
        </is>
      </c>
      <c r="C640" t="inlineStr">
        <is>
          <t>PharmaCyte Biotech Inc</t>
        </is>
      </c>
      <c r="D640" t="inlineStr">
        <is>
          <t>Biotechnology</t>
        </is>
      </c>
      <c r="E640" s="6" t="inlineStr">
        <is>
          <t>NASDAQ</t>
        </is>
      </c>
      <c r="F640" s="1" t="n">
        <v>0.3422</v>
      </c>
      <c r="G640" s="8">
        <f>F640*[638]Main!$C$4</f>
        <v/>
      </c>
      <c r="H640" s="10">
        <f>G640-[638]Main!$C$7+[638]Main!$C$8</f>
        <v/>
      </c>
      <c r="J640" s="1">
        <f>IF(ISNUMBER([638]Main!$C$11),[638]Main!$C$11,"")</f>
        <v/>
      </c>
      <c r="K640" s="57">
        <f>IFERROR(J640/F640-1,"")</f>
        <v/>
      </c>
      <c r="L640" s="12">
        <f>[638]Main!$C$15&amp;" ("&amp;[638]Main!$C$14&amp;")"</f>
        <v/>
      </c>
      <c r="M640" s="58" t="n"/>
      <c r="N640" s="17" t="n"/>
    </row>
    <row r="641">
      <c r="B641" s="3" t="inlineStr">
        <is>
          <t>KALA</t>
        </is>
      </c>
      <c r="C641" t="inlineStr">
        <is>
          <t>KALA BIO Inc</t>
        </is>
      </c>
      <c r="D641" t="inlineStr">
        <is>
          <t>Biotechnology</t>
        </is>
      </c>
      <c r="E641" s="6" t="inlineStr">
        <is>
          <t>NASDAQ</t>
        </is>
      </c>
      <c r="F641" s="1" t="n">
        <v>0.1897</v>
      </c>
      <c r="G641" s="8">
        <f>F641*[639]Main!$C$4</f>
        <v/>
      </c>
      <c r="H641" s="10">
        <f>G641-[639]Main!$C$7+[639]Main!$C$8</f>
        <v/>
      </c>
      <c r="J641" s="1">
        <f>IF(ISNUMBER([639]Main!$C$11),[639]Main!$C$11,"")</f>
        <v/>
      </c>
      <c r="K641" s="57">
        <f>IFERROR(J641/F641-1,"")</f>
        <v/>
      </c>
      <c r="L641" s="12">
        <f>[639]Main!$C$15&amp;" ("&amp;[639]Main!$C$14&amp;")"</f>
        <v/>
      </c>
      <c r="M641" s="58" t="n">
        <v>46344</v>
      </c>
      <c r="N641" s="17" t="inlineStr">
        <is>
          <t>Earnings Nov 18 (est.)</t>
        </is>
      </c>
    </row>
    <row r="642">
      <c r="B642" s="3" t="inlineStr">
        <is>
          <t>ERNA</t>
        </is>
      </c>
      <c r="C642" t="inlineStr">
        <is>
          <t>Ernexa Therapeutics Inc</t>
        </is>
      </c>
      <c r="D642" t="inlineStr">
        <is>
          <t>Biotechnology</t>
        </is>
      </c>
      <c r="E642" s="6" t="inlineStr">
        <is>
          <t>NASDAQ</t>
        </is>
      </c>
      <c r="F642" s="1" t="n">
        <v>2.24</v>
      </c>
      <c r="G642" s="8">
        <f>F642*[640]Main!$C$4</f>
        <v/>
      </c>
      <c r="H642" s="10">
        <f>G642-[640]Main!$C$7+[640]Main!$C$8</f>
        <v/>
      </c>
      <c r="J642" s="1">
        <f>IF(ISNUMBER([640]Main!$C$11),[640]Main!$C$11,"")</f>
        <v/>
      </c>
      <c r="K642" s="57">
        <f>IFERROR(J642/F642-1,"")</f>
        <v/>
      </c>
      <c r="L642" s="12">
        <f>[640]Main!$C$15&amp;" ("&amp;[640]Main!$C$14&amp;")"</f>
        <v/>
      </c>
      <c r="M642" s="58" t="n">
        <v>46332</v>
      </c>
      <c r="N642" s="17" t="inlineStr">
        <is>
          <t>Earnings Nov 6 (est.)</t>
        </is>
      </c>
    </row>
    <row r="643">
      <c r="B643" s="3" t="inlineStr">
        <is>
          <t>SNES</t>
        </is>
      </c>
      <c r="C643" t="inlineStr">
        <is>
          <t>Senestech Inc</t>
        </is>
      </c>
      <c r="D643" t="inlineStr">
        <is>
          <t>Pharmaceuticals</t>
        </is>
      </c>
      <c r="E643" s="6" t="inlineStr">
        <is>
          <t>NASDAQ</t>
        </is>
      </c>
      <c r="F643" s="1" t="n">
        <v>0.6893</v>
      </c>
      <c r="G643" s="8">
        <f>F643*[641]Main!$C$4</f>
        <v/>
      </c>
      <c r="H643" s="10">
        <f>G643-[641]Main!$C$7+[641]Main!$C$8</f>
        <v/>
      </c>
      <c r="J643" s="1">
        <f>IF(ISNUMBER([641]Main!$C$11),[641]Main!$C$11,"")</f>
        <v/>
      </c>
      <c r="K643" s="57">
        <f>IFERROR(J643/F643-1,"")</f>
        <v/>
      </c>
      <c r="L643" s="12">
        <f>[641]Main!$C$15&amp;" ("&amp;[641]Main!$C$14&amp;")"</f>
        <v/>
      </c>
      <c r="M643" s="58" t="n">
        <v>46335</v>
      </c>
      <c r="N643" s="17" t="inlineStr">
        <is>
          <t>Earnings Nov 9 (est.)</t>
        </is>
      </c>
    </row>
    <row r="644">
      <c r="B644" s="3" t="inlineStr">
        <is>
          <t>DRMA</t>
        </is>
      </c>
      <c r="C644" t="inlineStr">
        <is>
          <t>Dermata Therapeutics Inc</t>
        </is>
      </c>
      <c r="D644" t="inlineStr">
        <is>
          <t>Biotechnology</t>
        </is>
      </c>
      <c r="E644" s="6" t="inlineStr">
        <is>
          <t>NASDAQ</t>
        </is>
      </c>
      <c r="F644" s="1" t="n">
        <v>0.8699</v>
      </c>
      <c r="G644" s="8">
        <f>F644*[642]Main!$C$4</f>
        <v/>
      </c>
      <c r="H644" s="10">
        <f>G644-[642]Main!$C$7+[642]Main!$C$8</f>
        <v/>
      </c>
      <c r="J644" s="1">
        <f>IF(ISNUMBER([642]Main!$C$11),[642]Main!$C$11,"")</f>
        <v/>
      </c>
      <c r="K644" s="57">
        <f>IFERROR(J644/F644-1,"")</f>
        <v/>
      </c>
      <c r="L644" s="12">
        <f>[642]Main!$C$15&amp;" ("&amp;[642]Main!$C$14&amp;")"</f>
        <v/>
      </c>
      <c r="M644" s="58" t="n">
        <v>46339</v>
      </c>
      <c r="N644" s="17" t="inlineStr">
        <is>
          <t>Earnings Nov 13 (est.)</t>
        </is>
      </c>
    </row>
    <row r="645">
      <c r="B645" s="3" t="inlineStr">
        <is>
          <t>EVGN</t>
        </is>
      </c>
      <c r="C645" t="inlineStr">
        <is>
          <t>Evogene Ltd</t>
        </is>
      </c>
      <c r="D645" t="inlineStr">
        <is>
          <t>Biotechnology</t>
        </is>
      </c>
      <c r="E645" s="6" t="inlineStr">
        <is>
          <t>NASDAQ</t>
        </is>
      </c>
      <c r="F645" s="1" t="n">
        <v>0.3716</v>
      </c>
      <c r="G645" s="8">
        <f>F645*[643]Main!$C$4</f>
        <v/>
      </c>
      <c r="H645" s="10">
        <f>G645-[643]Main!$C$7+[643]Main!$C$8</f>
        <v/>
      </c>
      <c r="J645" s="1">
        <f>IF(ISNUMBER([643]Main!$C$11),[643]Main!$C$11,"")</f>
        <v/>
      </c>
      <c r="K645" s="57">
        <f>IFERROR(J645/F645-1,"")</f>
        <v/>
      </c>
      <c r="L645" s="12">
        <f>[643]Main!$C$15&amp;" ("&amp;[643]Main!$C$14&amp;")"</f>
        <v/>
      </c>
      <c r="M645" s="58" t="n">
        <v>46345</v>
      </c>
      <c r="N645" s="17" t="inlineStr">
        <is>
          <t>Earnings Nov 19 (est.)</t>
        </is>
      </c>
    </row>
    <row r="646">
      <c r="B646" s="3" t="inlineStr">
        <is>
          <t>APVO</t>
        </is>
      </c>
      <c r="C646" t="inlineStr">
        <is>
          <t>Aptevo Therapeutics Inc</t>
        </is>
      </c>
      <c r="D646" t="inlineStr">
        <is>
          <t>Biotechnology</t>
        </is>
      </c>
      <c r="E646" s="6" t="inlineStr">
        <is>
          <t>NASDAQ</t>
        </is>
      </c>
      <c r="F646" s="1" t="n">
        <v>1.615</v>
      </c>
      <c r="G646" s="8">
        <f>F646*[644]Main!$C$4</f>
        <v/>
      </c>
      <c r="H646" s="10">
        <f>G646-[644]Main!$C$7+[644]Main!$C$8</f>
        <v/>
      </c>
      <c r="J646" s="1">
        <f>IF(ISNUMBER([644]Main!$C$11),[644]Main!$C$11,"")</f>
        <v/>
      </c>
      <c r="K646" s="57">
        <f>IFERROR(J646/F646-1,"")</f>
        <v/>
      </c>
      <c r="L646" s="12">
        <f>[644]Main!$C$15&amp;" ("&amp;[644]Main!$C$14&amp;")"</f>
        <v/>
      </c>
      <c r="M646" s="58" t="n">
        <v>46331</v>
      </c>
      <c r="N646" s="17" t="inlineStr">
        <is>
          <t>Earnings Nov 5 (est.) · Readout ~2027-10: Leukemia, Phase 1</t>
        </is>
      </c>
    </row>
    <row r="647">
      <c r="B647" s="3" t="inlineStr">
        <is>
          <t>SXTP</t>
        </is>
      </c>
      <c r="C647" t="inlineStr">
        <is>
          <t>60 Degrees Pharmaceuticals Inc</t>
        </is>
      </c>
      <c r="D647" t="inlineStr">
        <is>
          <t>Pharmaceuticals</t>
        </is>
      </c>
      <c r="E647" s="6" t="inlineStr">
        <is>
          <t>NASDAQ</t>
        </is>
      </c>
      <c r="F647" s="1" t="n">
        <v>0.9222</v>
      </c>
      <c r="G647" s="8">
        <f>F647*[645]Main!$C$4</f>
        <v/>
      </c>
      <c r="H647" s="10">
        <f>G647-[645]Main!$C$7+[645]Main!$C$8</f>
        <v/>
      </c>
      <c r="J647" s="1">
        <f>IF(ISNUMBER([645]Main!$C$11),[645]Main!$C$11,"")</f>
        <v/>
      </c>
      <c r="K647" s="57">
        <f>IFERROR(J647/F647-1,"")</f>
        <v/>
      </c>
      <c r="L647" s="12">
        <f>[645]Main!$C$15&amp;" ("&amp;[645]Main!$C$14&amp;")"</f>
        <v/>
      </c>
      <c r="M647" s="58" t="n">
        <v>46338</v>
      </c>
      <c r="N647" s="17" t="inlineStr">
        <is>
          <t>Earnings Nov 12 (est.)</t>
        </is>
      </c>
    </row>
    <row r="648">
      <c r="B648" s="3" t="inlineStr">
        <is>
          <t>GRI</t>
        </is>
      </c>
      <c r="C648" t="inlineStr">
        <is>
          <t>GRI Bio Inc</t>
        </is>
      </c>
      <c r="D648" t="inlineStr">
        <is>
          <t>Biotechnology</t>
        </is>
      </c>
      <c r="E648" s="6" t="inlineStr">
        <is>
          <t>NASDAQ</t>
        </is>
      </c>
      <c r="F648" s="1" t="n">
        <v>1.46</v>
      </c>
      <c r="G648" s="8">
        <f>F648*[646]Main!$C$4</f>
        <v/>
      </c>
      <c r="H648" s="10">
        <f>G648-[646]Main!$C$7+[646]Main!$C$8</f>
        <v/>
      </c>
      <c r="J648" s="1">
        <f>IF(ISNUMBER([646]Main!$C$11),[646]Main!$C$11,"")</f>
        <v/>
      </c>
      <c r="K648" s="57">
        <f>IFERROR(J648/F648-1,"")</f>
        <v/>
      </c>
      <c r="L648" s="12">
        <f>[646]Main!$C$15&amp;" ("&amp;[646]Main!$C$14&amp;")"</f>
        <v/>
      </c>
      <c r="M648" s="58" t="n">
        <v>46339</v>
      </c>
      <c r="N648" s="17" t="inlineStr">
        <is>
          <t>Earnings Nov 13 (est.)</t>
        </is>
      </c>
    </row>
    <row r="649">
      <c r="B649" s="3" t="inlineStr">
        <is>
          <t>EOCN</t>
        </is>
      </c>
      <c r="C649" t="inlineStr">
        <is>
          <t>Eocene Ltd</t>
        </is>
      </c>
      <c r="D649" t="inlineStr">
        <is>
          <t>Biotechnology</t>
        </is>
      </c>
      <c r="E649" s="6" t="inlineStr">
        <is>
          <t>NASDAQ</t>
        </is>
      </c>
      <c r="F649" s="1" t="n">
        <v>3.07</v>
      </c>
      <c r="G649" s="8">
        <f>F649*[647]Main!$C$4</f>
        <v/>
      </c>
      <c r="H649" s="10">
        <f>G649-[647]Main!$C$7+[647]Main!$C$8</f>
        <v/>
      </c>
      <c r="J649" s="1">
        <f>IF(ISNUMBER([647]Main!$C$11),[647]Main!$C$11,"")</f>
        <v/>
      </c>
      <c r="K649" s="57">
        <f>IFERROR(J649/F649-1,"")</f>
        <v/>
      </c>
      <c r="L649" s="12">
        <f>[647]Main!$C$15&amp;" ("&amp;[647]Main!$C$14&amp;")"</f>
        <v/>
      </c>
      <c r="M649" s="58" t="n">
        <v>46351</v>
      </c>
      <c r="N649" s="17" t="inlineStr">
        <is>
          <t>Earnings Nov 25 (est.)</t>
        </is>
      </c>
    </row>
    <row r="650">
      <c r="B650" s="3" t="inlineStr">
        <is>
          <t>MBIO</t>
        </is>
      </c>
      <c r="C650" t="inlineStr">
        <is>
          <t>Mustang Bio Inc</t>
        </is>
      </c>
      <c r="D650" t="inlineStr">
        <is>
          <t>Biotechnology</t>
        </is>
      </c>
      <c r="E650" s="6" t="inlineStr">
        <is>
          <t>NASDAQ</t>
        </is>
      </c>
      <c r="F650" s="1" t="n">
        <v>0.3795</v>
      </c>
      <c r="G650" s="8">
        <f>F650*[648]Main!$C$4</f>
        <v/>
      </c>
      <c r="H650" s="10">
        <f>G650-[648]Main!$C$7+[648]Main!$C$8</f>
        <v/>
      </c>
      <c r="J650" s="1">
        <f>IF(ISNUMBER([648]Main!$C$11),[648]Main!$C$11,"")</f>
        <v/>
      </c>
      <c r="K650" s="57">
        <f>IFERROR(J650/F650-1,"")</f>
        <v/>
      </c>
      <c r="L650" s="12">
        <f>[648]Main!$C$15&amp;" ("&amp;[648]Main!$C$14&amp;")"</f>
        <v/>
      </c>
      <c r="M650" s="58" t="n">
        <v>46332</v>
      </c>
      <c r="N650" s="17" t="inlineStr">
        <is>
          <t>Earnings Nov 6 (est.)</t>
        </is>
      </c>
    </row>
    <row r="651">
      <c r="B651" s="3" t="inlineStr">
        <is>
          <t>SCNI</t>
        </is>
      </c>
      <c r="C651" t="inlineStr">
        <is>
          <t>Scinai Immunotherapeutics Ltd</t>
        </is>
      </c>
      <c r="D651" t="inlineStr">
        <is>
          <t>Biotechnology</t>
        </is>
      </c>
      <c r="E651" s="6" t="inlineStr">
        <is>
          <t>NASDAQ</t>
        </is>
      </c>
      <c r="F651" s="1" t="n">
        <v>0.6813</v>
      </c>
      <c r="G651" s="8">
        <f>F651*[649]Main!$C$4</f>
        <v/>
      </c>
      <c r="H651" s="10">
        <f>G651-[649]Main!$C$7+[649]Main!$C$8</f>
        <v/>
      </c>
      <c r="J651" s="1">
        <f>IF(ISNUMBER([649]Main!$C$11),[649]Main!$C$11,"")</f>
        <v/>
      </c>
      <c r="K651" s="57">
        <f>IFERROR(J651/F651-1,"")</f>
        <v/>
      </c>
      <c r="L651" s="12">
        <f>[649]Main!$C$15&amp;" ("&amp;[649]Main!$C$14&amp;")"</f>
        <v/>
      </c>
      <c r="M651" s="58" t="n">
        <v>46349</v>
      </c>
      <c r="N651" s="17" t="inlineStr">
        <is>
          <t>Earnings Nov 23 (est.)</t>
        </is>
      </c>
    </row>
    <row r="652">
      <c r="B652" s="3" t="inlineStr">
        <is>
          <t>RDHL</t>
        </is>
      </c>
      <c r="C652" t="inlineStr">
        <is>
          <t>Redhill Biopharma Ltd</t>
        </is>
      </c>
      <c r="D652" t="inlineStr">
        <is>
          <t>Pharmaceuticals</t>
        </is>
      </c>
      <c r="E652" s="6" t="inlineStr">
        <is>
          <t>NASDAQ</t>
        </is>
      </c>
      <c r="F652" s="1" t="n">
        <v>0.5073</v>
      </c>
      <c r="G652" s="8">
        <f>F652*[650]Main!$C$4</f>
        <v/>
      </c>
      <c r="H652" s="10">
        <f>G652-[650]Main!$C$7+[650]Main!$C$8</f>
        <v/>
      </c>
      <c r="J652" s="1">
        <f>IF(ISNUMBER([650]Main!$C$11),[650]Main!$C$11,"")</f>
        <v/>
      </c>
      <c r="K652" s="57">
        <f>IFERROR(J652/F652-1,"")</f>
        <v/>
      </c>
      <c r="L652" s="12">
        <f>[650]Main!$C$15&amp;" ("&amp;[650]Main!$C$14&amp;")"</f>
        <v/>
      </c>
      <c r="M652" s="58" t="n"/>
      <c r="N652" s="17" t="n"/>
    </row>
    <row r="653">
      <c r="B653" s="3" t="inlineStr">
        <is>
          <t>CANF</t>
        </is>
      </c>
      <c r="C653" t="inlineStr">
        <is>
          <t>Can Fite Biopharma Ltd</t>
        </is>
      </c>
      <c r="D653" t="inlineStr">
        <is>
          <t>Biotechnology</t>
        </is>
      </c>
      <c r="E653" s="6" t="inlineStr">
        <is>
          <t>NYSE</t>
        </is>
      </c>
      <c r="F653" s="1" t="n">
        <v>1.89</v>
      </c>
      <c r="G653" s="8">
        <f>F653*[651]Main!$C$4</f>
        <v/>
      </c>
      <c r="H653" s="10">
        <f>G653-[651]Main!$C$7+[651]Main!$C$8</f>
        <v/>
      </c>
      <c r="J653" s="1">
        <f>IF(ISNUMBER([651]Main!$C$11),[651]Main!$C$11,"")</f>
        <v/>
      </c>
      <c r="K653" s="57">
        <f>IFERROR(J653/F653-1,"")</f>
        <v/>
      </c>
      <c r="L653" s="12">
        <f>[651]Main!$C$15&amp;" ("&amp;[651]Main!$C$14&amp;")"</f>
        <v/>
      </c>
      <c r="M653" s="58" t="n"/>
      <c r="N653" s="17" t="n"/>
    </row>
    <row r="654">
      <c r="B654" s="3" t="inlineStr">
        <is>
          <t>AKAN</t>
        </is>
      </c>
      <c r="C654" t="inlineStr">
        <is>
          <t>Akanda Corp</t>
        </is>
      </c>
      <c r="D654" t="inlineStr">
        <is>
          <t>Pharmaceuticals</t>
        </is>
      </c>
      <c r="E654" s="6" t="inlineStr">
        <is>
          <t>NASDAQ</t>
        </is>
      </c>
      <c r="F654" s="1" t="n">
        <v>1.08</v>
      </c>
      <c r="G654" s="8">
        <f>F654*[652]Main!$C$4</f>
        <v/>
      </c>
      <c r="H654" s="10">
        <f>G654-[652]Main!$C$7+[652]Main!$C$8</f>
        <v/>
      </c>
      <c r="J654" s="1">
        <f>IF(ISNUMBER([652]Main!$C$11),[652]Main!$C$11,"")</f>
        <v/>
      </c>
      <c r="K654" s="57">
        <f>IFERROR(J654/F654-1,"")</f>
        <v/>
      </c>
      <c r="L654" s="12">
        <f>[652]Main!$C$15&amp;" ("&amp;[652]Main!$C$14&amp;")"</f>
        <v/>
      </c>
      <c r="M654" s="58" t="n"/>
      <c r="N654" s="17" t="n"/>
    </row>
    <row r="655">
      <c r="B655" s="3" t="inlineStr">
        <is>
          <t>VIVS</t>
        </is>
      </c>
      <c r="C655" t="inlineStr">
        <is>
          <t>VivoSim Labs Inc</t>
        </is>
      </c>
      <c r="D655" t="inlineStr">
        <is>
          <t>Biotechnology</t>
        </is>
      </c>
      <c r="E655" s="6" t="inlineStr">
        <is>
          <t>NASDAQ</t>
        </is>
      </c>
      <c r="F655" s="1" t="n">
        <v>0.1713</v>
      </c>
      <c r="G655" s="8">
        <f>F655*[653]Main!$C$4</f>
        <v/>
      </c>
      <c r="H655" s="10">
        <f>G655-[653]Main!$C$7+[653]Main!$C$8</f>
        <v/>
      </c>
      <c r="J655" s="1">
        <f>IF(ISNUMBER([653]Main!$C$11),[653]Main!$C$11,"")</f>
        <v/>
      </c>
      <c r="K655" s="57">
        <f>IFERROR(J655/F655-1,"")</f>
        <v/>
      </c>
      <c r="L655" s="12">
        <f>[653]Main!$C$15&amp;" ("&amp;[653]Main!$C$14&amp;")"</f>
        <v/>
      </c>
      <c r="M655" s="58" t="n">
        <v>46331</v>
      </c>
      <c r="N655" s="17" t="inlineStr">
        <is>
          <t>Earnings Nov 5 (est.)</t>
        </is>
      </c>
    </row>
    <row r="656">
      <c r="B656" s="3" t="inlineStr">
        <is>
          <t>HCWB</t>
        </is>
      </c>
      <c r="C656" t="inlineStr">
        <is>
          <t>HCW Biologics Inc</t>
        </is>
      </c>
      <c r="D656" t="inlineStr">
        <is>
          <t>Biotechnology</t>
        </is>
      </c>
      <c r="E656" s="6" t="inlineStr">
        <is>
          <t>NASDAQ</t>
        </is>
      </c>
      <c r="F656" s="1" t="n">
        <v>1.23</v>
      </c>
      <c r="G656" s="8">
        <f>F656*[654]Main!$C$4</f>
        <v/>
      </c>
      <c r="H656" s="10">
        <f>G656-[654]Main!$C$7+[654]Main!$C$8</f>
        <v/>
      </c>
      <c r="J656" s="1">
        <f>IF(ISNUMBER([654]Main!$C$11),[654]Main!$C$11,"")</f>
        <v/>
      </c>
      <c r="K656" s="57">
        <f>IFERROR(J656/F656-1,"")</f>
        <v/>
      </c>
      <c r="L656" s="12">
        <f>[654]Main!$C$15&amp;" ("&amp;[654]Main!$C$14&amp;")"</f>
        <v/>
      </c>
      <c r="M656" s="58" t="n">
        <v>46339</v>
      </c>
      <c r="N656" s="17" t="inlineStr">
        <is>
          <t>Earnings Nov 13 (est.) · Readout ~2027-07-16: Hidradenitis / alopecia / vitiligo, Phase 1</t>
        </is>
      </c>
    </row>
    <row r="657">
      <c r="B657" s="3" t="inlineStr">
        <is>
          <t>CLDI</t>
        </is>
      </c>
      <c r="C657" t="inlineStr">
        <is>
          <t>Calidi Biotherapeutics Inc</t>
        </is>
      </c>
      <c r="D657" t="inlineStr">
        <is>
          <t>Biotechnology</t>
        </is>
      </c>
      <c r="E657" s="6" t="inlineStr">
        <is>
          <t>NYSE</t>
        </is>
      </c>
      <c r="F657" s="1" t="n">
        <v>0.77</v>
      </c>
      <c r="G657" s="8">
        <f>F657*[655]Main!$C$4</f>
        <v/>
      </c>
      <c r="H657" s="10">
        <f>G657-[655]Main!$C$7+[655]Main!$C$8</f>
        <v/>
      </c>
      <c r="J657" s="1">
        <f>IF(ISNUMBER([655]Main!$C$11),[655]Main!$C$11,"")</f>
        <v/>
      </c>
      <c r="K657" s="57">
        <f>IFERROR(J657/F657-1,"")</f>
        <v/>
      </c>
      <c r="L657" s="12">
        <f>[655]Main!$C$15&amp;" ("&amp;[655]Main!$C$14&amp;")"</f>
        <v/>
      </c>
      <c r="M657" s="58" t="n">
        <v>46338</v>
      </c>
      <c r="N657" s="17" t="inlineStr">
        <is>
          <t>Earnings Nov 12 (est.)</t>
        </is>
      </c>
    </row>
    <row r="658">
      <c r="B658" s="3" t="inlineStr">
        <is>
          <t>JUNS</t>
        </is>
      </c>
      <c r="C658" t="inlineStr">
        <is>
          <t>Jupiter Neurosciences Inc</t>
        </is>
      </c>
      <c r="D658" t="inlineStr">
        <is>
          <t>Pharmaceuticals</t>
        </is>
      </c>
      <c r="E658" s="6" t="inlineStr">
        <is>
          <t>NASDAQ</t>
        </is>
      </c>
      <c r="F658" s="1" t="n">
        <v>2.8</v>
      </c>
      <c r="G658" s="8">
        <f>F658*[656]Main!$C$4</f>
        <v/>
      </c>
      <c r="H658" s="10">
        <f>G658-[656]Main!$C$7+[656]Main!$C$8</f>
        <v/>
      </c>
      <c r="J658" s="1">
        <f>IF(ISNUMBER([656]Main!$C$11),[656]Main!$C$11,"")</f>
        <v/>
      </c>
      <c r="K658" s="57">
        <f>IFERROR(J658/F658-1,"")</f>
        <v/>
      </c>
      <c r="L658" s="12">
        <f>[656]Main!$C$15&amp;" ("&amp;[656]Main!$C$14&amp;")"</f>
        <v/>
      </c>
      <c r="M658" s="58" t="n">
        <v>46339</v>
      </c>
      <c r="N658" s="17" t="inlineStr">
        <is>
          <t>Earnings Nov 13 (est.)</t>
        </is>
      </c>
    </row>
    <row r="659">
      <c r="B659" s="3" t="inlineStr">
        <is>
          <t>PPCB</t>
        </is>
      </c>
      <c r="C659" t="inlineStr">
        <is>
          <t>Propanc Biopharma Inc</t>
        </is>
      </c>
      <c r="D659" t="inlineStr">
        <is>
          <t>Biotechnology</t>
        </is>
      </c>
      <c r="E659" s="6" t="inlineStr">
        <is>
          <t>NASDAQ</t>
        </is>
      </c>
      <c r="F659" s="1" t="n">
        <v>0.321</v>
      </c>
      <c r="G659" s="8">
        <f>F659*[657]Main!$C$4</f>
        <v/>
      </c>
      <c r="H659" s="10">
        <f>G659-[657]Main!$C$7+[657]Main!$C$8</f>
        <v/>
      </c>
      <c r="J659" s="1">
        <f>IF(ISNUMBER([657]Main!$C$11),[657]Main!$C$11,"")</f>
        <v/>
      </c>
      <c r="K659" s="57">
        <f>IFERROR(J659/F659-1,"")</f>
        <v/>
      </c>
      <c r="L659" s="12">
        <f>[657]Main!$C$15&amp;" ("&amp;[657]Main!$C$14&amp;")"</f>
        <v/>
      </c>
      <c r="M659" s="58" t="n">
        <v>46339</v>
      </c>
      <c r="N659" s="17" t="inlineStr">
        <is>
          <t>Earnings Nov 13 (est.)</t>
        </is>
      </c>
    </row>
    <row r="660">
      <c r="B660" s="3" t="inlineStr">
        <is>
          <t>OGEN</t>
        </is>
      </c>
      <c r="C660" t="inlineStr">
        <is>
          <t>Oragenics Inc</t>
        </is>
      </c>
      <c r="D660" t="inlineStr">
        <is>
          <t>Biotechnology</t>
        </is>
      </c>
      <c r="E660" s="6" t="inlineStr">
        <is>
          <t>NYSE</t>
        </is>
      </c>
      <c r="F660" s="1" t="n">
        <v>0.434</v>
      </c>
      <c r="G660" s="8">
        <f>F660*[658]Main!$C$4</f>
        <v/>
      </c>
      <c r="H660" s="10">
        <f>G660-[658]Main!$C$7+[658]Main!$C$8</f>
        <v/>
      </c>
      <c r="J660" s="1">
        <f>IF(ISNUMBER([658]Main!$C$11),[658]Main!$C$11,"")</f>
        <v/>
      </c>
      <c r="K660" s="57">
        <f>IFERROR(J660/F660-1,"")</f>
        <v/>
      </c>
      <c r="L660" s="12">
        <f>[658]Main!$C$15&amp;" ("&amp;[658]Main!$C$14&amp;")"</f>
        <v/>
      </c>
      <c r="M660" s="58" t="n">
        <v>46332</v>
      </c>
      <c r="N660" s="17" t="inlineStr">
        <is>
          <t>Earnings Nov 6 (est.)</t>
        </is>
      </c>
    </row>
    <row r="661">
      <c r="B661" s="3" t="inlineStr">
        <is>
          <t>REVB</t>
        </is>
      </c>
      <c r="C661" t="inlineStr">
        <is>
          <t>Revelation Biosciences Inc</t>
        </is>
      </c>
      <c r="D661" t="inlineStr">
        <is>
          <t>Biotechnology</t>
        </is>
      </c>
      <c r="E661" s="6" t="inlineStr">
        <is>
          <t>NASDAQ</t>
        </is>
      </c>
      <c r="F661" s="1" t="n">
        <v>3.75</v>
      </c>
      <c r="G661" s="8">
        <f>F661*[659]Main!$C$4</f>
        <v/>
      </c>
      <c r="H661" s="10">
        <f>G661-[659]Main!$C$7+[659]Main!$C$8</f>
        <v/>
      </c>
      <c r="J661" s="1">
        <f>IF(ISNUMBER([659]Main!$C$11),[659]Main!$C$11,"")</f>
        <v/>
      </c>
      <c r="K661" s="57">
        <f>IFERROR(J661/F661-1,"")</f>
        <v/>
      </c>
      <c r="L661" s="12">
        <f>[659]Main!$C$15&amp;" ("&amp;[659]Main!$C$14&amp;")"</f>
        <v/>
      </c>
      <c r="M661" s="58" t="n"/>
      <c r="N661" s="17" t="inlineStr">
        <is>
          <t>1-for-7 reverse split Oct 20</t>
        </is>
      </c>
    </row>
    <row r="662">
      <c r="B662" s="3" t="inlineStr">
        <is>
          <t>ONCO</t>
        </is>
      </c>
      <c r="C662" t="inlineStr">
        <is>
          <t>Onconetix Inc</t>
        </is>
      </c>
      <c r="D662" t="inlineStr">
        <is>
          <t>Biotechnology</t>
        </is>
      </c>
      <c r="E662" s="6" t="inlineStr">
        <is>
          <t>NASDAQ</t>
        </is>
      </c>
      <c r="F662" s="1" t="n">
        <v>0.4064</v>
      </c>
      <c r="G662" s="8">
        <f>F662*[660]Main!$C$4</f>
        <v/>
      </c>
      <c r="H662" s="10">
        <f>G662-[660]Main!$C$7+[660]Main!$C$8</f>
        <v/>
      </c>
      <c r="J662" s="1">
        <f>IF(ISNUMBER([660]Main!$C$11),[660]Main!$C$11,"")</f>
        <v/>
      </c>
      <c r="K662" s="57">
        <f>IFERROR(J662/F662-1,"")</f>
        <v/>
      </c>
      <c r="L662" s="12">
        <f>[660]Main!$C$15&amp;" ("&amp;[660]Main!$C$14&amp;")"</f>
        <v/>
      </c>
      <c r="M662" s="58" t="n">
        <v>46338</v>
      </c>
      <c r="N662" s="17" t="inlineStr">
        <is>
          <t>Earnings Nov 12 (est.)</t>
        </is>
      </c>
    </row>
    <row r="663">
      <c r="B663" s="3" t="inlineStr">
        <is>
          <t>SILO</t>
        </is>
      </c>
      <c r="C663" t="inlineStr">
        <is>
          <t>Silo Pharma Inc</t>
        </is>
      </c>
      <c r="D663" t="inlineStr">
        <is>
          <t>Biotechnology</t>
        </is>
      </c>
      <c r="E663" s="6" t="inlineStr">
        <is>
          <t>NASDAQ</t>
        </is>
      </c>
      <c r="F663" s="1" t="n">
        <v>1.2</v>
      </c>
      <c r="G663" s="8">
        <f>F663*[661]Main!$C$4</f>
        <v/>
      </c>
      <c r="H663" s="10">
        <f>G663-[661]Main!$C$7+[661]Main!$C$8</f>
        <v/>
      </c>
      <c r="J663" s="1">
        <f>IF(ISNUMBER([661]Main!$C$11),[661]Main!$C$11,"")</f>
        <v/>
      </c>
      <c r="K663" s="57">
        <f>IFERROR(J663/F663-1,"")</f>
        <v/>
      </c>
      <c r="L663" s="12">
        <f>[661]Main!$C$15&amp;" ("&amp;[661]Main!$C$14&amp;")"</f>
        <v/>
      </c>
      <c r="M663" s="58" t="n">
        <v>46338</v>
      </c>
      <c r="N663" s="17" t="inlineStr">
        <is>
          <t>Earnings Nov 12 (est.)</t>
        </is>
      </c>
    </row>
    <row r="664">
      <c r="B664" s="3" t="inlineStr">
        <is>
          <t>GOVX</t>
        </is>
      </c>
      <c r="C664" t="inlineStr">
        <is>
          <t>GeoVax Labs Inc</t>
        </is>
      </c>
      <c r="D664" t="inlineStr">
        <is>
          <t>Biotechnology</t>
        </is>
      </c>
      <c r="E664" s="6" t="inlineStr">
        <is>
          <t>NASDAQ</t>
        </is>
      </c>
      <c r="F664" s="1" t="n">
        <v>0.2271</v>
      </c>
      <c r="G664" s="8">
        <f>F664*[662]Main!$C$4</f>
        <v/>
      </c>
      <c r="H664" s="10">
        <f>G664-[662]Main!$C$7+[662]Main!$C$8</f>
        <v/>
      </c>
      <c r="J664" s="1">
        <f>IF(ISNUMBER([662]Main!$C$11),[662]Main!$C$11,"")</f>
        <v/>
      </c>
      <c r="K664" s="57">
        <f>IFERROR(J664/F664-1,"")</f>
        <v/>
      </c>
      <c r="L664" s="12">
        <f>[662]Main!$C$15&amp;" ("&amp;[662]Main!$C$14&amp;")"</f>
        <v/>
      </c>
      <c r="M664" s="58" t="n">
        <v>46338</v>
      </c>
      <c r="N664" s="17" t="inlineStr">
        <is>
          <t>Earnings Nov 12 (est.)</t>
        </is>
      </c>
    </row>
    <row r="665">
      <c r="B665" s="3" t="inlineStr">
        <is>
          <t>GNPX</t>
        </is>
      </c>
      <c r="C665" t="inlineStr">
        <is>
          <t>Genprex Inc</t>
        </is>
      </c>
      <c r="D665" t="inlineStr">
        <is>
          <t>Biotechnology</t>
        </is>
      </c>
      <c r="E665" s="6" t="inlineStr">
        <is>
          <t>NASDAQ</t>
        </is>
      </c>
      <c r="F665" s="1" t="n">
        <v>2.13</v>
      </c>
      <c r="G665" s="8">
        <f>F665*[663]Main!$C$4</f>
        <v/>
      </c>
      <c r="H665" s="10">
        <f>G665-[663]Main!$C$7+[663]Main!$C$8</f>
        <v/>
      </c>
      <c r="J665" s="1">
        <f>IF(ISNUMBER([663]Main!$C$11),[663]Main!$C$11,"")</f>
        <v/>
      </c>
      <c r="K665" s="57">
        <f>IFERROR(J665/F665-1,"")</f>
        <v/>
      </c>
      <c r="L665" s="12">
        <f>[663]Main!$C$15&amp;" ("&amp;[663]Main!$C$14&amp;")"</f>
        <v/>
      </c>
      <c r="M665" s="58" t="n">
        <v>46339</v>
      </c>
      <c r="N665" s="17" t="inlineStr">
        <is>
          <t>Earnings Nov 13 (est.) · Readout ~2027-12: Lung cancer, Phase 1/2</t>
        </is>
      </c>
    </row>
    <row r="666">
      <c r="B666" s="3" t="inlineStr">
        <is>
          <t>LABT</t>
        </is>
      </c>
      <c r="C666" t="inlineStr">
        <is>
          <t>Lakewood-Amedex Biotherapeutics Inc</t>
        </is>
      </c>
      <c r="D666" t="inlineStr">
        <is>
          <t>Biotechnology</t>
        </is>
      </c>
      <c r="E666" s="6" t="inlineStr">
        <is>
          <t>NASDAQ</t>
        </is>
      </c>
      <c r="F666" s="1" t="n">
        <v>0.5775</v>
      </c>
      <c r="G666" s="8">
        <f>F666*[664]Main!$C$4</f>
        <v/>
      </c>
      <c r="H666" s="10">
        <f>G666-[664]Main!$C$7+[664]Main!$C$8</f>
        <v/>
      </c>
      <c r="J666" s="1">
        <f>IF(ISNUMBER([664]Main!$C$11),[664]Main!$C$11,"")</f>
        <v/>
      </c>
      <c r="K666" s="57">
        <f>IFERROR(J666/F666-1,"")</f>
        <v/>
      </c>
      <c r="L666" s="12">
        <f>[664]Main!$C$15&amp;" ("&amp;[664]Main!$C$14&amp;")"</f>
        <v/>
      </c>
      <c r="M666" s="58" t="n">
        <v>46338</v>
      </c>
      <c r="N666" s="17" t="inlineStr">
        <is>
          <t>Earnings Nov 12 (est.)</t>
        </is>
      </c>
    </row>
    <row r="667">
      <c r="B667" s="3" t="inlineStr">
        <is>
          <t>BBLG</t>
        </is>
      </c>
      <c r="C667" t="inlineStr">
        <is>
          <t>Bone Biologics Corp</t>
        </is>
      </c>
      <c r="D667" t="inlineStr">
        <is>
          <t>Biotechnology</t>
        </is>
      </c>
      <c r="E667" s="6" t="inlineStr">
        <is>
          <t>NASDAQ</t>
        </is>
      </c>
      <c r="F667" s="1" t="n">
        <v>0.43</v>
      </c>
      <c r="G667" s="8">
        <f>F667*[665]Main!$C$4</f>
        <v/>
      </c>
      <c r="H667" s="10">
        <f>G667-[665]Main!$C$7+[665]Main!$C$8</f>
        <v/>
      </c>
      <c r="J667" s="1">
        <f>IF(ISNUMBER([665]Main!$C$11),[665]Main!$C$11,"")</f>
        <v/>
      </c>
      <c r="K667" s="57">
        <f>IFERROR(J667/F667-1,"")</f>
        <v/>
      </c>
      <c r="L667" s="12">
        <f>[665]Main!$C$15&amp;" ("&amp;[665]Main!$C$14&amp;")"</f>
        <v/>
      </c>
      <c r="M667" s="58" t="n">
        <v>46339</v>
      </c>
      <c r="N667" s="17" t="inlineStr">
        <is>
          <t>Earnings Nov 13 (est.)</t>
        </is>
      </c>
    </row>
    <row r="668">
      <c r="B668" s="3" t="inlineStr">
        <is>
          <t>PPBT</t>
        </is>
      </c>
      <c r="C668" t="inlineStr">
        <is>
          <t>Purple Biotech Ltd</t>
        </is>
      </c>
      <c r="D668" t="inlineStr">
        <is>
          <t>Pharmaceuticals</t>
        </is>
      </c>
      <c r="E668" s="6" t="inlineStr">
        <is>
          <t>NASDAQ</t>
        </is>
      </c>
      <c r="F668" s="1" t="n">
        <v>1.085</v>
      </c>
      <c r="G668" s="8">
        <f>F668*[666]Main!$C$4</f>
        <v/>
      </c>
      <c r="H668" s="10">
        <f>G668-[666]Main!$C$7+[666]Main!$C$8</f>
        <v/>
      </c>
      <c r="J668" s="1">
        <f>IF(ISNUMBER([666]Main!$C$11),[666]Main!$C$11,"")</f>
        <v/>
      </c>
      <c r="K668" s="57">
        <f>IFERROR(J668/F668-1,"")</f>
        <v/>
      </c>
      <c r="L668" s="12">
        <f>[666]Main!$C$15&amp;" ("&amp;[666]Main!$C$14&amp;")"</f>
        <v/>
      </c>
      <c r="M668" s="58" t="n">
        <v>46339</v>
      </c>
      <c r="N668" s="17" t="inlineStr">
        <is>
          <t>Earnings Nov 13 (est.)</t>
        </is>
      </c>
    </row>
    <row r="669">
      <c r="B669" s="3" t="inlineStr">
        <is>
          <t>BDRX</t>
        </is>
      </c>
      <c r="C669" t="inlineStr">
        <is>
          <t>Biodexa Pharmaceuticals PLC</t>
        </is>
      </c>
      <c r="D669" t="inlineStr">
        <is>
          <t>Biotechnology</t>
        </is>
      </c>
      <c r="E669" s="6" t="inlineStr">
        <is>
          <t>NASDAQ</t>
        </is>
      </c>
      <c r="F669" s="1" t="n">
        <v>0.3855</v>
      </c>
      <c r="G669" s="8">
        <f>F669*[667]Main!$C$4</f>
        <v/>
      </c>
      <c r="H669" s="10">
        <f>G669-[667]Main!$C$7+[667]Main!$C$8</f>
        <v/>
      </c>
      <c r="J669" s="1">
        <f>IF(ISNUMBER([667]Main!$C$11),[667]Main!$C$11,"")</f>
        <v/>
      </c>
      <c r="K669" s="57">
        <f>IFERROR(J669/F669-1,"")</f>
        <v/>
      </c>
      <c r="L669" s="12">
        <f>[667]Main!$C$15&amp;" ("&amp;[667]Main!$C$14&amp;")"</f>
        <v/>
      </c>
      <c r="M669" s="58" t="n"/>
      <c r="N669" s="17" t="n"/>
    </row>
    <row r="670">
      <c r="B670" s="3" t="inlineStr">
        <is>
          <t>CMND</t>
        </is>
      </c>
      <c r="C670" t="inlineStr">
        <is>
          <t>Clearmind Medicine Inc</t>
        </is>
      </c>
      <c r="D670" t="inlineStr">
        <is>
          <t>Pharmaceuticals</t>
        </is>
      </c>
      <c r="E670" s="6" t="inlineStr">
        <is>
          <t>NASDAQ</t>
        </is>
      </c>
      <c r="F670" s="1" t="n">
        <v>6.12</v>
      </c>
      <c r="G670" s="8">
        <f>F670*[668]Main!$C$4</f>
        <v/>
      </c>
      <c r="H670" s="10">
        <f>G670-[668]Main!$C$7+[668]Main!$C$8</f>
        <v/>
      </c>
      <c r="J670" s="1">
        <f>IF(ISNUMBER([668]Main!$C$11),[668]Main!$C$11,"")</f>
        <v/>
      </c>
      <c r="K670" s="57">
        <f>IFERROR(J670/F670-1,"")</f>
        <v/>
      </c>
      <c r="L670" s="12">
        <f>[668]Main!$C$15&amp;" ("&amp;[668]Main!$C$14&amp;")"</f>
        <v/>
      </c>
      <c r="M670" s="58" t="n"/>
      <c r="N670" s="17" t="inlineStr">
        <is>
          <t>Readout ~2026-12-31: Anxiety / PTSD / addiction, Phase 1/2</t>
        </is>
      </c>
    </row>
    <row r="671">
      <c r="B671" s="3" t="inlineStr">
        <is>
          <t>SBFM</t>
        </is>
      </c>
      <c r="C671" t="inlineStr">
        <is>
          <t>Sunshine Biopharma Inc</t>
        </is>
      </c>
      <c r="D671" t="inlineStr">
        <is>
          <t>Biotechnology</t>
        </is>
      </c>
      <c r="E671" s="6" t="inlineStr">
        <is>
          <t>NASDAQ</t>
        </is>
      </c>
      <c r="F671" s="1" t="n">
        <v>0.2418</v>
      </c>
      <c r="G671" s="8">
        <f>F671*[669]Main!$C$4</f>
        <v/>
      </c>
      <c r="H671" s="10">
        <f>G671-[669]Main!$C$7+[669]Main!$C$8</f>
        <v/>
      </c>
      <c r="J671" s="1">
        <f>IF(ISNUMBER([669]Main!$C$11),[669]Main!$C$11,"")</f>
        <v/>
      </c>
      <c r="K671" s="57">
        <f>IFERROR(J671/F671-1,"")</f>
        <v/>
      </c>
      <c r="L671" s="12">
        <f>[669]Main!$C$15&amp;" ("&amp;[669]Main!$C$14&amp;")"</f>
        <v/>
      </c>
      <c r="M671" s="58" t="n">
        <v>46338</v>
      </c>
      <c r="N671" s="17" t="inlineStr">
        <is>
          <t>Earnings Nov 12 (est.)</t>
        </is>
      </c>
    </row>
    <row r="672">
      <c r="B672" s="3" t="inlineStr">
        <is>
          <t>CRIS</t>
        </is>
      </c>
      <c r="C672" t="inlineStr">
        <is>
          <t>Curis Inc</t>
        </is>
      </c>
      <c r="D672" t="inlineStr">
        <is>
          <t>Biotechnology</t>
        </is>
      </c>
      <c r="E672" s="6" t="inlineStr">
        <is>
          <t>NASDAQ</t>
        </is>
      </c>
      <c r="F672" s="1" t="n">
        <v>0.3996</v>
      </c>
      <c r="G672" s="8">
        <f>F672*[670]Main!$C$4</f>
        <v/>
      </c>
      <c r="H672" s="10">
        <f>G672-[670]Main!$C$7+[670]Main!$C$8</f>
        <v/>
      </c>
      <c r="J672" s="1">
        <f>IF(ISNUMBER([670]Main!$C$11),[670]Main!$C$11,"")</f>
        <v/>
      </c>
      <c r="K672" s="57">
        <f>IFERROR(J672/F672-1,"")</f>
        <v/>
      </c>
      <c r="L672" s="12">
        <f>[670]Main!$C$15&amp;" ("&amp;[670]Main!$C$14&amp;")"</f>
        <v/>
      </c>
      <c r="M672" s="58" t="n">
        <v>46331</v>
      </c>
      <c r="N672" s="17" t="inlineStr">
        <is>
          <t>Earnings Nov 5 (est.) · Readout ~2027-07: Solid tumors (basket), Phase 1/2</t>
        </is>
      </c>
    </row>
    <row r="673">
      <c r="B673" s="3" t="inlineStr">
        <is>
          <t>SLXN</t>
        </is>
      </c>
      <c r="C673" t="inlineStr">
        <is>
          <t>Silexion Therapeutics Corp</t>
        </is>
      </c>
      <c r="D673" t="inlineStr">
        <is>
          <t>Biotechnology</t>
        </is>
      </c>
      <c r="E673" s="6" t="inlineStr">
        <is>
          <t>NASDAQ</t>
        </is>
      </c>
      <c r="F673" s="1" t="n">
        <v>0.153</v>
      </c>
      <c r="G673" s="8">
        <f>F673*[671]Main!$C$4</f>
        <v/>
      </c>
      <c r="H673" s="10">
        <f>G673-[671]Main!$C$7+[671]Main!$C$8</f>
        <v/>
      </c>
      <c r="J673" s="1">
        <f>IF(ISNUMBER([671]Main!$C$11),[671]Main!$C$11,"")</f>
        <v/>
      </c>
      <c r="K673" s="57">
        <f>IFERROR(J673/F673-1,"")</f>
        <v/>
      </c>
      <c r="L673" s="12">
        <f>[671]Main!$C$15&amp;" ("&amp;[671]Main!$C$14&amp;")"</f>
        <v/>
      </c>
      <c r="M673" s="58" t="n">
        <v>46337</v>
      </c>
      <c r="N673" s="17" t="inlineStr">
        <is>
          <t>Earnings Nov 11 (est.)</t>
        </is>
      </c>
    </row>
    <row r="674">
      <c r="B674" s="3" t="inlineStr">
        <is>
          <t>DCOY</t>
        </is>
      </c>
      <c r="C674" t="inlineStr">
        <is>
          <t>Decoy Therapeutics Inc</t>
        </is>
      </c>
      <c r="D674" t="inlineStr">
        <is>
          <t>Biotechnology</t>
        </is>
      </c>
      <c r="E674" s="6" t="inlineStr">
        <is>
          <t>NASDAQ</t>
        </is>
      </c>
      <c r="F674" s="1" t="n">
        <v>1.135</v>
      </c>
      <c r="G674" s="8">
        <f>F674*[672]Main!$C$4</f>
        <v/>
      </c>
      <c r="H674" s="10">
        <f>G674-[672]Main!$C$7+[672]Main!$C$8</f>
        <v/>
      </c>
      <c r="J674" s="1">
        <f>IF(ISNUMBER([672]Main!$C$11),[672]Main!$C$11,"")</f>
        <v/>
      </c>
      <c r="K674" s="57">
        <f>IFERROR(J674/F674-1,"")</f>
        <v/>
      </c>
      <c r="L674" s="12">
        <f>[672]Main!$C$15&amp;" ("&amp;[672]Main!$C$14&amp;")"</f>
        <v/>
      </c>
      <c r="M674" s="58" t="n">
        <v>46339</v>
      </c>
      <c r="N674" s="17" t="inlineStr">
        <is>
          <t>Earnings Nov 13 (est.)</t>
        </is>
      </c>
    </row>
    <row r="675">
      <c r="B675" s="3" t="inlineStr">
        <is>
          <t>PRFX</t>
        </is>
      </c>
      <c r="C675" t="inlineStr">
        <is>
          <t>PRF Technologies Ltd</t>
        </is>
      </c>
      <c r="D675" t="inlineStr">
        <is>
          <t>Pharmaceuticals</t>
        </is>
      </c>
      <c r="E675" s="6" t="inlineStr">
        <is>
          <t>NASDAQ</t>
        </is>
      </c>
      <c r="F675" s="1" t="n">
        <v>0.7246</v>
      </c>
      <c r="G675" s="8">
        <f>F675*[673]Main!$C$4</f>
        <v/>
      </c>
      <c r="H675" s="10">
        <f>G675-[673]Main!$C$7+[673]Main!$C$8</f>
        <v/>
      </c>
      <c r="J675" s="1">
        <f>IF(ISNUMBER([673]Main!$C$11),[673]Main!$C$11,"")</f>
        <v/>
      </c>
      <c r="K675" s="57">
        <f>IFERROR(J675/F675-1,"")</f>
        <v/>
      </c>
      <c r="L675" s="12">
        <f>[673]Main!$C$15&amp;" ("&amp;[673]Main!$C$14&amp;")"</f>
        <v/>
      </c>
      <c r="M675" s="58" t="n"/>
      <c r="N675" s="17" t="n"/>
    </row>
    <row r="676">
      <c r="B676" s="3" t="inlineStr">
        <is>
          <t>SPRC</t>
        </is>
      </c>
      <c r="C676" t="inlineStr">
        <is>
          <t>Scisparc Ltd</t>
        </is>
      </c>
      <c r="D676" t="inlineStr">
        <is>
          <t>Pharmaceuticals</t>
        </is>
      </c>
      <c r="E676" s="6" t="inlineStr">
        <is>
          <t>NASDAQ</t>
        </is>
      </c>
      <c r="F676" s="1" t="n">
        <v>1.33</v>
      </c>
      <c r="G676" s="8">
        <f>F676*[674]Main!$C$4</f>
        <v/>
      </c>
      <c r="H676" s="10">
        <f>G676-[674]Main!$C$7+[674]Main!$C$8</f>
        <v/>
      </c>
      <c r="J676" s="1">
        <f>IF(ISNUMBER([674]Main!$C$11),[674]Main!$C$11,"")</f>
        <v/>
      </c>
      <c r="K676" s="57">
        <f>IFERROR(J676/F676-1,"")</f>
        <v/>
      </c>
      <c r="L676" s="12">
        <f>[674]Main!$C$15&amp;" ("&amp;[674]Main!$C$14&amp;")"</f>
        <v/>
      </c>
      <c r="M676" s="58" t="n"/>
      <c r="N676" s="17" t="n"/>
    </row>
    <row r="677">
      <c r="B677" s="3" t="inlineStr">
        <is>
          <t>SXTC</t>
        </is>
      </c>
      <c r="C677" t="inlineStr">
        <is>
          <t>China SXT Pharmaceuticals Inc</t>
        </is>
      </c>
      <c r="D677" t="inlineStr">
        <is>
          <t>Pharmaceuticals</t>
        </is>
      </c>
      <c r="E677" s="6" t="inlineStr">
        <is>
          <t>NASDAQ</t>
        </is>
      </c>
      <c r="F677" s="1" t="n">
        <v>0.0653</v>
      </c>
      <c r="G677" s="8">
        <f>F677*[675]Main!$C$4</f>
        <v/>
      </c>
      <c r="H677" s="10">
        <f>G677-[675]Main!$C$7+[675]Main!$C$8</f>
        <v/>
      </c>
      <c r="J677" s="1">
        <f>IF(ISNUMBER([675]Main!$C$11),[675]Main!$C$11,"")</f>
        <v/>
      </c>
      <c r="K677" s="57">
        <f>IFERROR(J677/F677-1,"")</f>
        <v/>
      </c>
      <c r="L677" s="12">
        <f>[675]Main!$C$15&amp;" ("&amp;[675]Main!$C$14&amp;")"</f>
        <v/>
      </c>
      <c r="M677" s="58" t="n"/>
      <c r="N677" s="17" t="n"/>
    </row>
  </sheetData>
  <autoFilter ref="B2:N677">
    <sortState ref="B3:P705">
      <sortCondition descending="1" ref="G2:G705"/>
    </sortState>
  </autoFilter>
  <conditionalFormatting sqref="K3:K677">
    <cfRule type="expression" priority="1" dxfId="1" stopIfTrue="1">
      <formula>AND(ISNUMBER(K3),K3&lt;0)</formula>
    </cfRule>
    <cfRule type="expression" priority="2" dxfId="0" stopIfTrue="1">
      <formula>AND(ISNUMBER(K3),K3&gt;0)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2"/>
  <sheetViews>
    <sheetView showGridLines="0" zoomScale="150" workbookViewId="0">
      <selection activeCell="B3" sqref="B3"/>
    </sheetView>
  </sheetViews>
  <sheetFormatPr baseColWidth="10" defaultRowHeight="16"/>
  <cols>
    <col width="3.33203125" customWidth="1" style="45" min="1" max="1"/>
  </cols>
  <sheetData>
    <row r="2" customFormat="1" s="4">
      <c r="B2" s="2" t="inlineStr">
        <is>
          <t>Ticker</t>
        </is>
      </c>
      <c r="C2" s="2" t="inlineStr">
        <is>
          <t>Name</t>
        </is>
      </c>
      <c r="D2" s="2" t="inlineStr">
        <is>
          <t>Industry</t>
        </is>
      </c>
      <c r="E2" s="2" t="inlineStr">
        <is>
          <t>Exchange</t>
        </is>
      </c>
      <c r="F2" s="2" t="inlineStr">
        <is>
          <t>Price</t>
        </is>
      </c>
      <c r="G2" s="2" t="inlineStr">
        <is>
          <t>Market Cap</t>
        </is>
      </c>
      <c r="H2" s="2" t="inlineStr">
        <is>
          <t>EV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2026-10-05T01:25:06Z</dcterms:created>
  <dcterms:modified xsi:type="dcterms:W3CDTF">2026-10-21T06:33:54Z</dcterms:modified>
  <cp:lastModifiedBy>Wang, Eric</cp:lastModifiedBy>
</cp:coreProperties>
</file>