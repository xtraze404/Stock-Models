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externalLinks/externalLink188.xml" ContentType="application/vnd.openxmlformats-officedocument.spreadsheetml.externalLink+xml"/>
  <Override PartName="/xl/externalLinks/externalLink189.xml" ContentType="application/vnd.openxmlformats-officedocument.spreadsheetml.externalLink+xml"/>
  <Override PartName="/xl/externalLinks/externalLink190.xml" ContentType="application/vnd.openxmlformats-officedocument.spreadsheetml.externalLink+xml"/>
  <Override PartName="/xl/externalLinks/externalLink191.xml" ContentType="application/vnd.openxmlformats-officedocument.spreadsheetml.externalLink+xml"/>
  <Override PartName="/xl/externalLinks/externalLink192.xml" ContentType="application/vnd.openxmlformats-officedocument.spreadsheetml.externalLink+xml"/>
  <Override PartName="/xl/externalLinks/externalLink193.xml" ContentType="application/vnd.openxmlformats-officedocument.spreadsheetml.externalLink+xml"/>
  <Override PartName="/xl/externalLinks/externalLink194.xml" ContentType="application/vnd.openxmlformats-officedocument.spreadsheetml.externalLink+xml"/>
  <Override PartName="/xl/externalLinks/externalLink195.xml" ContentType="application/vnd.openxmlformats-officedocument.spreadsheetml.externalLink+xml"/>
  <Override PartName="/xl/externalLinks/externalLink196.xml" ContentType="application/vnd.openxmlformats-officedocument.spreadsheetml.externalLink+xml"/>
  <Override PartName="/xl/externalLinks/externalLink197.xml" ContentType="application/vnd.openxmlformats-officedocument.spreadsheetml.externalLink+xml"/>
  <Override PartName="/xl/externalLinks/externalLink198.xml" ContentType="application/vnd.openxmlformats-officedocument.spreadsheetml.externalLink+xml"/>
  <Override PartName="/xl/externalLinks/externalLink199.xml" ContentType="application/vnd.openxmlformats-officedocument.spreadsheetml.externalLink+xml"/>
  <Override PartName="/xl/externalLinks/externalLink200.xml" ContentType="application/vnd.openxmlformats-officedocument.spreadsheetml.externalLink+xml"/>
  <Override PartName="/xl/externalLinks/externalLink201.xml" ContentType="application/vnd.openxmlformats-officedocument.spreadsheetml.externalLink+xml"/>
  <Override PartName="/xl/externalLinks/externalLink202.xml" ContentType="application/vnd.openxmlformats-officedocument.spreadsheetml.externalLink+xml"/>
  <Override PartName="/xl/externalLinks/externalLink203.xml" ContentType="application/vnd.openxmlformats-officedocument.spreadsheetml.externalLink+xml"/>
  <Override PartName="/xl/externalLinks/externalLink204.xml" ContentType="application/vnd.openxmlformats-officedocument.spreadsheetml.externalLink+xml"/>
  <Override PartName="/xl/externalLinks/externalLink205.xml" ContentType="application/vnd.openxmlformats-officedocument.spreadsheetml.externalLink+xml"/>
  <Override PartName="/xl/externalLinks/externalLink206.xml" ContentType="application/vnd.openxmlformats-officedocument.spreadsheetml.externalLink+xml"/>
  <Override PartName="/xl/externalLinks/externalLink207.xml" ContentType="application/vnd.openxmlformats-officedocument.spreadsheetml.externalLink+xml"/>
  <Override PartName="/xl/externalLinks/externalLink208.xml" ContentType="application/vnd.openxmlformats-officedocument.spreadsheetml.externalLink+xml"/>
  <Override PartName="/xl/externalLinks/externalLink209.xml" ContentType="application/vnd.openxmlformats-officedocument.spreadsheetml.externalLink+xml"/>
  <Override PartName="/xl/externalLinks/externalLink210.xml" ContentType="application/vnd.openxmlformats-officedocument.spreadsheetml.externalLink+xml"/>
  <Override PartName="/xl/externalLinks/externalLink211.xml" ContentType="application/vnd.openxmlformats-officedocument.spreadsheetml.externalLink+xml"/>
  <Override PartName="/xl/externalLinks/externalLink212.xml" ContentType="application/vnd.openxmlformats-officedocument.spreadsheetml.externalLink+xml"/>
  <Override PartName="/xl/externalLinks/externalLink213.xml" ContentType="application/vnd.openxmlformats-officedocument.spreadsheetml.externalLink+xml"/>
  <Override PartName="/xl/externalLinks/externalLink214.xml" ContentType="application/vnd.openxmlformats-officedocument.spreadsheetml.externalLink+xml"/>
  <Override PartName="/xl/externalLinks/externalLink215.xml" ContentType="application/vnd.openxmlformats-officedocument.spreadsheetml.externalLink+xml"/>
  <Override PartName="/xl/externalLinks/externalLink216.xml" ContentType="application/vnd.openxmlformats-officedocument.spreadsheetml.externalLink+xml"/>
  <Override PartName="/xl/externalLinks/externalLink217.xml" ContentType="application/vnd.openxmlformats-officedocument.spreadsheetml.externalLink+xml"/>
  <Override PartName="/xl/externalLinks/externalLink218.xml" ContentType="application/vnd.openxmlformats-officedocument.spreadsheetml.externalLink+xml"/>
  <Override PartName="/xl/externalLinks/externalLink219.xml" ContentType="application/vnd.openxmlformats-officedocument.spreadsheetml.externalLink+xml"/>
  <Override PartName="/xl/externalLinks/externalLink220.xml" ContentType="application/vnd.openxmlformats-officedocument.spreadsheetml.externalLink+xml"/>
  <Override PartName="/xl/externalLinks/externalLink221.xml" ContentType="application/vnd.openxmlformats-officedocument.spreadsheetml.externalLink+xml"/>
  <Override PartName="/xl/externalLinks/externalLink222.xml" ContentType="application/vnd.openxmlformats-officedocument.spreadsheetml.externalLink+xml"/>
  <Override PartName="/xl/externalLinks/externalLink223.xml" ContentType="application/vnd.openxmlformats-officedocument.spreadsheetml.externalLink+xml"/>
  <Override PartName="/xl/externalLinks/externalLink224.xml" ContentType="application/vnd.openxmlformats-officedocument.spreadsheetml.externalLink+xml"/>
  <Override PartName="/xl/externalLinks/externalLink225.xml" ContentType="application/vnd.openxmlformats-officedocument.spreadsheetml.externalLink+xml"/>
  <Override PartName="/xl/externalLinks/externalLink226.xml" ContentType="application/vnd.openxmlformats-officedocument.spreadsheetml.externalLink+xml"/>
  <Override PartName="/xl/externalLinks/externalLink227.xml" ContentType="application/vnd.openxmlformats-officedocument.spreadsheetml.externalLink+xml"/>
  <Override PartName="/xl/externalLinks/externalLink228.xml" ContentType="application/vnd.openxmlformats-officedocument.spreadsheetml.externalLink+xml"/>
  <Override PartName="/xl/externalLinks/externalLink229.xml" ContentType="application/vnd.openxmlformats-officedocument.spreadsheetml.externalLink+xml"/>
  <Override PartName="/xl/externalLinks/externalLink230.xml" ContentType="application/vnd.openxmlformats-officedocument.spreadsheetml.externalLink+xml"/>
  <Override PartName="/xl/externalLinks/externalLink231.xml" ContentType="application/vnd.openxmlformats-officedocument.spreadsheetml.externalLink+xml"/>
  <Override PartName="/xl/externalLinks/externalLink232.xml" ContentType="application/vnd.openxmlformats-officedocument.spreadsheetml.externalLink+xml"/>
  <Override PartName="/xl/externalLinks/externalLink233.xml" ContentType="application/vnd.openxmlformats-officedocument.spreadsheetml.externalLink+xml"/>
  <Override PartName="/xl/externalLinks/externalLink234.xml" ContentType="application/vnd.openxmlformats-officedocument.spreadsheetml.externalLink+xml"/>
  <Override PartName="/xl/externalLinks/externalLink235.xml" ContentType="application/vnd.openxmlformats-officedocument.spreadsheetml.externalLink+xml"/>
  <Override PartName="/xl/externalLinks/externalLink236.xml" ContentType="application/vnd.openxmlformats-officedocument.spreadsheetml.externalLink+xml"/>
  <Override PartName="/xl/externalLinks/externalLink237.xml" ContentType="application/vnd.openxmlformats-officedocument.spreadsheetml.externalLink+xml"/>
  <Override PartName="/xl/externalLinks/externalLink238.xml" ContentType="application/vnd.openxmlformats-officedocument.spreadsheetml.externalLink+xml"/>
  <Override PartName="/xl/externalLinks/externalLink239.xml" ContentType="application/vnd.openxmlformats-officedocument.spreadsheetml.externalLink+xml"/>
  <Override PartName="/xl/externalLinks/externalLink240.xml" ContentType="application/vnd.openxmlformats-officedocument.spreadsheetml.externalLink+xml"/>
  <Override PartName="/xl/externalLinks/externalLink241.xml" ContentType="application/vnd.openxmlformats-officedocument.spreadsheetml.externalLink+xml"/>
  <Override PartName="/xl/externalLinks/externalLink242.xml" ContentType="application/vnd.openxmlformats-officedocument.spreadsheetml.externalLink+xml"/>
  <Override PartName="/xl/externalLinks/externalLink243.xml" ContentType="application/vnd.openxmlformats-officedocument.spreadsheetml.externalLink+xml"/>
  <Override PartName="/xl/externalLinks/externalLink244.xml" ContentType="application/vnd.openxmlformats-officedocument.spreadsheetml.externalLink+xml"/>
  <Override PartName="/xl/externalLinks/externalLink245.xml" ContentType="application/vnd.openxmlformats-officedocument.spreadsheetml.externalLink+xml"/>
  <Override PartName="/xl/externalLinks/externalLink246.xml" ContentType="application/vnd.openxmlformats-officedocument.spreadsheetml.externalLink+xml"/>
  <Override PartName="/xl/externalLinks/externalLink247.xml" ContentType="application/vnd.openxmlformats-officedocument.spreadsheetml.externalLink+xml"/>
  <Override PartName="/xl/externalLinks/externalLink248.xml" ContentType="application/vnd.openxmlformats-officedocument.spreadsheetml.externalLink+xml"/>
  <Override PartName="/xl/externalLinks/externalLink249.xml" ContentType="application/vnd.openxmlformats-officedocument.spreadsheetml.externalLink+xml"/>
  <Override PartName="/xl/externalLinks/externalLink250.xml" ContentType="application/vnd.openxmlformats-officedocument.spreadsheetml.externalLink+xml"/>
  <Override PartName="/xl/externalLinks/externalLink251.xml" ContentType="application/vnd.openxmlformats-officedocument.spreadsheetml.externalLink+xml"/>
  <Override PartName="/xl/externalLinks/externalLink252.xml" ContentType="application/vnd.openxmlformats-officedocument.spreadsheetml.externalLink+xml"/>
  <Override PartName="/xl/externalLinks/externalLink253.xml" ContentType="application/vnd.openxmlformats-officedocument.spreadsheetml.externalLink+xml"/>
  <Override PartName="/xl/externalLinks/externalLink254.xml" ContentType="application/vnd.openxmlformats-officedocument.spreadsheetml.externalLink+xml"/>
  <Override PartName="/xl/externalLinks/externalLink255.xml" ContentType="application/vnd.openxmlformats-officedocument.spreadsheetml.externalLink+xml"/>
  <Override PartName="/xl/externalLinks/externalLink256.xml" ContentType="application/vnd.openxmlformats-officedocument.spreadsheetml.externalLink+xml"/>
  <Override PartName="/xl/externalLinks/externalLink257.xml" ContentType="application/vnd.openxmlformats-officedocument.spreadsheetml.externalLink+xml"/>
  <Override PartName="/xl/externalLinks/externalLink258.xml" ContentType="application/vnd.openxmlformats-officedocument.spreadsheetml.externalLink+xml"/>
  <Override PartName="/xl/externalLinks/externalLink259.xml" ContentType="application/vnd.openxmlformats-officedocument.spreadsheetml.externalLink+xml"/>
  <Override PartName="/xl/externalLinks/externalLink260.xml" ContentType="application/vnd.openxmlformats-officedocument.spreadsheetml.externalLink+xml"/>
  <Override PartName="/xl/externalLinks/externalLink261.xml" ContentType="application/vnd.openxmlformats-officedocument.spreadsheetml.externalLink+xml"/>
  <Override PartName="/xl/externalLinks/externalLink262.xml" ContentType="application/vnd.openxmlformats-officedocument.spreadsheetml.externalLink+xml"/>
  <Override PartName="/xl/externalLinks/externalLink263.xml" ContentType="application/vnd.openxmlformats-officedocument.spreadsheetml.externalLink+xml"/>
  <Override PartName="/xl/externalLinks/externalLink264.xml" ContentType="application/vnd.openxmlformats-officedocument.spreadsheetml.externalLink+xml"/>
  <Override PartName="/xl/externalLinks/externalLink265.xml" ContentType="application/vnd.openxmlformats-officedocument.spreadsheetml.externalLink+xml"/>
  <Override PartName="/xl/externalLinks/externalLink266.xml" ContentType="application/vnd.openxmlformats-officedocument.spreadsheetml.externalLink+xml"/>
  <Override PartName="/xl/externalLinks/externalLink267.xml" ContentType="application/vnd.openxmlformats-officedocument.spreadsheetml.externalLink+xml"/>
  <Override PartName="/xl/externalLinks/externalLink268.xml" ContentType="application/vnd.openxmlformats-officedocument.spreadsheetml.externalLink+xml"/>
  <Override PartName="/xl/externalLinks/externalLink269.xml" ContentType="application/vnd.openxmlformats-officedocument.spreadsheetml.externalLink+xml"/>
  <Override PartName="/xl/externalLinks/externalLink270.xml" ContentType="application/vnd.openxmlformats-officedocument.spreadsheetml.externalLink+xml"/>
  <Override PartName="/xl/externalLinks/externalLink271.xml" ContentType="application/vnd.openxmlformats-officedocument.spreadsheetml.externalLink+xml"/>
  <Override PartName="/xl/externalLinks/externalLink272.xml" ContentType="application/vnd.openxmlformats-officedocument.spreadsheetml.externalLink+xml"/>
  <Override PartName="/xl/externalLinks/externalLink273.xml" ContentType="application/vnd.openxmlformats-officedocument.spreadsheetml.externalLink+xml"/>
  <Override PartName="/xl/externalLinks/externalLink274.xml" ContentType="application/vnd.openxmlformats-officedocument.spreadsheetml.externalLink+xml"/>
  <Override PartName="/xl/externalLinks/externalLink275.xml" ContentType="application/vnd.openxmlformats-officedocument.spreadsheetml.externalLink+xml"/>
  <Override PartName="/xl/externalLinks/externalLink276.xml" ContentType="application/vnd.openxmlformats-officedocument.spreadsheetml.externalLink+xml"/>
  <Override PartName="/xl/externalLinks/externalLink277.xml" ContentType="application/vnd.openxmlformats-officedocument.spreadsheetml.externalLink+xml"/>
  <Override PartName="/xl/externalLinks/externalLink278.xml" ContentType="application/vnd.openxmlformats-officedocument.spreadsheetml.externalLink+xml"/>
  <Override PartName="/xl/externalLinks/externalLink279.xml" ContentType="application/vnd.openxmlformats-officedocument.spreadsheetml.externalLink+xml"/>
  <Override PartName="/xl/externalLinks/externalLink280.xml" ContentType="application/vnd.openxmlformats-officedocument.spreadsheetml.externalLink+xml"/>
  <Override PartName="/xl/externalLinks/externalLink281.xml" ContentType="application/vnd.openxmlformats-officedocument.spreadsheetml.externalLink+xml"/>
  <Override PartName="/xl/externalLinks/externalLink282.xml" ContentType="application/vnd.openxmlformats-officedocument.spreadsheetml.externalLink+xml"/>
  <Override PartName="/xl/externalLinks/externalLink283.xml" ContentType="application/vnd.openxmlformats-officedocument.spreadsheetml.externalLink+xml"/>
  <Override PartName="/xl/externalLinks/externalLink284.xml" ContentType="application/vnd.openxmlformats-officedocument.spreadsheetml.externalLink+xml"/>
  <Override PartName="/xl/externalLinks/externalLink285.xml" ContentType="application/vnd.openxmlformats-officedocument.spreadsheetml.externalLink+xml"/>
  <Override PartName="/xl/externalLinks/externalLink286.xml" ContentType="application/vnd.openxmlformats-officedocument.spreadsheetml.externalLink+xml"/>
  <Override PartName="/xl/externalLinks/externalLink287.xml" ContentType="application/vnd.openxmlformats-officedocument.spreadsheetml.externalLink+xml"/>
  <Override PartName="/xl/externalLinks/externalLink288.xml" ContentType="application/vnd.openxmlformats-officedocument.spreadsheetml.externalLink+xml"/>
  <Override PartName="/xl/externalLinks/externalLink289.xml" ContentType="application/vnd.openxmlformats-officedocument.spreadsheetml.externalLink+xml"/>
  <Override PartName="/xl/externalLinks/externalLink290.xml" ContentType="application/vnd.openxmlformats-officedocument.spreadsheetml.externalLink+xml"/>
  <Override PartName="/xl/externalLinks/externalLink291.xml" ContentType="application/vnd.openxmlformats-officedocument.spreadsheetml.externalLink+xml"/>
  <Override PartName="/xl/externalLinks/externalLink292.xml" ContentType="application/vnd.openxmlformats-officedocument.spreadsheetml.externalLink+xml"/>
  <Override PartName="/xl/externalLinks/externalLink293.xml" ContentType="application/vnd.openxmlformats-officedocument.spreadsheetml.externalLink+xml"/>
  <Override PartName="/xl/externalLinks/externalLink294.xml" ContentType="application/vnd.openxmlformats-officedocument.spreadsheetml.externalLink+xml"/>
  <Override PartName="/xl/externalLinks/externalLink295.xml" ContentType="application/vnd.openxmlformats-officedocument.spreadsheetml.externalLink+xml"/>
  <Override PartName="/xl/externalLinks/externalLink296.xml" ContentType="application/vnd.openxmlformats-officedocument.spreadsheetml.externalLink+xml"/>
  <Override PartName="/xl/externalLinks/externalLink297.xml" ContentType="application/vnd.openxmlformats-officedocument.spreadsheetml.externalLink+xml"/>
  <Override PartName="/xl/externalLinks/externalLink298.xml" ContentType="application/vnd.openxmlformats-officedocument.spreadsheetml.externalLink+xml"/>
  <Override PartName="/xl/externalLinks/externalLink299.xml" ContentType="application/vnd.openxmlformats-officedocument.spreadsheetml.externalLink+xml"/>
  <Override PartName="/xl/externalLinks/externalLink300.xml" ContentType="application/vnd.openxmlformats-officedocument.spreadsheetml.externalLink+xml"/>
  <Override PartName="/xl/externalLinks/externalLink301.xml" ContentType="application/vnd.openxmlformats-officedocument.spreadsheetml.externalLink+xml"/>
  <Override PartName="/xl/externalLinks/externalLink302.xml" ContentType="application/vnd.openxmlformats-officedocument.spreadsheetml.externalLink+xml"/>
  <Override PartName="/xl/externalLinks/externalLink303.xml" ContentType="application/vnd.openxmlformats-officedocument.spreadsheetml.externalLink+xml"/>
  <Override PartName="/xl/externalLinks/externalLink304.xml" ContentType="application/vnd.openxmlformats-officedocument.spreadsheetml.externalLink+xml"/>
  <Override PartName="/xl/externalLinks/externalLink305.xml" ContentType="application/vnd.openxmlformats-officedocument.spreadsheetml.externalLink+xml"/>
  <Override PartName="/xl/externalLinks/externalLink306.xml" ContentType="application/vnd.openxmlformats-officedocument.spreadsheetml.externalLink+xml"/>
  <Override PartName="/xl/externalLinks/externalLink307.xml" ContentType="application/vnd.openxmlformats-officedocument.spreadsheetml.externalLink+xml"/>
  <Override PartName="/xl/externalLinks/externalLink308.xml" ContentType="application/vnd.openxmlformats-officedocument.spreadsheetml.externalLink+xml"/>
  <Override PartName="/xl/externalLinks/externalLink309.xml" ContentType="application/vnd.openxmlformats-officedocument.spreadsheetml.externalLink+xml"/>
  <Override PartName="/xl/externalLinks/externalLink310.xml" ContentType="application/vnd.openxmlformats-officedocument.spreadsheetml.externalLink+xml"/>
  <Override PartName="/xl/externalLinks/externalLink311.xml" ContentType="application/vnd.openxmlformats-officedocument.spreadsheetml.externalLink+xml"/>
  <Override PartName="/xl/externalLinks/externalLink312.xml" ContentType="application/vnd.openxmlformats-officedocument.spreadsheetml.externalLink+xml"/>
  <Override PartName="/xl/externalLinks/externalLink313.xml" ContentType="application/vnd.openxmlformats-officedocument.spreadsheetml.externalLink+xml"/>
  <Override PartName="/xl/externalLinks/externalLink314.xml" ContentType="application/vnd.openxmlformats-officedocument.spreadsheetml.externalLink+xml"/>
  <Override PartName="/xl/externalLinks/externalLink315.xml" ContentType="application/vnd.openxmlformats-officedocument.spreadsheetml.externalLink+xml"/>
  <Override PartName="/xl/externalLinks/externalLink316.xml" ContentType="application/vnd.openxmlformats-officedocument.spreadsheetml.externalLink+xml"/>
  <Override PartName="/xl/externalLinks/externalLink317.xml" ContentType="application/vnd.openxmlformats-officedocument.spreadsheetml.externalLink+xml"/>
  <Override PartName="/xl/externalLinks/externalLink318.xml" ContentType="application/vnd.openxmlformats-officedocument.spreadsheetml.externalLink+xml"/>
  <Override PartName="/xl/externalLinks/externalLink319.xml" ContentType="application/vnd.openxmlformats-officedocument.spreadsheetml.externalLink+xml"/>
  <Override PartName="/xl/externalLinks/externalLink320.xml" ContentType="application/vnd.openxmlformats-officedocument.spreadsheetml.externalLink+xml"/>
  <Override PartName="/xl/externalLinks/externalLink321.xml" ContentType="application/vnd.openxmlformats-officedocument.spreadsheetml.externalLink+xml"/>
  <Override PartName="/xl/externalLinks/externalLink322.xml" ContentType="application/vnd.openxmlformats-officedocument.spreadsheetml.externalLink+xml"/>
  <Override PartName="/xl/externalLinks/externalLink323.xml" ContentType="application/vnd.openxmlformats-officedocument.spreadsheetml.externalLink+xml"/>
  <Override PartName="/xl/externalLinks/externalLink324.xml" ContentType="application/vnd.openxmlformats-officedocument.spreadsheetml.externalLink+xml"/>
  <Override PartName="/xl/externalLinks/externalLink325.xml" ContentType="application/vnd.openxmlformats-officedocument.spreadsheetml.externalLink+xml"/>
  <Override PartName="/xl/externalLinks/externalLink326.xml" ContentType="application/vnd.openxmlformats-officedocument.spreadsheetml.externalLink+xml"/>
  <Override PartName="/xl/externalLinks/externalLink327.xml" ContentType="application/vnd.openxmlformats-officedocument.spreadsheetml.externalLink+xml"/>
  <Override PartName="/xl/externalLinks/externalLink328.xml" ContentType="application/vnd.openxmlformats-officedocument.spreadsheetml.externalLink+xml"/>
  <Override PartName="/xl/externalLinks/externalLink329.xml" ContentType="application/vnd.openxmlformats-officedocument.spreadsheetml.externalLink+xml"/>
  <Override PartName="/xl/externalLinks/externalLink330.xml" ContentType="application/vnd.openxmlformats-officedocument.spreadsheetml.externalLink+xml"/>
  <Override PartName="/xl/externalLinks/externalLink331.xml" ContentType="application/vnd.openxmlformats-officedocument.spreadsheetml.externalLink+xml"/>
  <Override PartName="/xl/externalLinks/externalLink332.xml" ContentType="application/vnd.openxmlformats-officedocument.spreadsheetml.externalLink+xml"/>
  <Override PartName="/xl/externalLinks/externalLink333.xml" ContentType="application/vnd.openxmlformats-officedocument.spreadsheetml.externalLink+xml"/>
  <Override PartName="/xl/externalLinks/externalLink334.xml" ContentType="application/vnd.openxmlformats-officedocument.spreadsheetml.externalLink+xml"/>
  <Override PartName="/xl/externalLinks/externalLink335.xml" ContentType="application/vnd.openxmlformats-officedocument.spreadsheetml.externalLink+xml"/>
  <Override PartName="/xl/externalLinks/externalLink336.xml" ContentType="application/vnd.openxmlformats-officedocument.spreadsheetml.externalLink+xml"/>
  <Override PartName="/xl/externalLinks/externalLink337.xml" ContentType="application/vnd.openxmlformats-officedocument.spreadsheetml.externalLink+xml"/>
  <Override PartName="/xl/externalLinks/externalLink338.xml" ContentType="application/vnd.openxmlformats-officedocument.spreadsheetml.externalLink+xml"/>
  <Override PartName="/xl/externalLinks/externalLink339.xml" ContentType="application/vnd.openxmlformats-officedocument.spreadsheetml.externalLink+xml"/>
  <Override PartName="/xl/externalLinks/externalLink340.xml" ContentType="application/vnd.openxmlformats-officedocument.spreadsheetml.externalLink+xml"/>
  <Override PartName="/xl/externalLinks/externalLink341.xml" ContentType="application/vnd.openxmlformats-officedocument.spreadsheetml.externalLink+xml"/>
  <Override PartName="/xl/externalLinks/externalLink342.xml" ContentType="application/vnd.openxmlformats-officedocument.spreadsheetml.externalLink+xml"/>
  <Override PartName="/xl/externalLinks/externalLink343.xml" ContentType="application/vnd.openxmlformats-officedocument.spreadsheetml.externalLink+xml"/>
  <Override PartName="/xl/externalLinks/externalLink344.xml" ContentType="application/vnd.openxmlformats-officedocument.spreadsheetml.externalLink+xml"/>
  <Override PartName="/xl/externalLinks/externalLink345.xml" ContentType="application/vnd.openxmlformats-officedocument.spreadsheetml.externalLink+xml"/>
  <Override PartName="/xl/externalLinks/externalLink346.xml" ContentType="application/vnd.openxmlformats-officedocument.spreadsheetml.externalLink+xml"/>
  <Override PartName="/xl/externalLinks/externalLink347.xml" ContentType="application/vnd.openxmlformats-officedocument.spreadsheetml.externalLink+xml"/>
  <Override PartName="/xl/externalLinks/externalLink348.xml" ContentType="application/vnd.openxmlformats-officedocument.spreadsheetml.externalLink+xml"/>
  <Override PartName="/xl/externalLinks/externalLink349.xml" ContentType="application/vnd.openxmlformats-officedocument.spreadsheetml.externalLink+xml"/>
  <Override PartName="/xl/externalLinks/externalLink350.xml" ContentType="application/vnd.openxmlformats-officedocument.spreadsheetml.externalLink+xml"/>
  <Override PartName="/xl/externalLinks/externalLink351.xml" ContentType="application/vnd.openxmlformats-officedocument.spreadsheetml.externalLink+xml"/>
  <Override PartName="/xl/externalLinks/externalLink352.xml" ContentType="application/vnd.openxmlformats-officedocument.spreadsheetml.externalLink+xml"/>
  <Override PartName="/xl/externalLinks/externalLink353.xml" ContentType="application/vnd.openxmlformats-officedocument.spreadsheetml.externalLink+xml"/>
  <Override PartName="/xl/externalLinks/externalLink354.xml" ContentType="application/vnd.openxmlformats-officedocument.spreadsheetml.externalLink+xml"/>
  <Override PartName="/xl/externalLinks/externalLink355.xml" ContentType="application/vnd.openxmlformats-officedocument.spreadsheetml.externalLink+xml"/>
  <Override PartName="/xl/externalLinks/externalLink356.xml" ContentType="application/vnd.openxmlformats-officedocument.spreadsheetml.externalLink+xml"/>
  <Override PartName="/xl/externalLinks/externalLink357.xml" ContentType="application/vnd.openxmlformats-officedocument.spreadsheetml.externalLink+xml"/>
  <Override PartName="/xl/externalLinks/externalLink358.xml" ContentType="application/vnd.openxmlformats-officedocument.spreadsheetml.externalLink+xml"/>
  <Override PartName="/xl/externalLinks/externalLink359.xml" ContentType="application/vnd.openxmlformats-officedocument.spreadsheetml.externalLink+xml"/>
  <Override PartName="/xl/externalLinks/externalLink360.xml" ContentType="application/vnd.openxmlformats-officedocument.spreadsheetml.externalLink+xml"/>
  <Override PartName="/xl/externalLinks/externalLink361.xml" ContentType="application/vnd.openxmlformats-officedocument.spreadsheetml.externalLink+xml"/>
  <Override PartName="/xl/externalLinks/externalLink362.xml" ContentType="application/vnd.openxmlformats-officedocument.spreadsheetml.externalLink+xml"/>
  <Override PartName="/xl/externalLinks/externalLink363.xml" ContentType="application/vnd.openxmlformats-officedocument.spreadsheetml.externalLink+xml"/>
  <Override PartName="/xl/externalLinks/externalLink364.xml" ContentType="application/vnd.openxmlformats-officedocument.spreadsheetml.externalLink+xml"/>
  <Override PartName="/xl/externalLinks/externalLink365.xml" ContentType="application/vnd.openxmlformats-officedocument.spreadsheetml.externalLink+xml"/>
  <Override PartName="/xl/externalLinks/externalLink366.xml" ContentType="application/vnd.openxmlformats-officedocument.spreadsheetml.externalLink+xml"/>
  <Override PartName="/xl/externalLinks/externalLink367.xml" ContentType="application/vnd.openxmlformats-officedocument.spreadsheetml.externalLink+xml"/>
  <Override PartName="/xl/externalLinks/externalLink368.xml" ContentType="application/vnd.openxmlformats-officedocument.spreadsheetml.externalLink+xml"/>
  <Override PartName="/xl/externalLinks/externalLink369.xml" ContentType="application/vnd.openxmlformats-officedocument.spreadsheetml.externalLink+xml"/>
  <Override PartName="/xl/externalLinks/externalLink370.xml" ContentType="application/vnd.openxmlformats-officedocument.spreadsheetml.externalLink+xml"/>
  <Override PartName="/xl/externalLinks/externalLink371.xml" ContentType="application/vnd.openxmlformats-officedocument.spreadsheetml.externalLink+xml"/>
  <Override PartName="/xl/externalLinks/externalLink372.xml" ContentType="application/vnd.openxmlformats-officedocument.spreadsheetml.externalLink+xml"/>
  <Override PartName="/xl/externalLinks/externalLink373.xml" ContentType="application/vnd.openxmlformats-officedocument.spreadsheetml.externalLink+xml"/>
  <Override PartName="/xl/externalLinks/externalLink374.xml" ContentType="application/vnd.openxmlformats-officedocument.spreadsheetml.externalLink+xml"/>
  <Override PartName="/xl/externalLinks/externalLink375.xml" ContentType="application/vnd.openxmlformats-officedocument.spreadsheetml.externalLink+xml"/>
  <Override PartName="/xl/externalLinks/externalLink376.xml" ContentType="application/vnd.openxmlformats-officedocument.spreadsheetml.externalLink+xml"/>
  <Override PartName="/xl/externalLinks/externalLink377.xml" ContentType="application/vnd.openxmlformats-officedocument.spreadsheetml.externalLink+xml"/>
  <Override PartName="/xl/externalLinks/externalLink378.xml" ContentType="application/vnd.openxmlformats-officedocument.spreadsheetml.externalLink+xml"/>
  <Override PartName="/xl/externalLinks/externalLink379.xml" ContentType="application/vnd.openxmlformats-officedocument.spreadsheetml.externalLink+xml"/>
  <Override PartName="/xl/externalLinks/externalLink380.xml" ContentType="application/vnd.openxmlformats-officedocument.spreadsheetml.externalLink+xml"/>
  <Override PartName="/xl/externalLinks/externalLink381.xml" ContentType="application/vnd.openxmlformats-officedocument.spreadsheetml.externalLink+xml"/>
  <Override PartName="/xl/externalLinks/externalLink382.xml" ContentType="application/vnd.openxmlformats-officedocument.spreadsheetml.externalLink+xml"/>
  <Override PartName="/xl/externalLinks/externalLink383.xml" ContentType="application/vnd.openxmlformats-officedocument.spreadsheetml.externalLink+xml"/>
  <Override PartName="/xl/externalLinks/externalLink384.xml" ContentType="application/vnd.openxmlformats-officedocument.spreadsheetml.externalLink+xml"/>
  <Override PartName="/xl/externalLinks/externalLink385.xml" ContentType="application/vnd.openxmlformats-officedocument.spreadsheetml.externalLink+xml"/>
  <Override PartName="/xl/externalLinks/externalLink386.xml" ContentType="application/vnd.openxmlformats-officedocument.spreadsheetml.externalLink+xml"/>
  <Override PartName="/xl/externalLinks/externalLink387.xml" ContentType="application/vnd.openxmlformats-officedocument.spreadsheetml.externalLink+xml"/>
  <Override PartName="/xl/externalLinks/externalLink388.xml" ContentType="application/vnd.openxmlformats-officedocument.spreadsheetml.externalLink+xml"/>
  <Override PartName="/xl/externalLinks/externalLink389.xml" ContentType="application/vnd.openxmlformats-officedocument.spreadsheetml.externalLink+xml"/>
  <Override PartName="/xl/externalLinks/externalLink390.xml" ContentType="application/vnd.openxmlformats-officedocument.spreadsheetml.externalLink+xml"/>
  <Override PartName="/xl/externalLinks/externalLink391.xml" ContentType="application/vnd.openxmlformats-officedocument.spreadsheetml.externalLink+xml"/>
  <Override PartName="/xl/externalLinks/externalLink392.xml" ContentType="application/vnd.openxmlformats-officedocument.spreadsheetml.externalLink+xml"/>
  <Override PartName="/xl/externalLinks/externalLink393.xml" ContentType="application/vnd.openxmlformats-officedocument.spreadsheetml.externalLink+xml"/>
  <Override PartName="/xl/externalLinks/externalLink394.xml" ContentType="application/vnd.openxmlformats-officedocument.spreadsheetml.externalLink+xml"/>
  <Override PartName="/xl/externalLinks/externalLink395.xml" ContentType="application/vnd.openxmlformats-officedocument.spreadsheetml.externalLink+xml"/>
  <Override PartName="/xl/externalLinks/externalLink396.xml" ContentType="application/vnd.openxmlformats-officedocument.spreadsheetml.externalLink+xml"/>
  <Override PartName="/xl/externalLinks/externalLink397.xml" ContentType="application/vnd.openxmlformats-officedocument.spreadsheetml.externalLink+xml"/>
  <Override PartName="/xl/externalLinks/externalLink398.xml" ContentType="application/vnd.openxmlformats-officedocument.spreadsheetml.externalLink+xml"/>
  <Override PartName="/xl/externalLinks/externalLink399.xml" ContentType="application/vnd.openxmlformats-officedocument.spreadsheetml.externalLink+xml"/>
  <Override PartName="/xl/externalLinks/externalLink400.xml" ContentType="application/vnd.openxmlformats-officedocument.spreadsheetml.externalLink+xml"/>
  <Override PartName="/xl/externalLinks/externalLink401.xml" ContentType="application/vnd.openxmlformats-officedocument.spreadsheetml.externalLink+xml"/>
  <Override PartName="/xl/externalLinks/externalLink402.xml" ContentType="application/vnd.openxmlformats-officedocument.spreadsheetml.externalLink+xml"/>
  <Override PartName="/xl/externalLinks/externalLink403.xml" ContentType="application/vnd.openxmlformats-officedocument.spreadsheetml.externalLink+xml"/>
  <Override PartName="/xl/externalLinks/externalLink404.xml" ContentType="application/vnd.openxmlformats-officedocument.spreadsheetml.externalLink+xml"/>
  <Override PartName="/xl/externalLinks/externalLink405.xml" ContentType="application/vnd.openxmlformats-officedocument.spreadsheetml.externalLink+xml"/>
  <Override PartName="/xl/externalLinks/externalLink406.xml" ContentType="application/vnd.openxmlformats-officedocument.spreadsheetml.externalLink+xml"/>
  <Override PartName="/xl/externalLinks/externalLink407.xml" ContentType="application/vnd.openxmlformats-officedocument.spreadsheetml.externalLink+xml"/>
  <Override PartName="/xl/externalLinks/externalLink408.xml" ContentType="application/vnd.openxmlformats-officedocument.spreadsheetml.externalLink+xml"/>
  <Override PartName="/xl/externalLinks/externalLink409.xml" ContentType="application/vnd.openxmlformats-officedocument.spreadsheetml.externalLink+xml"/>
  <Override PartName="/xl/externalLinks/externalLink410.xml" ContentType="application/vnd.openxmlformats-officedocument.spreadsheetml.externalLink+xml"/>
  <Override PartName="/xl/externalLinks/externalLink411.xml" ContentType="application/vnd.openxmlformats-officedocument.spreadsheetml.externalLink+xml"/>
  <Override PartName="/xl/externalLinks/externalLink412.xml" ContentType="application/vnd.openxmlformats-officedocument.spreadsheetml.externalLink+xml"/>
  <Override PartName="/xl/externalLinks/externalLink413.xml" ContentType="application/vnd.openxmlformats-officedocument.spreadsheetml.externalLink+xml"/>
  <Override PartName="/xl/externalLinks/externalLink414.xml" ContentType="application/vnd.openxmlformats-officedocument.spreadsheetml.externalLink+xml"/>
  <Override PartName="/xl/externalLinks/externalLink415.xml" ContentType="application/vnd.openxmlformats-officedocument.spreadsheetml.externalLink+xml"/>
  <Override PartName="/xl/externalLinks/externalLink416.xml" ContentType="application/vnd.openxmlformats-officedocument.spreadsheetml.externalLink+xml"/>
  <Override PartName="/xl/externalLinks/externalLink417.xml" ContentType="application/vnd.openxmlformats-officedocument.spreadsheetml.externalLink+xml"/>
  <Override PartName="/xl/externalLinks/externalLink418.xml" ContentType="application/vnd.openxmlformats-officedocument.spreadsheetml.externalLink+xml"/>
  <Override PartName="/xl/externalLinks/externalLink419.xml" ContentType="application/vnd.openxmlformats-officedocument.spreadsheetml.externalLink+xml"/>
  <Override PartName="/xl/externalLinks/externalLink420.xml" ContentType="application/vnd.openxmlformats-officedocument.spreadsheetml.externalLink+xml"/>
  <Override PartName="/xl/externalLinks/externalLink421.xml" ContentType="application/vnd.openxmlformats-officedocument.spreadsheetml.externalLink+xml"/>
  <Override PartName="/xl/externalLinks/externalLink422.xml" ContentType="application/vnd.openxmlformats-officedocument.spreadsheetml.externalLink+xml"/>
  <Override PartName="/xl/externalLinks/externalLink423.xml" ContentType="application/vnd.openxmlformats-officedocument.spreadsheetml.externalLink+xml"/>
  <Override PartName="/xl/externalLinks/externalLink424.xml" ContentType="application/vnd.openxmlformats-officedocument.spreadsheetml.externalLink+xml"/>
  <Override PartName="/xl/externalLinks/externalLink425.xml" ContentType="application/vnd.openxmlformats-officedocument.spreadsheetml.externalLink+xml"/>
  <Override PartName="/xl/externalLinks/externalLink426.xml" ContentType="application/vnd.openxmlformats-officedocument.spreadsheetml.externalLink+xml"/>
  <Override PartName="/xl/externalLinks/externalLink427.xml" ContentType="application/vnd.openxmlformats-officedocument.spreadsheetml.externalLink+xml"/>
  <Override PartName="/xl/externalLinks/externalLink428.xml" ContentType="application/vnd.openxmlformats-officedocument.spreadsheetml.externalLink+xml"/>
  <Override PartName="/xl/externalLinks/externalLink429.xml" ContentType="application/vnd.openxmlformats-officedocument.spreadsheetml.externalLink+xml"/>
  <Override PartName="/xl/externalLinks/externalLink430.xml" ContentType="application/vnd.openxmlformats-officedocument.spreadsheetml.externalLink+xml"/>
  <Override PartName="/xl/externalLinks/externalLink431.xml" ContentType="application/vnd.openxmlformats-officedocument.spreadsheetml.externalLink+xml"/>
  <Override PartName="/xl/externalLinks/externalLink432.xml" ContentType="application/vnd.openxmlformats-officedocument.spreadsheetml.externalLink+xml"/>
  <Override PartName="/xl/externalLinks/externalLink433.xml" ContentType="application/vnd.openxmlformats-officedocument.spreadsheetml.externalLink+xml"/>
  <Override PartName="/xl/externalLinks/externalLink434.xml" ContentType="application/vnd.openxmlformats-officedocument.spreadsheetml.externalLink+xml"/>
  <Override PartName="/xl/externalLinks/externalLink435.xml" ContentType="application/vnd.openxmlformats-officedocument.spreadsheetml.externalLink+xml"/>
  <Override PartName="/xl/externalLinks/externalLink436.xml" ContentType="application/vnd.openxmlformats-officedocument.spreadsheetml.externalLink+xml"/>
  <Override PartName="/xl/externalLinks/externalLink437.xml" ContentType="application/vnd.openxmlformats-officedocument.spreadsheetml.externalLink+xml"/>
  <Override PartName="/xl/externalLinks/externalLink438.xml" ContentType="application/vnd.openxmlformats-officedocument.spreadsheetml.externalLink+xml"/>
  <Override PartName="/xl/externalLinks/externalLink439.xml" ContentType="application/vnd.openxmlformats-officedocument.spreadsheetml.externalLink+xml"/>
  <Override PartName="/xl/externalLinks/externalLink440.xml" ContentType="application/vnd.openxmlformats-officedocument.spreadsheetml.externalLink+xml"/>
  <Override PartName="/xl/externalLinks/externalLink441.xml" ContentType="application/vnd.openxmlformats-officedocument.spreadsheetml.externalLink+xml"/>
  <Override PartName="/xl/externalLinks/externalLink442.xml" ContentType="application/vnd.openxmlformats-officedocument.spreadsheetml.externalLink+xml"/>
  <Override PartName="/xl/externalLinks/externalLink443.xml" ContentType="application/vnd.openxmlformats-officedocument.spreadsheetml.externalLink+xml"/>
  <Override PartName="/xl/externalLinks/externalLink444.xml" ContentType="application/vnd.openxmlformats-officedocument.spreadsheetml.externalLink+xml"/>
  <Override PartName="/xl/externalLinks/externalLink445.xml" ContentType="application/vnd.openxmlformats-officedocument.spreadsheetml.externalLink+xml"/>
  <Override PartName="/xl/externalLinks/externalLink446.xml" ContentType="application/vnd.openxmlformats-officedocument.spreadsheetml.externalLink+xml"/>
  <Override PartName="/xl/externalLinks/externalLink447.xml" ContentType="application/vnd.openxmlformats-officedocument.spreadsheetml.externalLink+xml"/>
  <Override PartName="/xl/externalLinks/externalLink448.xml" ContentType="application/vnd.openxmlformats-officedocument.spreadsheetml.externalLink+xml"/>
  <Override PartName="/xl/externalLinks/externalLink449.xml" ContentType="application/vnd.openxmlformats-officedocument.spreadsheetml.externalLink+xml"/>
  <Override PartName="/xl/externalLinks/externalLink450.xml" ContentType="application/vnd.openxmlformats-officedocument.spreadsheetml.externalLink+xml"/>
  <Override PartName="/xl/externalLinks/externalLink451.xml" ContentType="application/vnd.openxmlformats-officedocument.spreadsheetml.externalLink+xml"/>
  <Override PartName="/xl/externalLinks/externalLink452.xml" ContentType="application/vnd.openxmlformats-officedocument.spreadsheetml.externalLink+xml"/>
  <Override PartName="/xl/externalLinks/externalLink453.xml" ContentType="application/vnd.openxmlformats-officedocument.spreadsheetml.externalLink+xml"/>
  <Override PartName="/xl/externalLinks/externalLink454.xml" ContentType="application/vnd.openxmlformats-officedocument.spreadsheetml.externalLink+xml"/>
  <Override PartName="/xl/externalLinks/externalLink455.xml" ContentType="application/vnd.openxmlformats-officedocument.spreadsheetml.externalLink+xml"/>
  <Override PartName="/xl/externalLinks/externalLink456.xml" ContentType="application/vnd.openxmlformats-officedocument.spreadsheetml.externalLink+xml"/>
  <Override PartName="/xl/externalLinks/externalLink457.xml" ContentType="application/vnd.openxmlformats-officedocument.spreadsheetml.externalLink+xml"/>
  <Override PartName="/xl/externalLinks/externalLink458.xml" ContentType="application/vnd.openxmlformats-officedocument.spreadsheetml.externalLink+xml"/>
  <Override PartName="/xl/externalLinks/externalLink459.xml" ContentType="application/vnd.openxmlformats-officedocument.spreadsheetml.externalLink+xml"/>
  <Override PartName="/xl/externalLinks/externalLink460.xml" ContentType="application/vnd.openxmlformats-officedocument.spreadsheetml.externalLink+xml"/>
  <Override PartName="/xl/externalLinks/externalLink461.xml" ContentType="application/vnd.openxmlformats-officedocument.spreadsheetml.externalLink+xml"/>
  <Override PartName="/xl/externalLinks/externalLink462.xml" ContentType="application/vnd.openxmlformats-officedocument.spreadsheetml.externalLink+xml"/>
  <Override PartName="/xl/externalLinks/externalLink463.xml" ContentType="application/vnd.openxmlformats-officedocument.spreadsheetml.externalLink+xml"/>
  <Override PartName="/xl/externalLinks/externalLink464.xml" ContentType="application/vnd.openxmlformats-officedocument.spreadsheetml.externalLink+xml"/>
  <Override PartName="/xl/externalLinks/externalLink465.xml" ContentType="application/vnd.openxmlformats-officedocument.spreadsheetml.externalLink+xml"/>
  <Override PartName="/xl/externalLinks/externalLink466.xml" ContentType="application/vnd.openxmlformats-officedocument.spreadsheetml.externalLink+xml"/>
  <Override PartName="/xl/externalLinks/externalLink467.xml" ContentType="application/vnd.openxmlformats-officedocument.spreadsheetml.externalLink+xml"/>
  <Override PartName="/xl/externalLinks/externalLink468.xml" ContentType="application/vnd.openxmlformats-officedocument.spreadsheetml.externalLink+xml"/>
  <Override PartName="/xl/externalLinks/externalLink469.xml" ContentType="application/vnd.openxmlformats-officedocument.spreadsheetml.externalLink+xml"/>
  <Override PartName="/xl/externalLinks/externalLink470.xml" ContentType="application/vnd.openxmlformats-officedocument.spreadsheetml.externalLink+xml"/>
  <Override PartName="/xl/externalLinks/externalLink471.xml" ContentType="application/vnd.openxmlformats-officedocument.spreadsheetml.externalLink+xml"/>
  <Override PartName="/xl/externalLinks/externalLink472.xml" ContentType="application/vnd.openxmlformats-officedocument.spreadsheetml.externalLink+xml"/>
  <Override PartName="/xl/externalLinks/externalLink473.xml" ContentType="application/vnd.openxmlformats-officedocument.spreadsheetml.externalLink+xml"/>
  <Override PartName="/xl/externalLinks/externalLink474.xml" ContentType="application/vnd.openxmlformats-officedocument.spreadsheetml.externalLink+xml"/>
  <Override PartName="/xl/externalLinks/externalLink475.xml" ContentType="application/vnd.openxmlformats-officedocument.spreadsheetml.externalLink+xml"/>
  <Override PartName="/xl/externalLinks/externalLink476.xml" ContentType="application/vnd.openxmlformats-officedocument.spreadsheetml.externalLink+xml"/>
  <Override PartName="/xl/externalLinks/externalLink477.xml" ContentType="application/vnd.openxmlformats-officedocument.spreadsheetml.externalLink+xml"/>
  <Override PartName="/xl/externalLinks/externalLink478.xml" ContentType="application/vnd.openxmlformats-officedocument.spreadsheetml.externalLink+xml"/>
  <Override PartName="/xl/externalLinks/externalLink479.xml" ContentType="application/vnd.openxmlformats-officedocument.spreadsheetml.externalLink+xml"/>
  <Override PartName="/xl/externalLinks/externalLink480.xml" ContentType="application/vnd.openxmlformats-officedocument.spreadsheetml.externalLink+xml"/>
  <Override PartName="/xl/externalLinks/externalLink481.xml" ContentType="application/vnd.openxmlformats-officedocument.spreadsheetml.externalLink+xml"/>
  <Override PartName="/xl/externalLinks/externalLink482.xml" ContentType="application/vnd.openxmlformats-officedocument.spreadsheetml.externalLink+xml"/>
  <Override PartName="/xl/externalLinks/externalLink483.xml" ContentType="application/vnd.openxmlformats-officedocument.spreadsheetml.externalLink+xml"/>
  <Override PartName="/xl/externalLinks/externalLink484.xml" ContentType="application/vnd.openxmlformats-officedocument.spreadsheetml.externalLink+xml"/>
  <Override PartName="/xl/externalLinks/externalLink485.xml" ContentType="application/vnd.openxmlformats-officedocument.spreadsheetml.externalLink+xml"/>
  <Override PartName="/xl/externalLinks/externalLink486.xml" ContentType="application/vnd.openxmlformats-officedocument.spreadsheetml.externalLink+xml"/>
  <Override PartName="/xl/externalLinks/externalLink487.xml" ContentType="application/vnd.openxmlformats-officedocument.spreadsheetml.externalLink+xml"/>
  <Override PartName="/xl/externalLinks/externalLink488.xml" ContentType="application/vnd.openxmlformats-officedocument.spreadsheetml.externalLink+xml"/>
  <Override PartName="/xl/externalLinks/externalLink489.xml" ContentType="application/vnd.openxmlformats-officedocument.spreadsheetml.externalLink+xml"/>
  <Override PartName="/xl/externalLinks/externalLink490.xml" ContentType="application/vnd.openxmlformats-officedocument.spreadsheetml.externalLink+xml"/>
  <Override PartName="/xl/externalLinks/externalLink491.xml" ContentType="application/vnd.openxmlformats-officedocument.spreadsheetml.externalLink+xml"/>
  <Override PartName="/xl/externalLinks/externalLink492.xml" ContentType="application/vnd.openxmlformats-officedocument.spreadsheetml.externalLink+xml"/>
  <Override PartName="/xl/externalLinks/externalLink493.xml" ContentType="application/vnd.openxmlformats-officedocument.spreadsheetml.externalLink+xml"/>
  <Override PartName="/xl/externalLinks/externalLink494.xml" ContentType="application/vnd.openxmlformats-officedocument.spreadsheetml.externalLink+xml"/>
  <Override PartName="/xl/externalLinks/externalLink495.xml" ContentType="application/vnd.openxmlformats-officedocument.spreadsheetml.externalLink+xml"/>
  <Override PartName="/xl/externalLinks/externalLink496.xml" ContentType="application/vnd.openxmlformats-officedocument.spreadsheetml.externalLink+xml"/>
  <Override PartName="/xl/externalLinks/externalLink497.xml" ContentType="application/vnd.openxmlformats-officedocument.spreadsheetml.externalLink+xml"/>
  <Override PartName="/xl/externalLinks/externalLink498.xml" ContentType="application/vnd.openxmlformats-officedocument.spreadsheetml.externalLink+xml"/>
  <Override PartName="/xl/externalLinks/externalLink499.xml" ContentType="application/vnd.openxmlformats-officedocument.spreadsheetml.externalLink+xml"/>
  <Override PartName="/xl/externalLinks/externalLink500.xml" ContentType="application/vnd.openxmlformats-officedocument.spreadsheetml.externalLink+xml"/>
  <Override PartName="/xl/externalLinks/externalLink501.xml" ContentType="application/vnd.openxmlformats-officedocument.spreadsheetml.externalLink+xml"/>
  <Override PartName="/xl/externalLinks/externalLink502.xml" ContentType="application/vnd.openxmlformats-officedocument.spreadsheetml.externalLink+xml"/>
  <Override PartName="/xl/externalLinks/externalLink503.xml" ContentType="application/vnd.openxmlformats-officedocument.spreadsheetml.externalLink+xml"/>
  <Override PartName="/xl/externalLinks/externalLink504.xml" ContentType="application/vnd.openxmlformats-officedocument.spreadsheetml.externalLink+xml"/>
  <Override PartName="/xl/externalLinks/externalLink505.xml" ContentType="application/vnd.openxmlformats-officedocument.spreadsheetml.externalLink+xml"/>
  <Override PartName="/xl/externalLinks/externalLink506.xml" ContentType="application/vnd.openxmlformats-officedocument.spreadsheetml.externalLink+xml"/>
  <Override PartName="/xl/externalLinks/externalLink507.xml" ContentType="application/vnd.openxmlformats-officedocument.spreadsheetml.externalLink+xml"/>
  <Override PartName="/xl/externalLinks/externalLink508.xml" ContentType="application/vnd.openxmlformats-officedocument.spreadsheetml.externalLink+xml"/>
  <Override PartName="/xl/externalLinks/externalLink509.xml" ContentType="application/vnd.openxmlformats-officedocument.spreadsheetml.externalLink+xml"/>
  <Override PartName="/xl/externalLinks/externalLink510.xml" ContentType="application/vnd.openxmlformats-officedocument.spreadsheetml.externalLink+xml"/>
  <Override PartName="/xl/externalLinks/externalLink511.xml" ContentType="application/vnd.openxmlformats-officedocument.spreadsheetml.externalLink+xml"/>
  <Override PartName="/xl/externalLinks/externalLink512.xml" ContentType="application/vnd.openxmlformats-officedocument.spreadsheetml.externalLink+xml"/>
  <Override PartName="/xl/externalLinks/externalLink513.xml" ContentType="application/vnd.openxmlformats-officedocument.spreadsheetml.externalLink+xml"/>
  <Override PartName="/xl/externalLinks/externalLink514.xml" ContentType="application/vnd.openxmlformats-officedocument.spreadsheetml.externalLink+xml"/>
  <Override PartName="/xl/externalLinks/externalLink515.xml" ContentType="application/vnd.openxmlformats-officedocument.spreadsheetml.externalLink+xml"/>
  <Override PartName="/xl/externalLinks/externalLink516.xml" ContentType="application/vnd.openxmlformats-officedocument.spreadsheetml.externalLink+xml"/>
  <Override PartName="/xl/externalLinks/externalLink517.xml" ContentType="application/vnd.openxmlformats-officedocument.spreadsheetml.externalLink+xml"/>
  <Override PartName="/xl/externalLinks/externalLink518.xml" ContentType="application/vnd.openxmlformats-officedocument.spreadsheetml.externalLink+xml"/>
  <Override PartName="/xl/externalLinks/externalLink519.xml" ContentType="application/vnd.openxmlformats-officedocument.spreadsheetml.externalLink+xml"/>
  <Override PartName="/xl/externalLinks/externalLink520.xml" ContentType="application/vnd.openxmlformats-officedocument.spreadsheetml.externalLink+xml"/>
  <Override PartName="/xl/externalLinks/externalLink521.xml" ContentType="application/vnd.openxmlformats-officedocument.spreadsheetml.externalLink+xml"/>
  <Override PartName="/xl/externalLinks/externalLink522.xml" ContentType="application/vnd.openxmlformats-officedocument.spreadsheetml.externalLink+xml"/>
  <Override PartName="/xl/externalLinks/externalLink523.xml" ContentType="application/vnd.openxmlformats-officedocument.spreadsheetml.externalLink+xml"/>
  <Override PartName="/xl/externalLinks/externalLink524.xml" ContentType="application/vnd.openxmlformats-officedocument.spreadsheetml.externalLink+xml"/>
  <Override PartName="/xl/externalLinks/externalLink525.xml" ContentType="application/vnd.openxmlformats-officedocument.spreadsheetml.externalLink+xml"/>
  <Override PartName="/xl/externalLinks/externalLink526.xml" ContentType="application/vnd.openxmlformats-officedocument.spreadsheetml.externalLink+xml"/>
  <Override PartName="/xl/externalLinks/externalLink527.xml" ContentType="application/vnd.openxmlformats-officedocument.spreadsheetml.externalLink+xml"/>
  <Override PartName="/xl/externalLinks/externalLink528.xml" ContentType="application/vnd.openxmlformats-officedocument.spreadsheetml.externalLink+xml"/>
  <Override PartName="/xl/externalLinks/externalLink529.xml" ContentType="application/vnd.openxmlformats-officedocument.spreadsheetml.externalLink+xml"/>
  <Override PartName="/xl/externalLinks/externalLink530.xml" ContentType="application/vnd.openxmlformats-officedocument.spreadsheetml.externalLink+xml"/>
  <Override PartName="/xl/externalLinks/externalLink531.xml" ContentType="application/vnd.openxmlformats-officedocument.spreadsheetml.externalLink+xml"/>
  <Override PartName="/xl/externalLinks/externalLink532.xml" ContentType="application/vnd.openxmlformats-officedocument.spreadsheetml.externalLink+xml"/>
  <Override PartName="/xl/externalLinks/externalLink533.xml" ContentType="application/vnd.openxmlformats-officedocument.spreadsheetml.externalLink+xml"/>
  <Override PartName="/xl/externalLinks/externalLink534.xml" ContentType="application/vnd.openxmlformats-officedocument.spreadsheetml.externalLink+xml"/>
  <Override PartName="/xl/externalLinks/externalLink535.xml" ContentType="application/vnd.openxmlformats-officedocument.spreadsheetml.externalLink+xml"/>
  <Override PartName="/xl/externalLinks/externalLink536.xml" ContentType="application/vnd.openxmlformats-officedocument.spreadsheetml.externalLink+xml"/>
  <Override PartName="/xl/externalLinks/externalLink537.xml" ContentType="application/vnd.openxmlformats-officedocument.spreadsheetml.externalLink+xml"/>
  <Override PartName="/xl/externalLinks/externalLink538.xml" ContentType="application/vnd.openxmlformats-officedocument.spreadsheetml.externalLink+xml"/>
  <Override PartName="/xl/externalLinks/externalLink539.xml" ContentType="application/vnd.openxmlformats-officedocument.spreadsheetml.externalLink+xml"/>
  <Override PartName="/xl/externalLinks/externalLink540.xml" ContentType="application/vnd.openxmlformats-officedocument.spreadsheetml.externalLink+xml"/>
  <Override PartName="/xl/externalLinks/externalLink541.xml" ContentType="application/vnd.openxmlformats-officedocument.spreadsheetml.externalLink+xml"/>
  <Override PartName="/xl/externalLinks/externalLink542.xml" ContentType="application/vnd.openxmlformats-officedocument.spreadsheetml.externalLink+xml"/>
  <Override PartName="/xl/externalLinks/externalLink543.xml" ContentType="application/vnd.openxmlformats-officedocument.spreadsheetml.externalLink+xml"/>
  <Override PartName="/xl/externalLinks/externalLink544.xml" ContentType="application/vnd.openxmlformats-officedocument.spreadsheetml.externalLink+xml"/>
  <Override PartName="/xl/externalLinks/externalLink545.xml" ContentType="application/vnd.openxmlformats-officedocument.spreadsheetml.externalLink+xml"/>
  <Override PartName="/xl/externalLinks/externalLink546.xml" ContentType="application/vnd.openxmlformats-officedocument.spreadsheetml.externalLink+xml"/>
  <Override PartName="/xl/externalLinks/externalLink547.xml" ContentType="application/vnd.openxmlformats-officedocument.spreadsheetml.externalLink+xml"/>
  <Override PartName="/xl/externalLinks/externalLink548.xml" ContentType="application/vnd.openxmlformats-officedocument.spreadsheetml.externalLink+xml"/>
  <Override PartName="/xl/externalLinks/externalLink549.xml" ContentType="application/vnd.openxmlformats-officedocument.spreadsheetml.externalLink+xml"/>
  <Override PartName="/xl/externalLinks/externalLink550.xml" ContentType="application/vnd.openxmlformats-officedocument.spreadsheetml.externalLink+xml"/>
  <Override PartName="/xl/externalLinks/externalLink551.xml" ContentType="application/vnd.openxmlformats-officedocument.spreadsheetml.externalLink+xml"/>
  <Override PartName="/xl/externalLinks/externalLink552.xml" ContentType="application/vnd.openxmlformats-officedocument.spreadsheetml.externalLink+xml"/>
  <Override PartName="/xl/externalLinks/externalLink553.xml" ContentType="application/vnd.openxmlformats-officedocument.spreadsheetml.externalLink+xml"/>
  <Override PartName="/xl/externalLinks/externalLink554.xml" ContentType="application/vnd.openxmlformats-officedocument.spreadsheetml.externalLink+xml"/>
  <Override PartName="/xl/externalLinks/externalLink555.xml" ContentType="application/vnd.openxmlformats-officedocument.spreadsheetml.externalLink+xml"/>
  <Override PartName="/xl/externalLinks/externalLink556.xml" ContentType="application/vnd.openxmlformats-officedocument.spreadsheetml.externalLink+xml"/>
  <Override PartName="/xl/externalLinks/externalLink557.xml" ContentType="application/vnd.openxmlformats-officedocument.spreadsheetml.externalLink+xml"/>
  <Override PartName="/xl/externalLinks/externalLink558.xml" ContentType="application/vnd.openxmlformats-officedocument.spreadsheetml.externalLink+xml"/>
  <Override PartName="/xl/externalLinks/externalLink559.xml" ContentType="application/vnd.openxmlformats-officedocument.spreadsheetml.externalLink+xml"/>
  <Override PartName="/xl/externalLinks/externalLink560.xml" ContentType="application/vnd.openxmlformats-officedocument.spreadsheetml.externalLink+xml"/>
  <Override PartName="/xl/externalLinks/externalLink561.xml" ContentType="application/vnd.openxmlformats-officedocument.spreadsheetml.externalLink+xml"/>
  <Override PartName="/xl/externalLinks/externalLink562.xml" ContentType="application/vnd.openxmlformats-officedocument.spreadsheetml.externalLink+xml"/>
  <Override PartName="/xl/externalLinks/externalLink563.xml" ContentType="application/vnd.openxmlformats-officedocument.spreadsheetml.externalLink+xml"/>
  <Override PartName="/xl/externalLinks/externalLink564.xml" ContentType="application/vnd.openxmlformats-officedocument.spreadsheetml.externalLink+xml"/>
  <Override PartName="/xl/externalLinks/externalLink565.xml" ContentType="application/vnd.openxmlformats-officedocument.spreadsheetml.externalLink+xml"/>
  <Override PartName="/xl/externalLinks/externalLink566.xml" ContentType="application/vnd.openxmlformats-officedocument.spreadsheetml.externalLink+xml"/>
  <Override PartName="/xl/externalLinks/externalLink567.xml" ContentType="application/vnd.openxmlformats-officedocument.spreadsheetml.externalLink+xml"/>
  <Override PartName="/xl/externalLinks/externalLink568.xml" ContentType="application/vnd.openxmlformats-officedocument.spreadsheetml.externalLink+xml"/>
  <Override PartName="/xl/externalLinks/externalLink569.xml" ContentType="application/vnd.openxmlformats-officedocument.spreadsheetml.externalLink+xml"/>
  <Override PartName="/xl/externalLinks/externalLink570.xml" ContentType="application/vnd.openxmlformats-officedocument.spreadsheetml.externalLink+xml"/>
  <Override PartName="/xl/externalLinks/externalLink571.xml" ContentType="application/vnd.openxmlformats-officedocument.spreadsheetml.externalLink+xml"/>
  <Override PartName="/xl/externalLinks/externalLink572.xml" ContentType="application/vnd.openxmlformats-officedocument.spreadsheetml.externalLink+xml"/>
  <Override PartName="/xl/externalLinks/externalLink573.xml" ContentType="application/vnd.openxmlformats-officedocument.spreadsheetml.externalLink+xml"/>
  <Override PartName="/xl/externalLinks/externalLink574.xml" ContentType="application/vnd.openxmlformats-officedocument.spreadsheetml.externalLink+xml"/>
  <Override PartName="/xl/externalLinks/externalLink575.xml" ContentType="application/vnd.openxmlformats-officedocument.spreadsheetml.externalLink+xml"/>
  <Override PartName="/xl/externalLinks/externalLink576.xml" ContentType="application/vnd.openxmlformats-officedocument.spreadsheetml.externalLink+xml"/>
  <Override PartName="/xl/externalLinks/externalLink577.xml" ContentType="application/vnd.openxmlformats-officedocument.spreadsheetml.externalLink+xml"/>
  <Override PartName="/xl/externalLinks/externalLink578.xml" ContentType="application/vnd.openxmlformats-officedocument.spreadsheetml.externalLink+xml"/>
  <Override PartName="/xl/externalLinks/externalLink579.xml" ContentType="application/vnd.openxmlformats-officedocument.spreadsheetml.externalLink+xml"/>
  <Override PartName="/xl/externalLinks/externalLink580.xml" ContentType="application/vnd.openxmlformats-officedocument.spreadsheetml.externalLink+xml"/>
  <Override PartName="/xl/externalLinks/externalLink581.xml" ContentType="application/vnd.openxmlformats-officedocument.spreadsheetml.externalLink+xml"/>
  <Override PartName="/xl/externalLinks/externalLink582.xml" ContentType="application/vnd.openxmlformats-officedocument.spreadsheetml.externalLink+xml"/>
  <Override PartName="/xl/externalLinks/externalLink583.xml" ContentType="application/vnd.openxmlformats-officedocument.spreadsheetml.externalLink+xml"/>
  <Override PartName="/xl/externalLinks/externalLink584.xml" ContentType="application/vnd.openxmlformats-officedocument.spreadsheetml.externalLink+xml"/>
  <Override PartName="/xl/externalLinks/externalLink585.xml" ContentType="application/vnd.openxmlformats-officedocument.spreadsheetml.externalLink+xml"/>
  <Override PartName="/xl/externalLinks/externalLink586.xml" ContentType="application/vnd.openxmlformats-officedocument.spreadsheetml.externalLink+xml"/>
  <Override PartName="/xl/externalLinks/externalLink587.xml" ContentType="application/vnd.openxmlformats-officedocument.spreadsheetml.externalLink+xml"/>
  <Override PartName="/xl/externalLinks/externalLink588.xml" ContentType="application/vnd.openxmlformats-officedocument.spreadsheetml.externalLink+xml"/>
  <Override PartName="/xl/externalLinks/externalLink589.xml" ContentType="application/vnd.openxmlformats-officedocument.spreadsheetml.externalLink+xml"/>
  <Override PartName="/xl/externalLinks/externalLink590.xml" ContentType="application/vnd.openxmlformats-officedocument.spreadsheetml.externalLink+xml"/>
  <Override PartName="/xl/externalLinks/externalLink591.xml" ContentType="application/vnd.openxmlformats-officedocument.spreadsheetml.externalLink+xml"/>
  <Override PartName="/xl/externalLinks/externalLink592.xml" ContentType="application/vnd.openxmlformats-officedocument.spreadsheetml.externalLink+xml"/>
  <Override PartName="/xl/externalLinks/externalLink593.xml" ContentType="application/vnd.openxmlformats-officedocument.spreadsheetml.externalLink+xml"/>
  <Override PartName="/xl/externalLinks/externalLink594.xml" ContentType="application/vnd.openxmlformats-officedocument.spreadsheetml.externalLink+xml"/>
  <Override PartName="/xl/externalLinks/externalLink595.xml" ContentType="application/vnd.openxmlformats-officedocument.spreadsheetml.externalLink+xml"/>
  <Override PartName="/xl/externalLinks/externalLink596.xml" ContentType="application/vnd.openxmlformats-officedocument.spreadsheetml.externalLink+xml"/>
  <Override PartName="/xl/externalLinks/externalLink597.xml" ContentType="application/vnd.openxmlformats-officedocument.spreadsheetml.externalLink+xml"/>
  <Override PartName="/xl/externalLinks/externalLink598.xml" ContentType="application/vnd.openxmlformats-officedocument.spreadsheetml.externalLink+xml"/>
  <Override PartName="/xl/externalLinks/externalLink599.xml" ContentType="application/vnd.openxmlformats-officedocument.spreadsheetml.externalLink+xml"/>
  <Override PartName="/xl/externalLinks/externalLink600.xml" ContentType="application/vnd.openxmlformats-officedocument.spreadsheetml.externalLink+xml"/>
  <Override PartName="/xl/externalLinks/externalLink601.xml" ContentType="application/vnd.openxmlformats-officedocument.spreadsheetml.externalLink+xml"/>
  <Override PartName="/xl/externalLinks/externalLink602.xml" ContentType="application/vnd.openxmlformats-officedocument.spreadsheetml.externalLink+xml"/>
  <Override PartName="/xl/externalLinks/externalLink603.xml" ContentType="application/vnd.openxmlformats-officedocument.spreadsheetml.externalLink+xml"/>
  <Override PartName="/xl/externalLinks/externalLink604.xml" ContentType="application/vnd.openxmlformats-officedocument.spreadsheetml.externalLink+xml"/>
  <Override PartName="/xl/externalLinks/externalLink605.xml" ContentType="application/vnd.openxmlformats-officedocument.spreadsheetml.externalLink+xml"/>
  <Override PartName="/xl/externalLinks/externalLink606.xml" ContentType="application/vnd.openxmlformats-officedocument.spreadsheetml.externalLink+xml"/>
  <Override PartName="/xl/externalLinks/externalLink607.xml" ContentType="application/vnd.openxmlformats-officedocument.spreadsheetml.externalLink+xml"/>
  <Override PartName="/xl/externalLinks/externalLink608.xml" ContentType="application/vnd.openxmlformats-officedocument.spreadsheetml.externalLink+xml"/>
  <Override PartName="/xl/externalLinks/externalLink609.xml" ContentType="application/vnd.openxmlformats-officedocument.spreadsheetml.externalLink+xml"/>
  <Override PartName="/xl/externalLinks/externalLink610.xml" ContentType="application/vnd.openxmlformats-officedocument.spreadsheetml.externalLink+xml"/>
  <Override PartName="/xl/externalLinks/externalLink611.xml" ContentType="application/vnd.openxmlformats-officedocument.spreadsheetml.externalLink+xml"/>
  <Override PartName="/xl/externalLinks/externalLink612.xml" ContentType="application/vnd.openxmlformats-officedocument.spreadsheetml.externalLink+xml"/>
  <Override PartName="/xl/externalLinks/externalLink613.xml" ContentType="application/vnd.openxmlformats-officedocument.spreadsheetml.externalLink+xml"/>
  <Override PartName="/xl/externalLinks/externalLink614.xml" ContentType="application/vnd.openxmlformats-officedocument.spreadsheetml.externalLink+xml"/>
  <Override PartName="/xl/externalLinks/externalLink615.xml" ContentType="application/vnd.openxmlformats-officedocument.spreadsheetml.externalLink+xml"/>
  <Override PartName="/xl/externalLinks/externalLink616.xml" ContentType="application/vnd.openxmlformats-officedocument.spreadsheetml.externalLink+xml"/>
  <Override PartName="/xl/externalLinks/externalLink617.xml" ContentType="application/vnd.openxmlformats-officedocument.spreadsheetml.externalLink+xml"/>
  <Override PartName="/xl/externalLinks/externalLink618.xml" ContentType="application/vnd.openxmlformats-officedocument.spreadsheetml.externalLink+xml"/>
  <Override PartName="/xl/externalLinks/externalLink619.xml" ContentType="application/vnd.openxmlformats-officedocument.spreadsheetml.externalLink+xml"/>
  <Override PartName="/xl/externalLinks/externalLink620.xml" ContentType="application/vnd.openxmlformats-officedocument.spreadsheetml.externalLink+xml"/>
  <Override PartName="/xl/externalLinks/externalLink621.xml" ContentType="application/vnd.openxmlformats-officedocument.spreadsheetml.externalLink+xml"/>
  <Override PartName="/xl/externalLinks/externalLink622.xml" ContentType="application/vnd.openxmlformats-officedocument.spreadsheetml.externalLink+xml"/>
  <Override PartName="/xl/externalLinks/externalLink623.xml" ContentType="application/vnd.openxmlformats-officedocument.spreadsheetml.externalLink+xml"/>
  <Override PartName="/xl/externalLinks/externalLink624.xml" ContentType="application/vnd.openxmlformats-officedocument.spreadsheetml.externalLink+xml"/>
  <Override PartName="/xl/externalLinks/externalLink625.xml" ContentType="application/vnd.openxmlformats-officedocument.spreadsheetml.externalLink+xml"/>
  <Override PartName="/xl/externalLinks/externalLink626.xml" ContentType="application/vnd.openxmlformats-officedocument.spreadsheetml.externalLink+xml"/>
  <Override PartName="/xl/externalLinks/externalLink627.xml" ContentType="application/vnd.openxmlformats-officedocument.spreadsheetml.externalLink+xml"/>
  <Override PartName="/xl/externalLinks/externalLink628.xml" ContentType="application/vnd.openxmlformats-officedocument.spreadsheetml.externalLink+xml"/>
  <Override PartName="/xl/externalLinks/externalLink629.xml" ContentType="application/vnd.openxmlformats-officedocument.spreadsheetml.externalLink+xml"/>
  <Override PartName="/xl/externalLinks/externalLink630.xml" ContentType="application/vnd.openxmlformats-officedocument.spreadsheetml.externalLink+xml"/>
  <Override PartName="/xl/externalLinks/externalLink631.xml" ContentType="application/vnd.openxmlformats-officedocument.spreadsheetml.externalLink+xml"/>
  <Override PartName="/xl/externalLinks/externalLink632.xml" ContentType="application/vnd.openxmlformats-officedocument.spreadsheetml.externalLink+xml"/>
  <Override PartName="/xl/externalLinks/externalLink633.xml" ContentType="application/vnd.openxmlformats-officedocument.spreadsheetml.externalLink+xml"/>
  <Override PartName="/xl/externalLinks/externalLink634.xml" ContentType="application/vnd.openxmlformats-officedocument.spreadsheetml.externalLink+xml"/>
  <Override PartName="/xl/externalLinks/externalLink635.xml" ContentType="application/vnd.openxmlformats-officedocument.spreadsheetml.externalLink+xml"/>
  <Override PartName="/xl/externalLinks/externalLink636.xml" ContentType="application/vnd.openxmlformats-officedocument.spreadsheetml.externalLink+xml"/>
  <Override PartName="/xl/externalLinks/externalLink637.xml" ContentType="application/vnd.openxmlformats-officedocument.spreadsheetml.externalLink+xml"/>
  <Override PartName="/xl/externalLinks/externalLink638.xml" ContentType="application/vnd.openxmlformats-officedocument.spreadsheetml.externalLink+xml"/>
  <Override PartName="/xl/externalLinks/externalLink639.xml" ContentType="application/vnd.openxmlformats-officedocument.spreadsheetml.externalLink+xml"/>
  <Override PartName="/xl/externalLinks/externalLink640.xml" ContentType="application/vnd.openxmlformats-officedocument.spreadsheetml.externalLink+xml"/>
  <Override PartName="/xl/externalLinks/externalLink641.xml" ContentType="application/vnd.openxmlformats-officedocument.spreadsheetml.externalLink+xml"/>
  <Override PartName="/xl/externalLinks/externalLink642.xml" ContentType="application/vnd.openxmlformats-officedocument.spreadsheetml.externalLink+xml"/>
  <Override PartName="/xl/externalLinks/externalLink643.xml" ContentType="application/vnd.openxmlformats-officedocument.spreadsheetml.externalLink+xml"/>
  <Override PartName="/xl/externalLinks/externalLink644.xml" ContentType="application/vnd.openxmlformats-officedocument.spreadsheetml.externalLink+xml"/>
  <Override PartName="/xl/externalLinks/externalLink645.xml" ContentType="application/vnd.openxmlformats-officedocument.spreadsheetml.externalLink+xml"/>
  <Override PartName="/xl/externalLinks/externalLink646.xml" ContentType="application/vnd.openxmlformats-officedocument.spreadsheetml.externalLink+xml"/>
  <Override PartName="/xl/externalLinks/externalLink647.xml" ContentType="application/vnd.openxmlformats-officedocument.spreadsheetml.externalLink+xml"/>
  <Override PartName="/xl/externalLinks/externalLink648.xml" ContentType="application/vnd.openxmlformats-officedocument.spreadsheetml.externalLink+xml"/>
  <Override PartName="/xl/externalLinks/externalLink649.xml" ContentType="application/vnd.openxmlformats-officedocument.spreadsheetml.externalLink+xml"/>
  <Override PartName="/xl/externalLinks/externalLink650.xml" ContentType="application/vnd.openxmlformats-officedocument.spreadsheetml.externalLink+xml"/>
  <Override PartName="/xl/externalLinks/externalLink651.xml" ContentType="application/vnd.openxmlformats-officedocument.spreadsheetml.externalLink+xml"/>
  <Override PartName="/xl/externalLinks/externalLink652.xml" ContentType="application/vnd.openxmlformats-officedocument.spreadsheetml.externalLink+xml"/>
  <Override PartName="/xl/externalLinks/externalLink653.xml" ContentType="application/vnd.openxmlformats-officedocument.spreadsheetml.externalLink+xml"/>
  <Override PartName="/xl/externalLinks/externalLink654.xml" ContentType="application/vnd.openxmlformats-officedocument.spreadsheetml.externalLink+xml"/>
  <Override PartName="/xl/externalLinks/externalLink655.xml" ContentType="application/vnd.openxmlformats-officedocument.spreadsheetml.externalLink+xml"/>
  <Override PartName="/xl/externalLinks/externalLink656.xml" ContentType="application/vnd.openxmlformats-officedocument.spreadsheetml.externalLink+xml"/>
  <Override PartName="/xl/externalLinks/externalLink657.xml" ContentType="application/vnd.openxmlformats-officedocument.spreadsheetml.externalLink+xml"/>
  <Override PartName="/xl/externalLinks/externalLink658.xml" ContentType="application/vnd.openxmlformats-officedocument.spreadsheetml.externalLink+xml"/>
  <Override PartName="/xl/externalLinks/externalLink659.xml" ContentType="application/vnd.openxmlformats-officedocument.spreadsheetml.externalLink+xml"/>
  <Override PartName="/xl/externalLinks/externalLink660.xml" ContentType="application/vnd.openxmlformats-officedocument.spreadsheetml.externalLink+xml"/>
  <Override PartName="/xl/externalLinks/externalLink661.xml" ContentType="application/vnd.openxmlformats-officedocument.spreadsheetml.externalLink+xml"/>
  <Override PartName="/xl/externalLinks/externalLink662.xml" ContentType="application/vnd.openxmlformats-officedocument.spreadsheetml.externalLink+xml"/>
  <Override PartName="/xl/externalLinks/externalLink663.xml" ContentType="application/vnd.openxmlformats-officedocument.spreadsheetml.externalLink+xml"/>
  <Override PartName="/xl/externalLinks/externalLink664.xml" ContentType="application/vnd.openxmlformats-officedocument.spreadsheetml.externalLink+xml"/>
  <Override PartName="/xl/externalLinks/externalLink665.xml" ContentType="application/vnd.openxmlformats-officedocument.spreadsheetml.externalLink+xml"/>
  <Override PartName="/xl/externalLinks/externalLink666.xml" ContentType="application/vnd.openxmlformats-officedocument.spreadsheetml.externalLink+xml"/>
  <Override PartName="/xl/externalLinks/externalLink667.xml" ContentType="application/vnd.openxmlformats-officedocument.spreadsheetml.externalLink+xml"/>
  <Override PartName="/xl/externalLinks/externalLink668.xml" ContentType="application/vnd.openxmlformats-officedocument.spreadsheetml.externalLink+xml"/>
  <Override PartName="/xl/externalLinks/externalLink669.xml" ContentType="application/vnd.openxmlformats-officedocument.spreadsheetml.externalLink+xml"/>
  <Override PartName="/xl/externalLinks/externalLink670.xml" ContentType="application/vnd.openxmlformats-officedocument.spreadsheetml.externalLink+xml"/>
  <Override PartName="/xl/externalLinks/externalLink671.xml" ContentType="application/vnd.openxmlformats-officedocument.spreadsheetml.externalLink+xml"/>
  <Override PartName="/xl/externalLinks/externalLink672.xml" ContentType="application/vnd.openxmlformats-officedocument.spreadsheetml.externalLink+xml"/>
  <Override PartName="/xl/externalLinks/externalLink673.xml" ContentType="application/vnd.openxmlformats-officedocument.spreadsheetml.externalLink+xml"/>
  <Override PartName="/xl/externalLinks/externalLink674.xml" ContentType="application/vnd.openxmlformats-officedocument.spreadsheetml.externalLink+xml"/>
  <Override PartName="/xl/externalLinks/externalLink67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/Documents/Stock Models/"/>
    </mc:Choice>
  </mc:AlternateContent>
  <xr:revisionPtr revIDLastSave="0" documentId="13_ncr:1_{8C9AB7D4-E149-8447-B453-82DCB575F344}" xr6:coauthVersionLast="47" xr6:coauthVersionMax="47" xr10:uidLastSave="{00000000-0000-0000-0000-000000000000}"/>
  <bookViews>
    <workbookView xWindow="660" yWindow="1960" windowWidth="28040" windowHeight="17160" xr2:uid="{00000000-000D-0000-FFFF-FFFF00000000}"/>
  </bookViews>
  <sheets>
    <sheet name="Recommendations" sheetId="2" r:id="rId1"/>
    <sheet name="Pharma" sheetId="1" r:id="rId2"/>
    <sheet name="Energy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  <externalReference r:id="rId190"/>
    <externalReference r:id="rId191"/>
    <externalReference r:id="rId192"/>
    <externalReference r:id="rId193"/>
    <externalReference r:id="rId194"/>
    <externalReference r:id="rId195"/>
    <externalReference r:id="rId196"/>
    <externalReference r:id="rId197"/>
    <externalReference r:id="rId198"/>
    <externalReference r:id="rId199"/>
    <externalReference r:id="rId200"/>
    <externalReference r:id="rId201"/>
    <externalReference r:id="rId202"/>
    <externalReference r:id="rId203"/>
    <externalReference r:id="rId204"/>
    <externalReference r:id="rId205"/>
    <externalReference r:id="rId206"/>
    <externalReference r:id="rId207"/>
    <externalReference r:id="rId208"/>
    <externalReference r:id="rId209"/>
    <externalReference r:id="rId210"/>
    <externalReference r:id="rId211"/>
    <externalReference r:id="rId212"/>
    <externalReference r:id="rId213"/>
    <externalReference r:id="rId214"/>
    <externalReference r:id="rId215"/>
    <externalReference r:id="rId216"/>
    <externalReference r:id="rId217"/>
    <externalReference r:id="rId218"/>
    <externalReference r:id="rId219"/>
    <externalReference r:id="rId220"/>
    <externalReference r:id="rId221"/>
    <externalReference r:id="rId222"/>
    <externalReference r:id="rId223"/>
    <externalReference r:id="rId224"/>
    <externalReference r:id="rId225"/>
    <externalReference r:id="rId226"/>
    <externalReference r:id="rId227"/>
    <externalReference r:id="rId228"/>
    <externalReference r:id="rId229"/>
    <externalReference r:id="rId230"/>
    <externalReference r:id="rId231"/>
    <externalReference r:id="rId232"/>
    <externalReference r:id="rId233"/>
    <externalReference r:id="rId234"/>
    <externalReference r:id="rId235"/>
    <externalReference r:id="rId236"/>
    <externalReference r:id="rId237"/>
    <externalReference r:id="rId238"/>
    <externalReference r:id="rId239"/>
    <externalReference r:id="rId240"/>
    <externalReference r:id="rId241"/>
    <externalReference r:id="rId242"/>
    <externalReference r:id="rId243"/>
    <externalReference r:id="rId244"/>
    <externalReference r:id="rId245"/>
    <externalReference r:id="rId246"/>
    <externalReference r:id="rId247"/>
    <externalReference r:id="rId248"/>
    <externalReference r:id="rId249"/>
    <externalReference r:id="rId250"/>
    <externalReference r:id="rId251"/>
    <externalReference r:id="rId252"/>
    <externalReference r:id="rId253"/>
    <externalReference r:id="rId254"/>
    <externalReference r:id="rId255"/>
    <externalReference r:id="rId256"/>
    <externalReference r:id="rId257"/>
    <externalReference r:id="rId258"/>
    <externalReference r:id="rId259"/>
    <externalReference r:id="rId260"/>
    <externalReference r:id="rId261"/>
    <externalReference r:id="rId262"/>
    <externalReference r:id="rId263"/>
    <externalReference r:id="rId264"/>
    <externalReference r:id="rId265"/>
    <externalReference r:id="rId266"/>
    <externalReference r:id="rId267"/>
    <externalReference r:id="rId268"/>
    <externalReference r:id="rId269"/>
    <externalReference r:id="rId270"/>
    <externalReference r:id="rId271"/>
    <externalReference r:id="rId272"/>
    <externalReference r:id="rId273"/>
    <externalReference r:id="rId274"/>
    <externalReference r:id="rId275"/>
    <externalReference r:id="rId276"/>
    <externalReference r:id="rId277"/>
    <externalReference r:id="rId278"/>
    <externalReference r:id="rId279"/>
    <externalReference r:id="rId280"/>
    <externalReference r:id="rId281"/>
    <externalReference r:id="rId282"/>
    <externalReference r:id="rId283"/>
    <externalReference r:id="rId284"/>
    <externalReference r:id="rId285"/>
    <externalReference r:id="rId286"/>
    <externalReference r:id="rId287"/>
    <externalReference r:id="rId288"/>
    <externalReference r:id="rId289"/>
    <externalReference r:id="rId290"/>
    <externalReference r:id="rId291"/>
    <externalReference r:id="rId292"/>
    <externalReference r:id="rId293"/>
    <externalReference r:id="rId294"/>
    <externalReference r:id="rId295"/>
    <externalReference r:id="rId296"/>
    <externalReference r:id="rId297"/>
    <externalReference r:id="rId298"/>
    <externalReference r:id="rId299"/>
    <externalReference r:id="rId300"/>
    <externalReference r:id="rId301"/>
    <externalReference r:id="rId302"/>
    <externalReference r:id="rId303"/>
    <externalReference r:id="rId304"/>
    <externalReference r:id="rId305"/>
    <externalReference r:id="rId306"/>
    <externalReference r:id="rId307"/>
    <externalReference r:id="rId308"/>
    <externalReference r:id="rId309"/>
    <externalReference r:id="rId310"/>
    <externalReference r:id="rId311"/>
    <externalReference r:id="rId312"/>
    <externalReference r:id="rId313"/>
    <externalReference r:id="rId314"/>
    <externalReference r:id="rId315"/>
    <externalReference r:id="rId316"/>
    <externalReference r:id="rId317"/>
    <externalReference r:id="rId318"/>
    <externalReference r:id="rId319"/>
    <externalReference r:id="rId320"/>
    <externalReference r:id="rId321"/>
    <externalReference r:id="rId322"/>
    <externalReference r:id="rId323"/>
    <externalReference r:id="rId324"/>
    <externalReference r:id="rId325"/>
    <externalReference r:id="rId326"/>
    <externalReference r:id="rId327"/>
    <externalReference r:id="rId328"/>
    <externalReference r:id="rId329"/>
    <externalReference r:id="rId330"/>
    <externalReference r:id="rId331"/>
    <externalReference r:id="rId332"/>
    <externalReference r:id="rId333"/>
    <externalReference r:id="rId334"/>
    <externalReference r:id="rId335"/>
    <externalReference r:id="rId336"/>
    <externalReference r:id="rId337"/>
    <externalReference r:id="rId338"/>
    <externalReference r:id="rId339"/>
    <externalReference r:id="rId340"/>
    <externalReference r:id="rId341"/>
    <externalReference r:id="rId342"/>
    <externalReference r:id="rId343"/>
    <externalReference r:id="rId344"/>
    <externalReference r:id="rId345"/>
    <externalReference r:id="rId346"/>
    <externalReference r:id="rId347"/>
    <externalReference r:id="rId348"/>
    <externalReference r:id="rId349"/>
    <externalReference r:id="rId350"/>
    <externalReference r:id="rId351"/>
    <externalReference r:id="rId352"/>
    <externalReference r:id="rId353"/>
    <externalReference r:id="rId354"/>
    <externalReference r:id="rId355"/>
    <externalReference r:id="rId356"/>
    <externalReference r:id="rId357"/>
    <externalReference r:id="rId358"/>
    <externalReference r:id="rId359"/>
    <externalReference r:id="rId360"/>
    <externalReference r:id="rId361"/>
    <externalReference r:id="rId362"/>
    <externalReference r:id="rId363"/>
    <externalReference r:id="rId364"/>
    <externalReference r:id="rId365"/>
    <externalReference r:id="rId366"/>
    <externalReference r:id="rId367"/>
    <externalReference r:id="rId368"/>
    <externalReference r:id="rId369"/>
    <externalReference r:id="rId370"/>
    <externalReference r:id="rId371"/>
    <externalReference r:id="rId372"/>
    <externalReference r:id="rId373"/>
    <externalReference r:id="rId374"/>
    <externalReference r:id="rId375"/>
    <externalReference r:id="rId376"/>
    <externalReference r:id="rId377"/>
    <externalReference r:id="rId378"/>
    <externalReference r:id="rId379"/>
    <externalReference r:id="rId380"/>
    <externalReference r:id="rId381"/>
    <externalReference r:id="rId382"/>
    <externalReference r:id="rId383"/>
    <externalReference r:id="rId384"/>
    <externalReference r:id="rId385"/>
    <externalReference r:id="rId386"/>
    <externalReference r:id="rId387"/>
    <externalReference r:id="rId388"/>
    <externalReference r:id="rId389"/>
    <externalReference r:id="rId390"/>
    <externalReference r:id="rId391"/>
    <externalReference r:id="rId392"/>
    <externalReference r:id="rId393"/>
    <externalReference r:id="rId394"/>
    <externalReference r:id="rId395"/>
    <externalReference r:id="rId396"/>
    <externalReference r:id="rId397"/>
    <externalReference r:id="rId398"/>
    <externalReference r:id="rId399"/>
    <externalReference r:id="rId400"/>
    <externalReference r:id="rId401"/>
    <externalReference r:id="rId402"/>
    <externalReference r:id="rId403"/>
    <externalReference r:id="rId404"/>
    <externalReference r:id="rId405"/>
    <externalReference r:id="rId406"/>
    <externalReference r:id="rId407"/>
    <externalReference r:id="rId408"/>
    <externalReference r:id="rId409"/>
    <externalReference r:id="rId410"/>
    <externalReference r:id="rId411"/>
    <externalReference r:id="rId412"/>
    <externalReference r:id="rId413"/>
    <externalReference r:id="rId414"/>
    <externalReference r:id="rId415"/>
    <externalReference r:id="rId416"/>
    <externalReference r:id="rId417"/>
    <externalReference r:id="rId418"/>
    <externalReference r:id="rId419"/>
    <externalReference r:id="rId420"/>
    <externalReference r:id="rId421"/>
    <externalReference r:id="rId422"/>
    <externalReference r:id="rId423"/>
    <externalReference r:id="rId424"/>
    <externalReference r:id="rId425"/>
    <externalReference r:id="rId426"/>
    <externalReference r:id="rId427"/>
    <externalReference r:id="rId428"/>
    <externalReference r:id="rId429"/>
    <externalReference r:id="rId430"/>
    <externalReference r:id="rId431"/>
    <externalReference r:id="rId432"/>
    <externalReference r:id="rId433"/>
    <externalReference r:id="rId434"/>
    <externalReference r:id="rId435"/>
    <externalReference r:id="rId436"/>
    <externalReference r:id="rId437"/>
    <externalReference r:id="rId438"/>
    <externalReference r:id="rId439"/>
    <externalReference r:id="rId440"/>
    <externalReference r:id="rId441"/>
    <externalReference r:id="rId442"/>
    <externalReference r:id="rId443"/>
    <externalReference r:id="rId444"/>
    <externalReference r:id="rId445"/>
    <externalReference r:id="rId446"/>
    <externalReference r:id="rId447"/>
    <externalReference r:id="rId448"/>
    <externalReference r:id="rId449"/>
    <externalReference r:id="rId450"/>
    <externalReference r:id="rId451"/>
    <externalReference r:id="rId452"/>
    <externalReference r:id="rId453"/>
    <externalReference r:id="rId454"/>
    <externalReference r:id="rId455"/>
    <externalReference r:id="rId456"/>
    <externalReference r:id="rId457"/>
    <externalReference r:id="rId458"/>
    <externalReference r:id="rId459"/>
    <externalReference r:id="rId460"/>
    <externalReference r:id="rId461"/>
    <externalReference r:id="rId462"/>
    <externalReference r:id="rId463"/>
    <externalReference r:id="rId464"/>
    <externalReference r:id="rId465"/>
    <externalReference r:id="rId466"/>
    <externalReference r:id="rId467"/>
    <externalReference r:id="rId468"/>
    <externalReference r:id="rId469"/>
    <externalReference r:id="rId470"/>
    <externalReference r:id="rId471"/>
    <externalReference r:id="rId472"/>
    <externalReference r:id="rId473"/>
    <externalReference r:id="rId474"/>
    <externalReference r:id="rId475"/>
    <externalReference r:id="rId476"/>
    <externalReference r:id="rId477"/>
    <externalReference r:id="rId478"/>
    <externalReference r:id="rId479"/>
    <externalReference r:id="rId480"/>
    <externalReference r:id="rId481"/>
    <externalReference r:id="rId482"/>
    <externalReference r:id="rId483"/>
    <externalReference r:id="rId484"/>
    <externalReference r:id="rId485"/>
    <externalReference r:id="rId486"/>
    <externalReference r:id="rId487"/>
    <externalReference r:id="rId488"/>
    <externalReference r:id="rId489"/>
    <externalReference r:id="rId490"/>
    <externalReference r:id="rId491"/>
    <externalReference r:id="rId492"/>
    <externalReference r:id="rId493"/>
    <externalReference r:id="rId494"/>
    <externalReference r:id="rId495"/>
    <externalReference r:id="rId496"/>
    <externalReference r:id="rId497"/>
    <externalReference r:id="rId498"/>
    <externalReference r:id="rId499"/>
    <externalReference r:id="rId500"/>
    <externalReference r:id="rId501"/>
    <externalReference r:id="rId502"/>
    <externalReference r:id="rId503"/>
    <externalReference r:id="rId504"/>
    <externalReference r:id="rId505"/>
    <externalReference r:id="rId506"/>
    <externalReference r:id="rId507"/>
    <externalReference r:id="rId508"/>
    <externalReference r:id="rId509"/>
    <externalReference r:id="rId510"/>
    <externalReference r:id="rId511"/>
    <externalReference r:id="rId512"/>
    <externalReference r:id="rId513"/>
    <externalReference r:id="rId514"/>
    <externalReference r:id="rId515"/>
    <externalReference r:id="rId516"/>
    <externalReference r:id="rId517"/>
    <externalReference r:id="rId518"/>
    <externalReference r:id="rId519"/>
    <externalReference r:id="rId520"/>
    <externalReference r:id="rId521"/>
    <externalReference r:id="rId522"/>
    <externalReference r:id="rId523"/>
    <externalReference r:id="rId524"/>
    <externalReference r:id="rId525"/>
    <externalReference r:id="rId526"/>
    <externalReference r:id="rId527"/>
    <externalReference r:id="rId528"/>
    <externalReference r:id="rId529"/>
    <externalReference r:id="rId530"/>
    <externalReference r:id="rId531"/>
    <externalReference r:id="rId532"/>
    <externalReference r:id="rId533"/>
    <externalReference r:id="rId534"/>
    <externalReference r:id="rId535"/>
    <externalReference r:id="rId536"/>
    <externalReference r:id="rId537"/>
    <externalReference r:id="rId538"/>
    <externalReference r:id="rId539"/>
    <externalReference r:id="rId540"/>
    <externalReference r:id="rId541"/>
    <externalReference r:id="rId542"/>
    <externalReference r:id="rId543"/>
    <externalReference r:id="rId544"/>
    <externalReference r:id="rId545"/>
    <externalReference r:id="rId546"/>
    <externalReference r:id="rId547"/>
    <externalReference r:id="rId548"/>
    <externalReference r:id="rId549"/>
    <externalReference r:id="rId550"/>
    <externalReference r:id="rId551"/>
    <externalReference r:id="rId552"/>
    <externalReference r:id="rId553"/>
    <externalReference r:id="rId554"/>
    <externalReference r:id="rId555"/>
    <externalReference r:id="rId556"/>
    <externalReference r:id="rId557"/>
    <externalReference r:id="rId558"/>
    <externalReference r:id="rId559"/>
    <externalReference r:id="rId560"/>
    <externalReference r:id="rId561"/>
    <externalReference r:id="rId562"/>
    <externalReference r:id="rId563"/>
    <externalReference r:id="rId564"/>
    <externalReference r:id="rId565"/>
    <externalReference r:id="rId566"/>
    <externalReference r:id="rId567"/>
    <externalReference r:id="rId568"/>
    <externalReference r:id="rId569"/>
    <externalReference r:id="rId570"/>
    <externalReference r:id="rId571"/>
    <externalReference r:id="rId572"/>
    <externalReference r:id="rId573"/>
    <externalReference r:id="rId574"/>
    <externalReference r:id="rId575"/>
    <externalReference r:id="rId576"/>
    <externalReference r:id="rId577"/>
    <externalReference r:id="rId578"/>
    <externalReference r:id="rId579"/>
    <externalReference r:id="rId580"/>
    <externalReference r:id="rId581"/>
    <externalReference r:id="rId582"/>
    <externalReference r:id="rId583"/>
    <externalReference r:id="rId584"/>
    <externalReference r:id="rId585"/>
    <externalReference r:id="rId586"/>
    <externalReference r:id="rId587"/>
    <externalReference r:id="rId588"/>
    <externalReference r:id="rId589"/>
    <externalReference r:id="rId590"/>
    <externalReference r:id="rId591"/>
    <externalReference r:id="rId592"/>
    <externalReference r:id="rId593"/>
    <externalReference r:id="rId594"/>
    <externalReference r:id="rId595"/>
    <externalReference r:id="rId596"/>
    <externalReference r:id="rId597"/>
    <externalReference r:id="rId598"/>
    <externalReference r:id="rId599"/>
    <externalReference r:id="rId600"/>
    <externalReference r:id="rId601"/>
    <externalReference r:id="rId602"/>
    <externalReference r:id="rId603"/>
    <externalReference r:id="rId604"/>
    <externalReference r:id="rId605"/>
    <externalReference r:id="rId606"/>
    <externalReference r:id="rId607"/>
    <externalReference r:id="rId608"/>
    <externalReference r:id="rId609"/>
    <externalReference r:id="rId610"/>
    <externalReference r:id="rId611"/>
    <externalReference r:id="rId612"/>
    <externalReference r:id="rId613"/>
    <externalReference r:id="rId614"/>
    <externalReference r:id="rId615"/>
    <externalReference r:id="rId616"/>
    <externalReference r:id="rId617"/>
    <externalReference r:id="rId618"/>
    <externalReference r:id="rId619"/>
    <externalReference r:id="rId620"/>
    <externalReference r:id="rId621"/>
    <externalReference r:id="rId622"/>
    <externalReference r:id="rId623"/>
    <externalReference r:id="rId624"/>
    <externalReference r:id="rId625"/>
    <externalReference r:id="rId626"/>
    <externalReference r:id="rId627"/>
    <externalReference r:id="rId628"/>
    <externalReference r:id="rId629"/>
    <externalReference r:id="rId630"/>
    <externalReference r:id="rId631"/>
    <externalReference r:id="rId632"/>
    <externalReference r:id="rId633"/>
    <externalReference r:id="rId634"/>
    <externalReference r:id="rId635"/>
    <externalReference r:id="rId636"/>
    <externalReference r:id="rId637"/>
    <externalReference r:id="rId638"/>
    <externalReference r:id="rId639"/>
    <externalReference r:id="rId640"/>
    <externalReference r:id="rId641"/>
    <externalReference r:id="rId642"/>
    <externalReference r:id="rId643"/>
    <externalReference r:id="rId644"/>
    <externalReference r:id="rId645"/>
    <externalReference r:id="rId646"/>
    <externalReference r:id="rId647"/>
    <externalReference r:id="rId648"/>
    <externalReference r:id="rId649"/>
    <externalReference r:id="rId650"/>
    <externalReference r:id="rId651"/>
    <externalReference r:id="rId652"/>
    <externalReference r:id="rId653"/>
    <externalReference r:id="rId654"/>
    <externalReference r:id="rId655"/>
    <externalReference r:id="rId656"/>
    <externalReference r:id="rId657"/>
    <externalReference r:id="rId658"/>
    <externalReference r:id="rId659"/>
    <externalReference r:id="rId660"/>
    <externalReference r:id="rId661"/>
    <externalReference r:id="rId662"/>
    <externalReference r:id="rId663"/>
    <externalReference r:id="rId664"/>
    <externalReference r:id="rId665"/>
    <externalReference r:id="rId666"/>
    <externalReference r:id="rId667"/>
    <externalReference r:id="rId668"/>
    <externalReference r:id="rId669"/>
    <externalReference r:id="rId670"/>
    <externalReference r:id="rId671"/>
    <externalReference r:id="rId672"/>
    <externalReference r:id="rId673"/>
    <externalReference r:id="rId674"/>
    <externalReference r:id="rId675"/>
    <externalReference r:id="rId676"/>
    <externalReference r:id="rId677"/>
    <externalReference r:id="rId678"/>
  </externalReferences>
  <definedNames>
    <definedName name="_xlnm._FilterDatabase" localSheetId="1" hidden="1">Pharma!$B$2:$N$677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5" i="2" l="1"/>
  <c r="Q65" i="2"/>
  <c r="R64" i="2"/>
  <c r="Q64" i="2"/>
  <c r="R63" i="2"/>
  <c r="Q63" i="2"/>
  <c r="R62" i="2"/>
  <c r="Q62" i="2"/>
  <c r="R61" i="2"/>
  <c r="Q61" i="2"/>
  <c r="R60" i="2"/>
  <c r="Q60" i="2"/>
  <c r="R59" i="2"/>
  <c r="Q59" i="2"/>
  <c r="R58" i="2"/>
  <c r="Q58" i="2"/>
  <c r="R57" i="2"/>
  <c r="Q57" i="2"/>
  <c r="R56" i="2"/>
  <c r="Q56" i="2"/>
  <c r="R55" i="2"/>
  <c r="Q55" i="2"/>
  <c r="R54" i="2"/>
  <c r="Q54" i="2"/>
  <c r="R53" i="2"/>
  <c r="Q53" i="2"/>
  <c r="R52" i="2"/>
  <c r="Q52" i="2"/>
  <c r="R51" i="2"/>
  <c r="Q51" i="2"/>
  <c r="R50" i="2"/>
  <c r="Q50" i="2"/>
  <c r="R49" i="2"/>
  <c r="Q49" i="2"/>
  <c r="R48" i="2"/>
  <c r="Q48" i="2"/>
  <c r="R47" i="2"/>
  <c r="Q47" i="2"/>
  <c r="R46" i="2"/>
  <c r="Q46" i="2"/>
  <c r="R45" i="2"/>
  <c r="Q45" i="2"/>
  <c r="R44" i="2"/>
  <c r="Q44" i="2"/>
  <c r="R43" i="2"/>
  <c r="Q43" i="2"/>
  <c r="R42" i="2"/>
  <c r="Q42" i="2"/>
  <c r="R41" i="2"/>
  <c r="Q41" i="2"/>
  <c r="R40" i="2"/>
  <c r="Q40" i="2"/>
  <c r="R39" i="2"/>
  <c r="Q39" i="2"/>
  <c r="R38" i="2"/>
  <c r="Q38" i="2"/>
  <c r="R34" i="2"/>
  <c r="Q34" i="2"/>
  <c r="R33" i="2"/>
  <c r="Q33" i="2"/>
  <c r="R32" i="2"/>
  <c r="Q32" i="2"/>
  <c r="R31" i="2"/>
  <c r="Q31" i="2"/>
  <c r="R30" i="2"/>
  <c r="Q30" i="2"/>
  <c r="R29" i="2"/>
  <c r="Q29" i="2"/>
  <c r="R28" i="2"/>
  <c r="Q28" i="2"/>
  <c r="R27" i="2"/>
  <c r="Q27" i="2"/>
  <c r="R26" i="2"/>
  <c r="Q26" i="2"/>
  <c r="R25" i="2"/>
  <c r="Q25" i="2"/>
  <c r="R24" i="2"/>
  <c r="Q24" i="2"/>
  <c r="R23" i="2"/>
  <c r="Q23" i="2"/>
  <c r="R22" i="2"/>
  <c r="Q22" i="2"/>
  <c r="R21" i="2"/>
  <c r="Q21" i="2"/>
  <c r="R20" i="2"/>
  <c r="Q20" i="2"/>
  <c r="R19" i="2"/>
  <c r="Q19" i="2"/>
  <c r="L677" i="1"/>
  <c r="J677" i="1"/>
  <c r="K677" i="1" s="1"/>
  <c r="G677" i="1"/>
  <c r="H677" i="1" s="1"/>
  <c r="L676" i="1"/>
  <c r="J676" i="1"/>
  <c r="K676" i="1" s="1"/>
  <c r="G676" i="1"/>
  <c r="H676" i="1" s="1"/>
  <c r="L675" i="1"/>
  <c r="J675" i="1"/>
  <c r="K675" i="1" s="1"/>
  <c r="G675" i="1"/>
  <c r="H675" i="1" s="1"/>
  <c r="L674" i="1"/>
  <c r="J674" i="1"/>
  <c r="K674" i="1" s="1"/>
  <c r="G674" i="1"/>
  <c r="H674" i="1" s="1"/>
  <c r="L673" i="1"/>
  <c r="J673" i="1"/>
  <c r="K673" i="1" s="1"/>
  <c r="G673" i="1"/>
  <c r="H673" i="1" s="1"/>
  <c r="L672" i="1"/>
  <c r="J672" i="1"/>
  <c r="K672" i="1" s="1"/>
  <c r="G672" i="1"/>
  <c r="H672" i="1" s="1"/>
  <c r="L671" i="1"/>
  <c r="J671" i="1"/>
  <c r="K671" i="1" s="1"/>
  <c r="G671" i="1"/>
  <c r="H671" i="1" s="1"/>
  <c r="L670" i="1"/>
  <c r="J670" i="1"/>
  <c r="K670" i="1" s="1"/>
  <c r="G670" i="1"/>
  <c r="H670" i="1" s="1"/>
  <c r="L669" i="1"/>
  <c r="J669" i="1"/>
  <c r="K669" i="1" s="1"/>
  <c r="G669" i="1"/>
  <c r="H669" i="1" s="1"/>
  <c r="L668" i="1"/>
  <c r="J668" i="1"/>
  <c r="K668" i="1" s="1"/>
  <c r="G668" i="1"/>
  <c r="H668" i="1" s="1"/>
  <c r="L667" i="1"/>
  <c r="J667" i="1"/>
  <c r="K667" i="1" s="1"/>
  <c r="G667" i="1"/>
  <c r="H667" i="1" s="1"/>
  <c r="L666" i="1"/>
  <c r="J666" i="1"/>
  <c r="K666" i="1" s="1"/>
  <c r="G666" i="1"/>
  <c r="H666" i="1" s="1"/>
  <c r="L665" i="1"/>
  <c r="J665" i="1"/>
  <c r="K665" i="1" s="1"/>
  <c r="G665" i="1"/>
  <c r="H665" i="1" s="1"/>
  <c r="L664" i="1"/>
  <c r="J664" i="1"/>
  <c r="K664" i="1" s="1"/>
  <c r="G664" i="1"/>
  <c r="H664" i="1" s="1"/>
  <c r="L663" i="1"/>
  <c r="J663" i="1"/>
  <c r="K663" i="1" s="1"/>
  <c r="G663" i="1"/>
  <c r="H663" i="1" s="1"/>
  <c r="L662" i="1"/>
  <c r="J662" i="1"/>
  <c r="K662" i="1" s="1"/>
  <c r="G662" i="1"/>
  <c r="H662" i="1" s="1"/>
  <c r="L661" i="1"/>
  <c r="J661" i="1"/>
  <c r="K661" i="1" s="1"/>
  <c r="G661" i="1"/>
  <c r="H661" i="1" s="1"/>
  <c r="L660" i="1"/>
  <c r="J660" i="1"/>
  <c r="K660" i="1" s="1"/>
  <c r="G660" i="1"/>
  <c r="H660" i="1" s="1"/>
  <c r="L659" i="1"/>
  <c r="J659" i="1"/>
  <c r="K659" i="1" s="1"/>
  <c r="G659" i="1"/>
  <c r="H659" i="1" s="1"/>
  <c r="L658" i="1"/>
  <c r="J658" i="1"/>
  <c r="K658" i="1" s="1"/>
  <c r="G658" i="1"/>
  <c r="H658" i="1" s="1"/>
  <c r="L657" i="1"/>
  <c r="J657" i="1"/>
  <c r="K657" i="1" s="1"/>
  <c r="G657" i="1"/>
  <c r="H657" i="1" s="1"/>
  <c r="L656" i="1"/>
  <c r="J656" i="1"/>
  <c r="K656" i="1" s="1"/>
  <c r="G656" i="1"/>
  <c r="H656" i="1" s="1"/>
  <c r="L655" i="1"/>
  <c r="J655" i="1"/>
  <c r="K655" i="1" s="1"/>
  <c r="G655" i="1"/>
  <c r="H655" i="1" s="1"/>
  <c r="L654" i="1"/>
  <c r="J654" i="1"/>
  <c r="K654" i="1" s="1"/>
  <c r="G654" i="1"/>
  <c r="H654" i="1" s="1"/>
  <c r="L653" i="1"/>
  <c r="J653" i="1"/>
  <c r="K653" i="1" s="1"/>
  <c r="G653" i="1"/>
  <c r="H653" i="1" s="1"/>
  <c r="L652" i="1"/>
  <c r="J652" i="1"/>
  <c r="K652" i="1" s="1"/>
  <c r="G652" i="1"/>
  <c r="H652" i="1" s="1"/>
  <c r="L651" i="1"/>
  <c r="J651" i="1"/>
  <c r="K651" i="1" s="1"/>
  <c r="G651" i="1"/>
  <c r="H651" i="1" s="1"/>
  <c r="L650" i="1"/>
  <c r="J650" i="1"/>
  <c r="K650" i="1" s="1"/>
  <c r="G650" i="1"/>
  <c r="H650" i="1" s="1"/>
  <c r="L649" i="1"/>
  <c r="J649" i="1"/>
  <c r="K649" i="1" s="1"/>
  <c r="G649" i="1"/>
  <c r="H649" i="1" s="1"/>
  <c r="L648" i="1"/>
  <c r="J648" i="1"/>
  <c r="K648" i="1" s="1"/>
  <c r="G648" i="1"/>
  <c r="H648" i="1" s="1"/>
  <c r="L647" i="1"/>
  <c r="J647" i="1"/>
  <c r="K647" i="1" s="1"/>
  <c r="G647" i="1"/>
  <c r="H647" i="1" s="1"/>
  <c r="L646" i="1"/>
  <c r="J646" i="1"/>
  <c r="K646" i="1" s="1"/>
  <c r="G646" i="1"/>
  <c r="H646" i="1" s="1"/>
  <c r="L645" i="1"/>
  <c r="J645" i="1"/>
  <c r="K645" i="1" s="1"/>
  <c r="G645" i="1"/>
  <c r="H645" i="1" s="1"/>
  <c r="L644" i="1"/>
  <c r="J644" i="1"/>
  <c r="K644" i="1" s="1"/>
  <c r="G644" i="1"/>
  <c r="H644" i="1" s="1"/>
  <c r="L643" i="1"/>
  <c r="J643" i="1"/>
  <c r="K643" i="1" s="1"/>
  <c r="G643" i="1"/>
  <c r="H643" i="1" s="1"/>
  <c r="L642" i="1"/>
  <c r="J642" i="1"/>
  <c r="K642" i="1" s="1"/>
  <c r="G642" i="1"/>
  <c r="H642" i="1" s="1"/>
  <c r="L641" i="1"/>
  <c r="J641" i="1"/>
  <c r="K641" i="1" s="1"/>
  <c r="G641" i="1"/>
  <c r="H641" i="1" s="1"/>
  <c r="L640" i="1"/>
  <c r="J640" i="1"/>
  <c r="K640" i="1" s="1"/>
  <c r="G640" i="1"/>
  <c r="H640" i="1" s="1"/>
  <c r="L639" i="1"/>
  <c r="J639" i="1"/>
  <c r="K639" i="1" s="1"/>
  <c r="G639" i="1"/>
  <c r="H639" i="1" s="1"/>
  <c r="L638" i="1"/>
  <c r="J638" i="1"/>
  <c r="K638" i="1" s="1"/>
  <c r="G638" i="1"/>
  <c r="H638" i="1" s="1"/>
  <c r="L637" i="1"/>
  <c r="J637" i="1"/>
  <c r="K637" i="1" s="1"/>
  <c r="G637" i="1"/>
  <c r="H637" i="1" s="1"/>
  <c r="L636" i="1"/>
  <c r="J636" i="1"/>
  <c r="K636" i="1" s="1"/>
  <c r="G636" i="1"/>
  <c r="H636" i="1" s="1"/>
  <c r="L635" i="1"/>
  <c r="J635" i="1"/>
  <c r="K635" i="1" s="1"/>
  <c r="G635" i="1"/>
  <c r="H635" i="1" s="1"/>
  <c r="L634" i="1"/>
  <c r="J634" i="1"/>
  <c r="K634" i="1" s="1"/>
  <c r="G634" i="1"/>
  <c r="H634" i="1" s="1"/>
  <c r="L633" i="1"/>
  <c r="J633" i="1"/>
  <c r="K633" i="1" s="1"/>
  <c r="G633" i="1"/>
  <c r="H633" i="1" s="1"/>
  <c r="L632" i="1"/>
  <c r="J632" i="1"/>
  <c r="K632" i="1" s="1"/>
  <c r="G632" i="1"/>
  <c r="H632" i="1" s="1"/>
  <c r="L631" i="1"/>
  <c r="J631" i="1"/>
  <c r="K631" i="1" s="1"/>
  <c r="G631" i="1"/>
  <c r="H631" i="1" s="1"/>
  <c r="L630" i="1"/>
  <c r="J630" i="1"/>
  <c r="K630" i="1" s="1"/>
  <c r="G630" i="1"/>
  <c r="H630" i="1" s="1"/>
  <c r="L629" i="1"/>
  <c r="J629" i="1"/>
  <c r="K629" i="1" s="1"/>
  <c r="G629" i="1"/>
  <c r="H629" i="1" s="1"/>
  <c r="L628" i="1"/>
  <c r="J628" i="1"/>
  <c r="K628" i="1" s="1"/>
  <c r="G628" i="1"/>
  <c r="H628" i="1" s="1"/>
  <c r="L627" i="1"/>
  <c r="J627" i="1"/>
  <c r="K627" i="1" s="1"/>
  <c r="G627" i="1"/>
  <c r="H627" i="1" s="1"/>
  <c r="L626" i="1"/>
  <c r="J626" i="1"/>
  <c r="K626" i="1" s="1"/>
  <c r="G626" i="1"/>
  <c r="H626" i="1" s="1"/>
  <c r="L625" i="1"/>
  <c r="J625" i="1"/>
  <c r="K625" i="1" s="1"/>
  <c r="G625" i="1"/>
  <c r="H625" i="1" s="1"/>
  <c r="L624" i="1"/>
  <c r="J624" i="1"/>
  <c r="K624" i="1" s="1"/>
  <c r="G624" i="1"/>
  <c r="H624" i="1" s="1"/>
  <c r="L623" i="1"/>
  <c r="J623" i="1"/>
  <c r="K623" i="1" s="1"/>
  <c r="G623" i="1"/>
  <c r="H623" i="1" s="1"/>
  <c r="L622" i="1"/>
  <c r="J622" i="1"/>
  <c r="K622" i="1" s="1"/>
  <c r="G622" i="1"/>
  <c r="H622" i="1" s="1"/>
  <c r="L621" i="1"/>
  <c r="J621" i="1"/>
  <c r="K621" i="1" s="1"/>
  <c r="G621" i="1"/>
  <c r="H621" i="1" s="1"/>
  <c r="L620" i="1"/>
  <c r="J620" i="1"/>
  <c r="K620" i="1" s="1"/>
  <c r="G620" i="1"/>
  <c r="H620" i="1" s="1"/>
  <c r="L619" i="1"/>
  <c r="J619" i="1"/>
  <c r="K619" i="1" s="1"/>
  <c r="G619" i="1"/>
  <c r="H619" i="1" s="1"/>
  <c r="L618" i="1"/>
  <c r="J618" i="1"/>
  <c r="K618" i="1" s="1"/>
  <c r="G618" i="1"/>
  <c r="H618" i="1" s="1"/>
  <c r="L617" i="1"/>
  <c r="J617" i="1"/>
  <c r="K617" i="1" s="1"/>
  <c r="G617" i="1"/>
  <c r="H617" i="1" s="1"/>
  <c r="L616" i="1"/>
  <c r="J616" i="1"/>
  <c r="K616" i="1" s="1"/>
  <c r="G616" i="1"/>
  <c r="H616" i="1" s="1"/>
  <c r="L615" i="1"/>
  <c r="J615" i="1"/>
  <c r="K615" i="1" s="1"/>
  <c r="G615" i="1"/>
  <c r="H615" i="1" s="1"/>
  <c r="L614" i="1"/>
  <c r="J614" i="1"/>
  <c r="K614" i="1" s="1"/>
  <c r="G614" i="1"/>
  <c r="H614" i="1" s="1"/>
  <c r="L613" i="1"/>
  <c r="J613" i="1"/>
  <c r="K613" i="1" s="1"/>
  <c r="G613" i="1"/>
  <c r="H613" i="1" s="1"/>
  <c r="L612" i="1"/>
  <c r="J612" i="1"/>
  <c r="K612" i="1" s="1"/>
  <c r="G612" i="1"/>
  <c r="H612" i="1" s="1"/>
  <c r="L611" i="1"/>
  <c r="J611" i="1"/>
  <c r="K611" i="1" s="1"/>
  <c r="G611" i="1"/>
  <c r="H611" i="1" s="1"/>
  <c r="L610" i="1"/>
  <c r="J610" i="1"/>
  <c r="K610" i="1" s="1"/>
  <c r="G610" i="1"/>
  <c r="H610" i="1" s="1"/>
  <c r="L609" i="1"/>
  <c r="J609" i="1"/>
  <c r="K609" i="1" s="1"/>
  <c r="G609" i="1"/>
  <c r="H609" i="1" s="1"/>
  <c r="L608" i="1"/>
  <c r="J608" i="1"/>
  <c r="K608" i="1" s="1"/>
  <c r="G608" i="1"/>
  <c r="H608" i="1" s="1"/>
  <c r="L607" i="1"/>
  <c r="J607" i="1"/>
  <c r="K607" i="1" s="1"/>
  <c r="G607" i="1"/>
  <c r="H607" i="1" s="1"/>
  <c r="L606" i="1"/>
  <c r="J606" i="1"/>
  <c r="K606" i="1" s="1"/>
  <c r="G606" i="1"/>
  <c r="H606" i="1" s="1"/>
  <c r="L605" i="1"/>
  <c r="J605" i="1"/>
  <c r="K605" i="1" s="1"/>
  <c r="G605" i="1"/>
  <c r="H605" i="1" s="1"/>
  <c r="L604" i="1"/>
  <c r="J604" i="1"/>
  <c r="K604" i="1" s="1"/>
  <c r="G604" i="1"/>
  <c r="H604" i="1" s="1"/>
  <c r="L603" i="1"/>
  <c r="J603" i="1"/>
  <c r="K603" i="1" s="1"/>
  <c r="G603" i="1"/>
  <c r="H603" i="1" s="1"/>
  <c r="L602" i="1"/>
  <c r="J602" i="1"/>
  <c r="K602" i="1" s="1"/>
  <c r="G602" i="1"/>
  <c r="H602" i="1" s="1"/>
  <c r="L601" i="1"/>
  <c r="J601" i="1"/>
  <c r="K601" i="1" s="1"/>
  <c r="G601" i="1"/>
  <c r="H601" i="1" s="1"/>
  <c r="L600" i="1"/>
  <c r="J600" i="1"/>
  <c r="K600" i="1" s="1"/>
  <c r="G600" i="1"/>
  <c r="H600" i="1" s="1"/>
  <c r="L599" i="1"/>
  <c r="J599" i="1"/>
  <c r="K599" i="1" s="1"/>
  <c r="G599" i="1"/>
  <c r="H599" i="1" s="1"/>
  <c r="L598" i="1"/>
  <c r="J598" i="1"/>
  <c r="K598" i="1" s="1"/>
  <c r="G598" i="1"/>
  <c r="H598" i="1" s="1"/>
  <c r="L597" i="1"/>
  <c r="J597" i="1"/>
  <c r="K597" i="1" s="1"/>
  <c r="G597" i="1"/>
  <c r="H597" i="1" s="1"/>
  <c r="L596" i="1"/>
  <c r="J596" i="1"/>
  <c r="K596" i="1" s="1"/>
  <c r="G596" i="1"/>
  <c r="H596" i="1" s="1"/>
  <c r="L595" i="1"/>
  <c r="J595" i="1"/>
  <c r="K595" i="1" s="1"/>
  <c r="G595" i="1"/>
  <c r="H595" i="1" s="1"/>
  <c r="L594" i="1"/>
  <c r="J594" i="1"/>
  <c r="K594" i="1" s="1"/>
  <c r="G594" i="1"/>
  <c r="H594" i="1" s="1"/>
  <c r="L593" i="1"/>
  <c r="J593" i="1"/>
  <c r="K593" i="1" s="1"/>
  <c r="G593" i="1"/>
  <c r="H593" i="1" s="1"/>
  <c r="L592" i="1"/>
  <c r="J592" i="1"/>
  <c r="K592" i="1" s="1"/>
  <c r="G592" i="1"/>
  <c r="H592" i="1" s="1"/>
  <c r="L591" i="1"/>
  <c r="J591" i="1"/>
  <c r="K591" i="1" s="1"/>
  <c r="G591" i="1"/>
  <c r="H591" i="1" s="1"/>
  <c r="L590" i="1"/>
  <c r="J590" i="1"/>
  <c r="K590" i="1" s="1"/>
  <c r="G590" i="1"/>
  <c r="H590" i="1" s="1"/>
  <c r="L589" i="1"/>
  <c r="J589" i="1"/>
  <c r="K589" i="1" s="1"/>
  <c r="G589" i="1"/>
  <c r="H589" i="1" s="1"/>
  <c r="L588" i="1"/>
  <c r="J588" i="1"/>
  <c r="K588" i="1" s="1"/>
  <c r="G588" i="1"/>
  <c r="H588" i="1" s="1"/>
  <c r="L587" i="1"/>
  <c r="J587" i="1"/>
  <c r="K587" i="1" s="1"/>
  <c r="G587" i="1"/>
  <c r="H587" i="1" s="1"/>
  <c r="L586" i="1"/>
  <c r="J586" i="1"/>
  <c r="K586" i="1" s="1"/>
  <c r="G586" i="1"/>
  <c r="H586" i="1" s="1"/>
  <c r="L585" i="1"/>
  <c r="J585" i="1"/>
  <c r="K585" i="1" s="1"/>
  <c r="G585" i="1"/>
  <c r="H585" i="1" s="1"/>
  <c r="L584" i="1"/>
  <c r="J584" i="1"/>
  <c r="K584" i="1" s="1"/>
  <c r="G584" i="1"/>
  <c r="H584" i="1" s="1"/>
  <c r="L583" i="1"/>
  <c r="J583" i="1"/>
  <c r="K583" i="1" s="1"/>
  <c r="G583" i="1"/>
  <c r="H583" i="1" s="1"/>
  <c r="L582" i="1"/>
  <c r="J582" i="1"/>
  <c r="K582" i="1" s="1"/>
  <c r="G582" i="1"/>
  <c r="H582" i="1" s="1"/>
  <c r="L581" i="1"/>
  <c r="J581" i="1"/>
  <c r="K581" i="1" s="1"/>
  <c r="G581" i="1"/>
  <c r="H581" i="1" s="1"/>
  <c r="L580" i="1"/>
  <c r="J580" i="1"/>
  <c r="K580" i="1" s="1"/>
  <c r="G580" i="1"/>
  <c r="H580" i="1" s="1"/>
  <c r="L579" i="1"/>
  <c r="J579" i="1"/>
  <c r="K579" i="1" s="1"/>
  <c r="G579" i="1"/>
  <c r="H579" i="1" s="1"/>
  <c r="L578" i="1"/>
  <c r="J578" i="1"/>
  <c r="K578" i="1" s="1"/>
  <c r="G578" i="1"/>
  <c r="H578" i="1" s="1"/>
  <c r="L577" i="1"/>
  <c r="J577" i="1"/>
  <c r="K577" i="1" s="1"/>
  <c r="G577" i="1"/>
  <c r="H577" i="1" s="1"/>
  <c r="L576" i="1"/>
  <c r="J576" i="1"/>
  <c r="K576" i="1" s="1"/>
  <c r="G576" i="1"/>
  <c r="H576" i="1" s="1"/>
  <c r="L575" i="1"/>
  <c r="J575" i="1"/>
  <c r="K575" i="1" s="1"/>
  <c r="G575" i="1"/>
  <c r="H575" i="1" s="1"/>
  <c r="L574" i="1"/>
  <c r="J574" i="1"/>
  <c r="K574" i="1" s="1"/>
  <c r="G574" i="1"/>
  <c r="H574" i="1" s="1"/>
  <c r="L573" i="1"/>
  <c r="J573" i="1"/>
  <c r="K573" i="1" s="1"/>
  <c r="G573" i="1"/>
  <c r="H573" i="1" s="1"/>
  <c r="L572" i="1"/>
  <c r="J572" i="1"/>
  <c r="K572" i="1" s="1"/>
  <c r="G572" i="1"/>
  <c r="H572" i="1" s="1"/>
  <c r="L571" i="1"/>
  <c r="J571" i="1"/>
  <c r="K571" i="1" s="1"/>
  <c r="G571" i="1"/>
  <c r="H571" i="1" s="1"/>
  <c r="L570" i="1"/>
  <c r="J570" i="1"/>
  <c r="K570" i="1" s="1"/>
  <c r="G570" i="1"/>
  <c r="H570" i="1" s="1"/>
  <c r="L569" i="1"/>
  <c r="J569" i="1"/>
  <c r="K569" i="1" s="1"/>
  <c r="G569" i="1"/>
  <c r="H569" i="1" s="1"/>
  <c r="L568" i="1"/>
  <c r="J568" i="1"/>
  <c r="K568" i="1" s="1"/>
  <c r="G568" i="1"/>
  <c r="H568" i="1" s="1"/>
  <c r="L567" i="1"/>
  <c r="J567" i="1"/>
  <c r="K567" i="1" s="1"/>
  <c r="G567" i="1"/>
  <c r="H567" i="1" s="1"/>
  <c r="L566" i="1"/>
  <c r="J566" i="1"/>
  <c r="K566" i="1" s="1"/>
  <c r="G566" i="1"/>
  <c r="H566" i="1" s="1"/>
  <c r="L565" i="1"/>
  <c r="J565" i="1"/>
  <c r="K565" i="1" s="1"/>
  <c r="G565" i="1"/>
  <c r="H565" i="1" s="1"/>
  <c r="L564" i="1"/>
  <c r="J564" i="1"/>
  <c r="K564" i="1" s="1"/>
  <c r="G564" i="1"/>
  <c r="H564" i="1" s="1"/>
  <c r="L563" i="1"/>
  <c r="J563" i="1"/>
  <c r="K563" i="1" s="1"/>
  <c r="G563" i="1"/>
  <c r="H563" i="1" s="1"/>
  <c r="L562" i="1"/>
  <c r="J562" i="1"/>
  <c r="K562" i="1" s="1"/>
  <c r="G562" i="1"/>
  <c r="H562" i="1" s="1"/>
  <c r="L561" i="1"/>
  <c r="J561" i="1"/>
  <c r="K561" i="1" s="1"/>
  <c r="G561" i="1"/>
  <c r="H561" i="1" s="1"/>
  <c r="L560" i="1"/>
  <c r="J560" i="1"/>
  <c r="K560" i="1" s="1"/>
  <c r="G560" i="1"/>
  <c r="H560" i="1" s="1"/>
  <c r="L559" i="1"/>
  <c r="J559" i="1"/>
  <c r="K559" i="1" s="1"/>
  <c r="G559" i="1"/>
  <c r="H559" i="1" s="1"/>
  <c r="L558" i="1"/>
  <c r="J558" i="1"/>
  <c r="K558" i="1" s="1"/>
  <c r="G558" i="1"/>
  <c r="H558" i="1" s="1"/>
  <c r="L557" i="1"/>
  <c r="J557" i="1"/>
  <c r="K557" i="1" s="1"/>
  <c r="G557" i="1"/>
  <c r="H557" i="1" s="1"/>
  <c r="L556" i="1"/>
  <c r="J556" i="1"/>
  <c r="K556" i="1" s="1"/>
  <c r="G556" i="1"/>
  <c r="H556" i="1" s="1"/>
  <c r="L555" i="1"/>
  <c r="J555" i="1"/>
  <c r="K555" i="1" s="1"/>
  <c r="G555" i="1"/>
  <c r="H555" i="1" s="1"/>
  <c r="L554" i="1"/>
  <c r="J554" i="1"/>
  <c r="K554" i="1" s="1"/>
  <c r="G554" i="1"/>
  <c r="H554" i="1" s="1"/>
  <c r="L553" i="1"/>
  <c r="J553" i="1"/>
  <c r="K553" i="1" s="1"/>
  <c r="G553" i="1"/>
  <c r="H553" i="1" s="1"/>
  <c r="L552" i="1"/>
  <c r="J552" i="1"/>
  <c r="K552" i="1" s="1"/>
  <c r="G552" i="1"/>
  <c r="H552" i="1" s="1"/>
  <c r="L551" i="1"/>
  <c r="J551" i="1"/>
  <c r="K551" i="1" s="1"/>
  <c r="G551" i="1"/>
  <c r="H551" i="1" s="1"/>
  <c r="L550" i="1"/>
  <c r="J550" i="1"/>
  <c r="K550" i="1" s="1"/>
  <c r="G550" i="1"/>
  <c r="H550" i="1" s="1"/>
  <c r="L549" i="1"/>
  <c r="J549" i="1"/>
  <c r="K549" i="1" s="1"/>
  <c r="G549" i="1"/>
  <c r="H549" i="1" s="1"/>
  <c r="L548" i="1"/>
  <c r="J548" i="1"/>
  <c r="K548" i="1" s="1"/>
  <c r="G548" i="1"/>
  <c r="H548" i="1" s="1"/>
  <c r="L547" i="1"/>
  <c r="J547" i="1"/>
  <c r="K547" i="1" s="1"/>
  <c r="G547" i="1"/>
  <c r="H547" i="1" s="1"/>
  <c r="L546" i="1"/>
  <c r="J546" i="1"/>
  <c r="K546" i="1" s="1"/>
  <c r="G546" i="1"/>
  <c r="H546" i="1" s="1"/>
  <c r="L545" i="1"/>
  <c r="J545" i="1"/>
  <c r="K545" i="1" s="1"/>
  <c r="G545" i="1"/>
  <c r="H545" i="1" s="1"/>
  <c r="L544" i="1"/>
  <c r="J544" i="1"/>
  <c r="K544" i="1" s="1"/>
  <c r="G544" i="1"/>
  <c r="H544" i="1" s="1"/>
  <c r="L543" i="1"/>
  <c r="J543" i="1"/>
  <c r="K543" i="1" s="1"/>
  <c r="G543" i="1"/>
  <c r="H543" i="1" s="1"/>
  <c r="L542" i="1"/>
  <c r="J542" i="1"/>
  <c r="K542" i="1" s="1"/>
  <c r="G542" i="1"/>
  <c r="H542" i="1" s="1"/>
  <c r="L541" i="1"/>
  <c r="J541" i="1"/>
  <c r="K541" i="1" s="1"/>
  <c r="G541" i="1"/>
  <c r="H541" i="1" s="1"/>
  <c r="L540" i="1"/>
  <c r="J540" i="1"/>
  <c r="K540" i="1" s="1"/>
  <c r="G540" i="1"/>
  <c r="H540" i="1" s="1"/>
  <c r="L539" i="1"/>
  <c r="J539" i="1"/>
  <c r="K539" i="1" s="1"/>
  <c r="G539" i="1"/>
  <c r="H539" i="1" s="1"/>
  <c r="L538" i="1"/>
  <c r="J538" i="1"/>
  <c r="K538" i="1" s="1"/>
  <c r="G538" i="1"/>
  <c r="H538" i="1" s="1"/>
  <c r="L537" i="1"/>
  <c r="J537" i="1"/>
  <c r="K537" i="1" s="1"/>
  <c r="G537" i="1"/>
  <c r="H537" i="1" s="1"/>
  <c r="L536" i="1"/>
  <c r="J536" i="1"/>
  <c r="K536" i="1" s="1"/>
  <c r="G536" i="1"/>
  <c r="H536" i="1" s="1"/>
  <c r="L535" i="1"/>
  <c r="J535" i="1"/>
  <c r="K535" i="1" s="1"/>
  <c r="G535" i="1"/>
  <c r="H535" i="1" s="1"/>
  <c r="L534" i="1"/>
  <c r="J534" i="1"/>
  <c r="K534" i="1" s="1"/>
  <c r="G534" i="1"/>
  <c r="H534" i="1" s="1"/>
  <c r="L533" i="1"/>
  <c r="J533" i="1"/>
  <c r="K533" i="1" s="1"/>
  <c r="G533" i="1"/>
  <c r="H533" i="1" s="1"/>
  <c r="L532" i="1"/>
  <c r="J532" i="1"/>
  <c r="K532" i="1" s="1"/>
  <c r="G532" i="1"/>
  <c r="H532" i="1" s="1"/>
  <c r="L531" i="1"/>
  <c r="J531" i="1"/>
  <c r="K531" i="1" s="1"/>
  <c r="G531" i="1"/>
  <c r="H531" i="1" s="1"/>
  <c r="L530" i="1"/>
  <c r="J530" i="1"/>
  <c r="K530" i="1" s="1"/>
  <c r="G530" i="1"/>
  <c r="H530" i="1" s="1"/>
  <c r="L529" i="1"/>
  <c r="J529" i="1"/>
  <c r="K529" i="1" s="1"/>
  <c r="G529" i="1"/>
  <c r="H529" i="1" s="1"/>
  <c r="L528" i="1"/>
  <c r="J528" i="1"/>
  <c r="K528" i="1" s="1"/>
  <c r="G528" i="1"/>
  <c r="H528" i="1" s="1"/>
  <c r="L527" i="1"/>
  <c r="J527" i="1"/>
  <c r="K527" i="1" s="1"/>
  <c r="G527" i="1"/>
  <c r="H527" i="1" s="1"/>
  <c r="L526" i="1"/>
  <c r="J526" i="1"/>
  <c r="K526" i="1" s="1"/>
  <c r="G526" i="1"/>
  <c r="H526" i="1" s="1"/>
  <c r="L525" i="1"/>
  <c r="J525" i="1"/>
  <c r="K525" i="1" s="1"/>
  <c r="G525" i="1"/>
  <c r="H525" i="1" s="1"/>
  <c r="L524" i="1"/>
  <c r="J524" i="1"/>
  <c r="K524" i="1" s="1"/>
  <c r="G524" i="1"/>
  <c r="H524" i="1" s="1"/>
  <c r="L523" i="1"/>
  <c r="J523" i="1"/>
  <c r="K523" i="1" s="1"/>
  <c r="G523" i="1"/>
  <c r="H523" i="1" s="1"/>
  <c r="L522" i="1"/>
  <c r="J522" i="1"/>
  <c r="K522" i="1" s="1"/>
  <c r="G522" i="1"/>
  <c r="H522" i="1" s="1"/>
  <c r="L521" i="1"/>
  <c r="J521" i="1"/>
  <c r="K521" i="1" s="1"/>
  <c r="G521" i="1"/>
  <c r="H521" i="1" s="1"/>
  <c r="L520" i="1"/>
  <c r="J520" i="1"/>
  <c r="K520" i="1" s="1"/>
  <c r="G520" i="1"/>
  <c r="H520" i="1" s="1"/>
  <c r="L519" i="1"/>
  <c r="J519" i="1"/>
  <c r="K519" i="1" s="1"/>
  <c r="G519" i="1"/>
  <c r="H519" i="1" s="1"/>
  <c r="L518" i="1"/>
  <c r="J518" i="1"/>
  <c r="K518" i="1" s="1"/>
  <c r="G518" i="1"/>
  <c r="H518" i="1" s="1"/>
  <c r="L517" i="1"/>
  <c r="J517" i="1"/>
  <c r="K517" i="1" s="1"/>
  <c r="G517" i="1"/>
  <c r="H517" i="1" s="1"/>
  <c r="L516" i="1"/>
  <c r="J516" i="1"/>
  <c r="K516" i="1" s="1"/>
  <c r="G516" i="1"/>
  <c r="H516" i="1" s="1"/>
  <c r="L515" i="1"/>
  <c r="J515" i="1"/>
  <c r="K515" i="1" s="1"/>
  <c r="G515" i="1"/>
  <c r="H515" i="1" s="1"/>
  <c r="L514" i="1"/>
  <c r="J514" i="1"/>
  <c r="K514" i="1" s="1"/>
  <c r="G514" i="1"/>
  <c r="H514" i="1" s="1"/>
  <c r="L513" i="1"/>
  <c r="J513" i="1"/>
  <c r="K513" i="1" s="1"/>
  <c r="G513" i="1"/>
  <c r="H513" i="1" s="1"/>
  <c r="L512" i="1"/>
  <c r="J512" i="1"/>
  <c r="K512" i="1" s="1"/>
  <c r="G512" i="1"/>
  <c r="H512" i="1" s="1"/>
  <c r="L511" i="1"/>
  <c r="J511" i="1"/>
  <c r="K511" i="1" s="1"/>
  <c r="G511" i="1"/>
  <c r="H511" i="1" s="1"/>
  <c r="L510" i="1"/>
  <c r="J510" i="1"/>
  <c r="K510" i="1" s="1"/>
  <c r="G510" i="1"/>
  <c r="H510" i="1" s="1"/>
  <c r="L509" i="1"/>
  <c r="J509" i="1"/>
  <c r="K509" i="1" s="1"/>
  <c r="G509" i="1"/>
  <c r="H509" i="1" s="1"/>
  <c r="L508" i="1"/>
  <c r="J508" i="1"/>
  <c r="K508" i="1" s="1"/>
  <c r="G508" i="1"/>
  <c r="H508" i="1" s="1"/>
  <c r="L507" i="1"/>
  <c r="J507" i="1"/>
  <c r="K507" i="1" s="1"/>
  <c r="G507" i="1"/>
  <c r="H507" i="1" s="1"/>
  <c r="L506" i="1"/>
  <c r="J506" i="1"/>
  <c r="K506" i="1" s="1"/>
  <c r="G506" i="1"/>
  <c r="H506" i="1" s="1"/>
  <c r="L505" i="1"/>
  <c r="J505" i="1"/>
  <c r="K505" i="1" s="1"/>
  <c r="G505" i="1"/>
  <c r="H505" i="1" s="1"/>
  <c r="L504" i="1"/>
  <c r="J504" i="1"/>
  <c r="K504" i="1" s="1"/>
  <c r="G504" i="1"/>
  <c r="H504" i="1" s="1"/>
  <c r="L503" i="1"/>
  <c r="J503" i="1"/>
  <c r="K503" i="1" s="1"/>
  <c r="G503" i="1"/>
  <c r="H503" i="1" s="1"/>
  <c r="L502" i="1"/>
  <c r="J502" i="1"/>
  <c r="K502" i="1" s="1"/>
  <c r="G502" i="1"/>
  <c r="H502" i="1" s="1"/>
  <c r="L501" i="1"/>
  <c r="J501" i="1"/>
  <c r="K501" i="1" s="1"/>
  <c r="G501" i="1"/>
  <c r="H501" i="1" s="1"/>
  <c r="L500" i="1"/>
  <c r="J500" i="1"/>
  <c r="K500" i="1" s="1"/>
  <c r="G500" i="1"/>
  <c r="H500" i="1" s="1"/>
  <c r="L499" i="1"/>
  <c r="J499" i="1"/>
  <c r="K499" i="1" s="1"/>
  <c r="G499" i="1"/>
  <c r="H499" i="1" s="1"/>
  <c r="L498" i="1"/>
  <c r="J498" i="1"/>
  <c r="K498" i="1" s="1"/>
  <c r="G498" i="1"/>
  <c r="H498" i="1" s="1"/>
  <c r="L497" i="1"/>
  <c r="J497" i="1"/>
  <c r="K497" i="1" s="1"/>
  <c r="G497" i="1"/>
  <c r="H497" i="1" s="1"/>
  <c r="L496" i="1"/>
  <c r="J496" i="1"/>
  <c r="K496" i="1" s="1"/>
  <c r="G496" i="1"/>
  <c r="H496" i="1" s="1"/>
  <c r="L495" i="1"/>
  <c r="J495" i="1"/>
  <c r="K495" i="1" s="1"/>
  <c r="G495" i="1"/>
  <c r="H495" i="1" s="1"/>
  <c r="L494" i="1"/>
  <c r="J494" i="1"/>
  <c r="K494" i="1" s="1"/>
  <c r="G494" i="1"/>
  <c r="H494" i="1" s="1"/>
  <c r="L493" i="1"/>
  <c r="J493" i="1"/>
  <c r="K493" i="1" s="1"/>
  <c r="G493" i="1"/>
  <c r="H493" i="1" s="1"/>
  <c r="L492" i="1"/>
  <c r="J492" i="1"/>
  <c r="K492" i="1" s="1"/>
  <c r="G492" i="1"/>
  <c r="H492" i="1" s="1"/>
  <c r="L491" i="1"/>
  <c r="J491" i="1"/>
  <c r="K491" i="1" s="1"/>
  <c r="G491" i="1"/>
  <c r="H491" i="1" s="1"/>
  <c r="L490" i="1"/>
  <c r="J490" i="1"/>
  <c r="K490" i="1" s="1"/>
  <c r="G490" i="1"/>
  <c r="H490" i="1" s="1"/>
  <c r="L489" i="1"/>
  <c r="J489" i="1"/>
  <c r="K489" i="1" s="1"/>
  <c r="G489" i="1"/>
  <c r="H489" i="1" s="1"/>
  <c r="L488" i="1"/>
  <c r="J488" i="1"/>
  <c r="K488" i="1" s="1"/>
  <c r="G488" i="1"/>
  <c r="H488" i="1" s="1"/>
  <c r="L487" i="1"/>
  <c r="J487" i="1"/>
  <c r="K487" i="1" s="1"/>
  <c r="G487" i="1"/>
  <c r="H487" i="1" s="1"/>
  <c r="L486" i="1"/>
  <c r="J486" i="1"/>
  <c r="K486" i="1" s="1"/>
  <c r="G486" i="1"/>
  <c r="H486" i="1" s="1"/>
  <c r="L485" i="1"/>
  <c r="J485" i="1"/>
  <c r="K485" i="1" s="1"/>
  <c r="G485" i="1"/>
  <c r="H485" i="1" s="1"/>
  <c r="L484" i="1"/>
  <c r="J484" i="1"/>
  <c r="K484" i="1" s="1"/>
  <c r="G484" i="1"/>
  <c r="H484" i="1" s="1"/>
  <c r="L483" i="1"/>
  <c r="J483" i="1"/>
  <c r="K483" i="1" s="1"/>
  <c r="G483" i="1"/>
  <c r="H483" i="1" s="1"/>
  <c r="L482" i="1"/>
  <c r="J482" i="1"/>
  <c r="K482" i="1" s="1"/>
  <c r="G482" i="1"/>
  <c r="H482" i="1" s="1"/>
  <c r="L481" i="1"/>
  <c r="J481" i="1"/>
  <c r="K481" i="1" s="1"/>
  <c r="G481" i="1"/>
  <c r="H481" i="1" s="1"/>
  <c r="L480" i="1"/>
  <c r="J480" i="1"/>
  <c r="K480" i="1" s="1"/>
  <c r="G480" i="1"/>
  <c r="H480" i="1" s="1"/>
  <c r="L479" i="1"/>
  <c r="J479" i="1"/>
  <c r="K479" i="1" s="1"/>
  <c r="G479" i="1"/>
  <c r="H479" i="1" s="1"/>
  <c r="L478" i="1"/>
  <c r="J478" i="1"/>
  <c r="K478" i="1" s="1"/>
  <c r="G478" i="1"/>
  <c r="H478" i="1" s="1"/>
  <c r="L477" i="1"/>
  <c r="J477" i="1"/>
  <c r="K477" i="1" s="1"/>
  <c r="G477" i="1"/>
  <c r="H477" i="1" s="1"/>
  <c r="L476" i="1"/>
  <c r="J476" i="1"/>
  <c r="K476" i="1" s="1"/>
  <c r="G476" i="1"/>
  <c r="H476" i="1" s="1"/>
  <c r="L475" i="1"/>
  <c r="J475" i="1"/>
  <c r="K475" i="1" s="1"/>
  <c r="G475" i="1"/>
  <c r="H475" i="1" s="1"/>
  <c r="L474" i="1"/>
  <c r="J474" i="1"/>
  <c r="K474" i="1" s="1"/>
  <c r="G474" i="1"/>
  <c r="H474" i="1" s="1"/>
  <c r="L473" i="1"/>
  <c r="J473" i="1"/>
  <c r="K473" i="1" s="1"/>
  <c r="G473" i="1"/>
  <c r="H473" i="1" s="1"/>
  <c r="L472" i="1"/>
  <c r="J472" i="1"/>
  <c r="K472" i="1" s="1"/>
  <c r="G472" i="1"/>
  <c r="H472" i="1" s="1"/>
  <c r="L471" i="1"/>
  <c r="J471" i="1"/>
  <c r="K471" i="1" s="1"/>
  <c r="G471" i="1"/>
  <c r="H471" i="1" s="1"/>
  <c r="L470" i="1"/>
  <c r="J470" i="1"/>
  <c r="K470" i="1" s="1"/>
  <c r="G470" i="1"/>
  <c r="H470" i="1" s="1"/>
  <c r="L469" i="1"/>
  <c r="J469" i="1"/>
  <c r="K469" i="1" s="1"/>
  <c r="G469" i="1"/>
  <c r="H469" i="1" s="1"/>
  <c r="L468" i="1"/>
  <c r="J468" i="1"/>
  <c r="K468" i="1" s="1"/>
  <c r="G468" i="1"/>
  <c r="H468" i="1" s="1"/>
  <c r="L467" i="1"/>
  <c r="J467" i="1"/>
  <c r="K467" i="1" s="1"/>
  <c r="G467" i="1"/>
  <c r="H467" i="1" s="1"/>
  <c r="L466" i="1"/>
  <c r="J466" i="1"/>
  <c r="K466" i="1" s="1"/>
  <c r="G466" i="1"/>
  <c r="H466" i="1" s="1"/>
  <c r="L465" i="1"/>
  <c r="J465" i="1"/>
  <c r="K465" i="1" s="1"/>
  <c r="G465" i="1"/>
  <c r="H465" i="1" s="1"/>
  <c r="L464" i="1"/>
  <c r="J464" i="1"/>
  <c r="K464" i="1" s="1"/>
  <c r="G464" i="1"/>
  <c r="H464" i="1" s="1"/>
  <c r="L463" i="1"/>
  <c r="J463" i="1"/>
  <c r="K463" i="1" s="1"/>
  <c r="G463" i="1"/>
  <c r="H463" i="1" s="1"/>
  <c r="L462" i="1"/>
  <c r="J462" i="1"/>
  <c r="K462" i="1" s="1"/>
  <c r="G462" i="1"/>
  <c r="H462" i="1" s="1"/>
  <c r="L461" i="1"/>
  <c r="J461" i="1"/>
  <c r="K461" i="1" s="1"/>
  <c r="G461" i="1"/>
  <c r="H461" i="1" s="1"/>
  <c r="L460" i="1"/>
  <c r="J460" i="1"/>
  <c r="K460" i="1" s="1"/>
  <c r="G460" i="1"/>
  <c r="H460" i="1" s="1"/>
  <c r="L459" i="1"/>
  <c r="J459" i="1"/>
  <c r="K459" i="1" s="1"/>
  <c r="G459" i="1"/>
  <c r="H459" i="1" s="1"/>
  <c r="L458" i="1"/>
  <c r="J458" i="1"/>
  <c r="K458" i="1" s="1"/>
  <c r="G458" i="1"/>
  <c r="H458" i="1" s="1"/>
  <c r="L457" i="1"/>
  <c r="J457" i="1"/>
  <c r="K457" i="1" s="1"/>
  <c r="G457" i="1"/>
  <c r="H457" i="1" s="1"/>
  <c r="L456" i="1"/>
  <c r="J456" i="1"/>
  <c r="K456" i="1" s="1"/>
  <c r="G456" i="1"/>
  <c r="H456" i="1" s="1"/>
  <c r="L455" i="1"/>
  <c r="J455" i="1"/>
  <c r="K455" i="1" s="1"/>
  <c r="G455" i="1"/>
  <c r="H455" i="1" s="1"/>
  <c r="L454" i="1"/>
  <c r="J454" i="1"/>
  <c r="K454" i="1" s="1"/>
  <c r="G454" i="1"/>
  <c r="H454" i="1" s="1"/>
  <c r="L453" i="1"/>
  <c r="J453" i="1"/>
  <c r="K453" i="1" s="1"/>
  <c r="G453" i="1"/>
  <c r="H453" i="1" s="1"/>
  <c r="L452" i="1"/>
  <c r="J452" i="1"/>
  <c r="K452" i="1" s="1"/>
  <c r="G452" i="1"/>
  <c r="H452" i="1" s="1"/>
  <c r="L451" i="1"/>
  <c r="J451" i="1"/>
  <c r="K451" i="1" s="1"/>
  <c r="G451" i="1"/>
  <c r="H451" i="1" s="1"/>
  <c r="L450" i="1"/>
  <c r="J450" i="1"/>
  <c r="K450" i="1" s="1"/>
  <c r="G450" i="1"/>
  <c r="H450" i="1" s="1"/>
  <c r="L449" i="1"/>
  <c r="J449" i="1"/>
  <c r="K449" i="1" s="1"/>
  <c r="G449" i="1"/>
  <c r="H449" i="1" s="1"/>
  <c r="L448" i="1"/>
  <c r="J448" i="1"/>
  <c r="K448" i="1" s="1"/>
  <c r="G448" i="1"/>
  <c r="H448" i="1" s="1"/>
  <c r="L447" i="1"/>
  <c r="J447" i="1"/>
  <c r="K447" i="1" s="1"/>
  <c r="G447" i="1"/>
  <c r="H447" i="1" s="1"/>
  <c r="L446" i="1"/>
  <c r="J446" i="1"/>
  <c r="K446" i="1" s="1"/>
  <c r="G446" i="1"/>
  <c r="H446" i="1" s="1"/>
  <c r="L445" i="1"/>
  <c r="J445" i="1"/>
  <c r="K445" i="1" s="1"/>
  <c r="G445" i="1"/>
  <c r="H445" i="1" s="1"/>
  <c r="L444" i="1"/>
  <c r="J444" i="1"/>
  <c r="K444" i="1" s="1"/>
  <c r="G444" i="1"/>
  <c r="H444" i="1" s="1"/>
  <c r="L443" i="1"/>
  <c r="J443" i="1"/>
  <c r="K443" i="1" s="1"/>
  <c r="G443" i="1"/>
  <c r="H443" i="1" s="1"/>
  <c r="L442" i="1"/>
  <c r="J442" i="1"/>
  <c r="K442" i="1" s="1"/>
  <c r="G442" i="1"/>
  <c r="H442" i="1" s="1"/>
  <c r="L441" i="1"/>
  <c r="J441" i="1"/>
  <c r="K441" i="1" s="1"/>
  <c r="G441" i="1"/>
  <c r="H441" i="1" s="1"/>
  <c r="L440" i="1"/>
  <c r="J440" i="1"/>
  <c r="K440" i="1" s="1"/>
  <c r="G440" i="1"/>
  <c r="H440" i="1" s="1"/>
  <c r="L439" i="1"/>
  <c r="J439" i="1"/>
  <c r="K439" i="1" s="1"/>
  <c r="G439" i="1"/>
  <c r="H439" i="1" s="1"/>
  <c r="L438" i="1"/>
  <c r="J438" i="1"/>
  <c r="K438" i="1" s="1"/>
  <c r="G438" i="1"/>
  <c r="H438" i="1" s="1"/>
  <c r="L437" i="1"/>
  <c r="J437" i="1"/>
  <c r="K437" i="1" s="1"/>
  <c r="G437" i="1"/>
  <c r="H437" i="1" s="1"/>
  <c r="L436" i="1"/>
  <c r="J436" i="1"/>
  <c r="K436" i="1" s="1"/>
  <c r="G436" i="1"/>
  <c r="H436" i="1" s="1"/>
  <c r="L435" i="1"/>
  <c r="J435" i="1"/>
  <c r="K435" i="1" s="1"/>
  <c r="G435" i="1"/>
  <c r="H435" i="1" s="1"/>
  <c r="L434" i="1"/>
  <c r="J434" i="1"/>
  <c r="K434" i="1" s="1"/>
  <c r="G434" i="1"/>
  <c r="H434" i="1" s="1"/>
  <c r="L433" i="1"/>
  <c r="J433" i="1"/>
  <c r="K433" i="1" s="1"/>
  <c r="G433" i="1"/>
  <c r="H433" i="1" s="1"/>
  <c r="L432" i="1"/>
  <c r="J432" i="1"/>
  <c r="K432" i="1" s="1"/>
  <c r="G432" i="1"/>
  <c r="H432" i="1" s="1"/>
  <c r="L431" i="1"/>
  <c r="J431" i="1"/>
  <c r="K431" i="1" s="1"/>
  <c r="G431" i="1"/>
  <c r="H431" i="1" s="1"/>
  <c r="L430" i="1"/>
  <c r="J430" i="1"/>
  <c r="K430" i="1" s="1"/>
  <c r="G430" i="1"/>
  <c r="H430" i="1" s="1"/>
  <c r="L429" i="1"/>
  <c r="J429" i="1"/>
  <c r="K429" i="1" s="1"/>
  <c r="G429" i="1"/>
  <c r="H429" i="1" s="1"/>
  <c r="L428" i="1"/>
  <c r="J428" i="1"/>
  <c r="K428" i="1" s="1"/>
  <c r="G428" i="1"/>
  <c r="H428" i="1" s="1"/>
  <c r="L427" i="1"/>
  <c r="J427" i="1"/>
  <c r="K427" i="1" s="1"/>
  <c r="G427" i="1"/>
  <c r="H427" i="1" s="1"/>
  <c r="L426" i="1"/>
  <c r="J426" i="1"/>
  <c r="K426" i="1" s="1"/>
  <c r="G426" i="1"/>
  <c r="H426" i="1" s="1"/>
  <c r="L425" i="1"/>
  <c r="J425" i="1"/>
  <c r="K425" i="1" s="1"/>
  <c r="G425" i="1"/>
  <c r="H425" i="1" s="1"/>
  <c r="L424" i="1"/>
  <c r="J424" i="1"/>
  <c r="K424" i="1" s="1"/>
  <c r="G424" i="1"/>
  <c r="H424" i="1" s="1"/>
  <c r="L423" i="1"/>
  <c r="J423" i="1"/>
  <c r="K423" i="1" s="1"/>
  <c r="G423" i="1"/>
  <c r="H423" i="1" s="1"/>
  <c r="L422" i="1"/>
  <c r="J422" i="1"/>
  <c r="K422" i="1" s="1"/>
  <c r="G422" i="1"/>
  <c r="H422" i="1" s="1"/>
  <c r="L421" i="1"/>
  <c r="J421" i="1"/>
  <c r="K421" i="1" s="1"/>
  <c r="G421" i="1"/>
  <c r="H421" i="1" s="1"/>
  <c r="L420" i="1"/>
  <c r="J420" i="1"/>
  <c r="K420" i="1" s="1"/>
  <c r="G420" i="1"/>
  <c r="H420" i="1" s="1"/>
  <c r="L419" i="1"/>
  <c r="J419" i="1"/>
  <c r="K419" i="1" s="1"/>
  <c r="G419" i="1"/>
  <c r="H419" i="1" s="1"/>
  <c r="L418" i="1"/>
  <c r="J418" i="1"/>
  <c r="K418" i="1" s="1"/>
  <c r="G418" i="1"/>
  <c r="H418" i="1" s="1"/>
  <c r="L417" i="1"/>
  <c r="J417" i="1"/>
  <c r="K417" i="1" s="1"/>
  <c r="G417" i="1"/>
  <c r="H417" i="1" s="1"/>
  <c r="L416" i="1"/>
  <c r="J416" i="1"/>
  <c r="K416" i="1" s="1"/>
  <c r="G416" i="1"/>
  <c r="H416" i="1" s="1"/>
  <c r="L415" i="1"/>
  <c r="J415" i="1"/>
  <c r="K415" i="1" s="1"/>
  <c r="G415" i="1"/>
  <c r="H415" i="1" s="1"/>
  <c r="L414" i="1"/>
  <c r="J414" i="1"/>
  <c r="K414" i="1" s="1"/>
  <c r="G414" i="1"/>
  <c r="H414" i="1" s="1"/>
  <c r="L413" i="1"/>
  <c r="J413" i="1"/>
  <c r="K413" i="1" s="1"/>
  <c r="G413" i="1"/>
  <c r="H413" i="1" s="1"/>
  <c r="L412" i="1"/>
  <c r="J412" i="1"/>
  <c r="K412" i="1" s="1"/>
  <c r="G412" i="1"/>
  <c r="H412" i="1" s="1"/>
  <c r="L411" i="1"/>
  <c r="J411" i="1"/>
  <c r="K411" i="1" s="1"/>
  <c r="G411" i="1"/>
  <c r="H411" i="1" s="1"/>
  <c r="L410" i="1"/>
  <c r="J410" i="1"/>
  <c r="K410" i="1" s="1"/>
  <c r="G410" i="1"/>
  <c r="H410" i="1" s="1"/>
  <c r="L409" i="1"/>
  <c r="J409" i="1"/>
  <c r="K409" i="1" s="1"/>
  <c r="G409" i="1"/>
  <c r="H409" i="1" s="1"/>
  <c r="L408" i="1"/>
  <c r="J408" i="1"/>
  <c r="K408" i="1" s="1"/>
  <c r="G408" i="1"/>
  <c r="H408" i="1" s="1"/>
  <c r="L407" i="1"/>
  <c r="J407" i="1"/>
  <c r="K407" i="1" s="1"/>
  <c r="G407" i="1"/>
  <c r="H407" i="1" s="1"/>
  <c r="L406" i="1"/>
  <c r="J406" i="1"/>
  <c r="K406" i="1" s="1"/>
  <c r="G406" i="1"/>
  <c r="H406" i="1" s="1"/>
  <c r="L405" i="1"/>
  <c r="J405" i="1"/>
  <c r="K405" i="1" s="1"/>
  <c r="G405" i="1"/>
  <c r="H405" i="1" s="1"/>
  <c r="L404" i="1"/>
  <c r="J404" i="1"/>
  <c r="K404" i="1" s="1"/>
  <c r="G404" i="1"/>
  <c r="H404" i="1" s="1"/>
  <c r="L403" i="1"/>
  <c r="J403" i="1"/>
  <c r="K403" i="1" s="1"/>
  <c r="G403" i="1"/>
  <c r="H403" i="1" s="1"/>
  <c r="L402" i="1"/>
  <c r="J402" i="1"/>
  <c r="K402" i="1" s="1"/>
  <c r="G402" i="1"/>
  <c r="H402" i="1" s="1"/>
  <c r="L401" i="1"/>
  <c r="J401" i="1"/>
  <c r="K401" i="1" s="1"/>
  <c r="G401" i="1"/>
  <c r="H401" i="1" s="1"/>
  <c r="L400" i="1"/>
  <c r="J400" i="1"/>
  <c r="K400" i="1" s="1"/>
  <c r="G400" i="1"/>
  <c r="H400" i="1" s="1"/>
  <c r="L399" i="1"/>
  <c r="J399" i="1"/>
  <c r="K399" i="1" s="1"/>
  <c r="G399" i="1"/>
  <c r="H399" i="1" s="1"/>
  <c r="L398" i="1"/>
  <c r="J398" i="1"/>
  <c r="K398" i="1" s="1"/>
  <c r="G398" i="1"/>
  <c r="H398" i="1" s="1"/>
  <c r="L397" i="1"/>
  <c r="J397" i="1"/>
  <c r="K397" i="1" s="1"/>
  <c r="G397" i="1"/>
  <c r="H397" i="1" s="1"/>
  <c r="L396" i="1"/>
  <c r="J396" i="1"/>
  <c r="K396" i="1" s="1"/>
  <c r="G396" i="1"/>
  <c r="H396" i="1" s="1"/>
  <c r="L395" i="1"/>
  <c r="J395" i="1"/>
  <c r="K395" i="1" s="1"/>
  <c r="G395" i="1"/>
  <c r="H395" i="1" s="1"/>
  <c r="L394" i="1"/>
  <c r="J394" i="1"/>
  <c r="K394" i="1" s="1"/>
  <c r="G394" i="1"/>
  <c r="H394" i="1" s="1"/>
  <c r="L393" i="1"/>
  <c r="J393" i="1"/>
  <c r="K393" i="1" s="1"/>
  <c r="G393" i="1"/>
  <c r="H393" i="1" s="1"/>
  <c r="L392" i="1"/>
  <c r="J392" i="1"/>
  <c r="K392" i="1" s="1"/>
  <c r="G392" i="1"/>
  <c r="H392" i="1" s="1"/>
  <c r="L391" i="1"/>
  <c r="J391" i="1"/>
  <c r="K391" i="1" s="1"/>
  <c r="G391" i="1"/>
  <c r="H391" i="1" s="1"/>
  <c r="L390" i="1"/>
  <c r="J390" i="1"/>
  <c r="K390" i="1" s="1"/>
  <c r="G390" i="1"/>
  <c r="H390" i="1" s="1"/>
  <c r="L389" i="1"/>
  <c r="J389" i="1"/>
  <c r="K389" i="1" s="1"/>
  <c r="G389" i="1"/>
  <c r="H389" i="1" s="1"/>
  <c r="L388" i="1"/>
  <c r="J388" i="1"/>
  <c r="K388" i="1" s="1"/>
  <c r="G388" i="1"/>
  <c r="H388" i="1" s="1"/>
  <c r="L387" i="1"/>
  <c r="J387" i="1"/>
  <c r="K387" i="1" s="1"/>
  <c r="G387" i="1"/>
  <c r="H387" i="1" s="1"/>
  <c r="L386" i="1"/>
  <c r="J386" i="1"/>
  <c r="K386" i="1" s="1"/>
  <c r="G386" i="1"/>
  <c r="H386" i="1" s="1"/>
  <c r="L385" i="1"/>
  <c r="J385" i="1"/>
  <c r="K385" i="1" s="1"/>
  <c r="G385" i="1"/>
  <c r="H385" i="1" s="1"/>
  <c r="L384" i="1"/>
  <c r="J384" i="1"/>
  <c r="K384" i="1" s="1"/>
  <c r="G384" i="1"/>
  <c r="H384" i="1" s="1"/>
  <c r="L383" i="1"/>
  <c r="J383" i="1"/>
  <c r="K383" i="1" s="1"/>
  <c r="G383" i="1"/>
  <c r="H383" i="1" s="1"/>
  <c r="L382" i="1"/>
  <c r="J382" i="1"/>
  <c r="K382" i="1" s="1"/>
  <c r="G382" i="1"/>
  <c r="H382" i="1" s="1"/>
  <c r="L381" i="1"/>
  <c r="J381" i="1"/>
  <c r="K381" i="1" s="1"/>
  <c r="G381" i="1"/>
  <c r="H381" i="1" s="1"/>
  <c r="L380" i="1"/>
  <c r="J380" i="1"/>
  <c r="K380" i="1" s="1"/>
  <c r="G380" i="1"/>
  <c r="H380" i="1" s="1"/>
  <c r="L379" i="1"/>
  <c r="J379" i="1"/>
  <c r="K379" i="1" s="1"/>
  <c r="G379" i="1"/>
  <c r="H379" i="1" s="1"/>
  <c r="L378" i="1"/>
  <c r="J378" i="1"/>
  <c r="K378" i="1" s="1"/>
  <c r="G378" i="1"/>
  <c r="H378" i="1" s="1"/>
  <c r="L377" i="1"/>
  <c r="J377" i="1"/>
  <c r="K377" i="1" s="1"/>
  <c r="G377" i="1"/>
  <c r="H377" i="1" s="1"/>
  <c r="L376" i="1"/>
  <c r="J376" i="1"/>
  <c r="K376" i="1" s="1"/>
  <c r="G376" i="1"/>
  <c r="H376" i="1" s="1"/>
  <c r="L375" i="1"/>
  <c r="J375" i="1"/>
  <c r="K375" i="1" s="1"/>
  <c r="G375" i="1"/>
  <c r="H375" i="1" s="1"/>
  <c r="L374" i="1"/>
  <c r="J374" i="1"/>
  <c r="K374" i="1" s="1"/>
  <c r="G374" i="1"/>
  <c r="H374" i="1" s="1"/>
  <c r="L373" i="1"/>
  <c r="J373" i="1"/>
  <c r="K373" i="1" s="1"/>
  <c r="G373" i="1"/>
  <c r="H373" i="1" s="1"/>
  <c r="L372" i="1"/>
  <c r="J372" i="1"/>
  <c r="K372" i="1" s="1"/>
  <c r="G372" i="1"/>
  <c r="H372" i="1" s="1"/>
  <c r="L371" i="1"/>
  <c r="J371" i="1"/>
  <c r="K371" i="1" s="1"/>
  <c r="G371" i="1"/>
  <c r="H371" i="1" s="1"/>
  <c r="L370" i="1"/>
  <c r="J370" i="1"/>
  <c r="K370" i="1" s="1"/>
  <c r="G370" i="1"/>
  <c r="H370" i="1" s="1"/>
  <c r="L369" i="1"/>
  <c r="J369" i="1"/>
  <c r="K369" i="1" s="1"/>
  <c r="G369" i="1"/>
  <c r="H369" i="1" s="1"/>
  <c r="L368" i="1"/>
  <c r="J368" i="1"/>
  <c r="K368" i="1" s="1"/>
  <c r="G368" i="1"/>
  <c r="H368" i="1" s="1"/>
  <c r="L367" i="1"/>
  <c r="J367" i="1"/>
  <c r="K367" i="1" s="1"/>
  <c r="G367" i="1"/>
  <c r="H367" i="1" s="1"/>
  <c r="L366" i="1"/>
  <c r="J366" i="1"/>
  <c r="K366" i="1" s="1"/>
  <c r="G366" i="1"/>
  <c r="H366" i="1" s="1"/>
  <c r="L365" i="1"/>
  <c r="J365" i="1"/>
  <c r="K365" i="1" s="1"/>
  <c r="G365" i="1"/>
  <c r="H365" i="1" s="1"/>
  <c r="L364" i="1"/>
  <c r="J364" i="1"/>
  <c r="K364" i="1" s="1"/>
  <c r="G364" i="1"/>
  <c r="H364" i="1" s="1"/>
  <c r="L363" i="1"/>
  <c r="J363" i="1"/>
  <c r="K363" i="1" s="1"/>
  <c r="G363" i="1"/>
  <c r="H363" i="1" s="1"/>
  <c r="L362" i="1"/>
  <c r="J362" i="1"/>
  <c r="K362" i="1" s="1"/>
  <c r="G362" i="1"/>
  <c r="H362" i="1" s="1"/>
  <c r="L361" i="1"/>
  <c r="J361" i="1"/>
  <c r="K361" i="1" s="1"/>
  <c r="G361" i="1"/>
  <c r="H361" i="1" s="1"/>
  <c r="L360" i="1"/>
  <c r="J360" i="1"/>
  <c r="K360" i="1" s="1"/>
  <c r="G360" i="1"/>
  <c r="H360" i="1" s="1"/>
  <c r="L359" i="1"/>
  <c r="J359" i="1"/>
  <c r="K359" i="1" s="1"/>
  <c r="G359" i="1"/>
  <c r="H359" i="1" s="1"/>
  <c r="L358" i="1"/>
  <c r="J358" i="1"/>
  <c r="K358" i="1" s="1"/>
  <c r="G358" i="1"/>
  <c r="H358" i="1" s="1"/>
  <c r="L357" i="1"/>
  <c r="J357" i="1"/>
  <c r="K357" i="1" s="1"/>
  <c r="G357" i="1"/>
  <c r="H357" i="1" s="1"/>
  <c r="L356" i="1"/>
  <c r="J356" i="1"/>
  <c r="K356" i="1" s="1"/>
  <c r="G356" i="1"/>
  <c r="H356" i="1" s="1"/>
  <c r="L355" i="1"/>
  <c r="J355" i="1"/>
  <c r="K355" i="1" s="1"/>
  <c r="G355" i="1"/>
  <c r="H355" i="1" s="1"/>
  <c r="L354" i="1"/>
  <c r="J354" i="1"/>
  <c r="K354" i="1" s="1"/>
  <c r="G354" i="1"/>
  <c r="H354" i="1" s="1"/>
  <c r="L353" i="1"/>
  <c r="J353" i="1"/>
  <c r="K353" i="1" s="1"/>
  <c r="G353" i="1"/>
  <c r="H353" i="1" s="1"/>
  <c r="L352" i="1"/>
  <c r="J352" i="1"/>
  <c r="K352" i="1" s="1"/>
  <c r="G352" i="1"/>
  <c r="H352" i="1" s="1"/>
  <c r="L351" i="1"/>
  <c r="J351" i="1"/>
  <c r="K351" i="1" s="1"/>
  <c r="G351" i="1"/>
  <c r="H351" i="1" s="1"/>
  <c r="L350" i="1"/>
  <c r="J350" i="1"/>
  <c r="K350" i="1" s="1"/>
  <c r="G350" i="1"/>
  <c r="H350" i="1" s="1"/>
  <c r="L349" i="1"/>
  <c r="J349" i="1"/>
  <c r="K349" i="1" s="1"/>
  <c r="G349" i="1"/>
  <c r="H349" i="1" s="1"/>
  <c r="L348" i="1"/>
  <c r="J348" i="1"/>
  <c r="K348" i="1" s="1"/>
  <c r="G348" i="1"/>
  <c r="H348" i="1" s="1"/>
  <c r="L347" i="1"/>
  <c r="J347" i="1"/>
  <c r="K347" i="1" s="1"/>
  <c r="G347" i="1"/>
  <c r="H347" i="1" s="1"/>
  <c r="L346" i="1"/>
  <c r="J346" i="1"/>
  <c r="K346" i="1" s="1"/>
  <c r="G346" i="1"/>
  <c r="H346" i="1" s="1"/>
  <c r="L345" i="1"/>
  <c r="J345" i="1"/>
  <c r="K345" i="1" s="1"/>
  <c r="G345" i="1"/>
  <c r="H345" i="1" s="1"/>
  <c r="L344" i="1"/>
  <c r="J344" i="1"/>
  <c r="K344" i="1" s="1"/>
  <c r="G344" i="1"/>
  <c r="H344" i="1" s="1"/>
  <c r="L343" i="1"/>
  <c r="J343" i="1"/>
  <c r="K343" i="1" s="1"/>
  <c r="G343" i="1"/>
  <c r="H343" i="1" s="1"/>
  <c r="L342" i="1"/>
  <c r="J342" i="1"/>
  <c r="K342" i="1" s="1"/>
  <c r="G342" i="1"/>
  <c r="H342" i="1" s="1"/>
  <c r="L341" i="1"/>
  <c r="J341" i="1"/>
  <c r="K341" i="1" s="1"/>
  <c r="G341" i="1"/>
  <c r="H341" i="1" s="1"/>
  <c r="L340" i="1"/>
  <c r="J340" i="1"/>
  <c r="K340" i="1" s="1"/>
  <c r="G340" i="1"/>
  <c r="H340" i="1" s="1"/>
  <c r="L339" i="1"/>
  <c r="J339" i="1"/>
  <c r="K339" i="1" s="1"/>
  <c r="G339" i="1"/>
  <c r="H339" i="1" s="1"/>
  <c r="L338" i="1"/>
  <c r="J338" i="1"/>
  <c r="K338" i="1" s="1"/>
  <c r="G338" i="1"/>
  <c r="H338" i="1" s="1"/>
  <c r="L337" i="1"/>
  <c r="J337" i="1"/>
  <c r="K337" i="1" s="1"/>
  <c r="G337" i="1"/>
  <c r="H337" i="1" s="1"/>
  <c r="L336" i="1"/>
  <c r="J336" i="1"/>
  <c r="K336" i="1" s="1"/>
  <c r="G336" i="1"/>
  <c r="H336" i="1" s="1"/>
  <c r="L335" i="1"/>
  <c r="J335" i="1"/>
  <c r="K335" i="1" s="1"/>
  <c r="G335" i="1"/>
  <c r="H335" i="1" s="1"/>
  <c r="L334" i="1"/>
  <c r="J334" i="1"/>
  <c r="K334" i="1" s="1"/>
  <c r="G334" i="1"/>
  <c r="H334" i="1" s="1"/>
  <c r="L333" i="1"/>
  <c r="J333" i="1"/>
  <c r="K333" i="1" s="1"/>
  <c r="G333" i="1"/>
  <c r="H333" i="1" s="1"/>
  <c r="L332" i="1"/>
  <c r="J332" i="1"/>
  <c r="K332" i="1" s="1"/>
  <c r="G332" i="1"/>
  <c r="H332" i="1" s="1"/>
  <c r="L331" i="1"/>
  <c r="J331" i="1"/>
  <c r="K331" i="1" s="1"/>
  <c r="G331" i="1"/>
  <c r="H331" i="1" s="1"/>
  <c r="L330" i="1"/>
  <c r="J330" i="1"/>
  <c r="K330" i="1" s="1"/>
  <c r="G330" i="1"/>
  <c r="H330" i="1" s="1"/>
  <c r="L329" i="1"/>
  <c r="J329" i="1"/>
  <c r="K329" i="1" s="1"/>
  <c r="G329" i="1"/>
  <c r="H329" i="1" s="1"/>
  <c r="L328" i="1"/>
  <c r="J328" i="1"/>
  <c r="K328" i="1" s="1"/>
  <c r="G328" i="1"/>
  <c r="H328" i="1" s="1"/>
  <c r="L327" i="1"/>
  <c r="J327" i="1"/>
  <c r="K327" i="1" s="1"/>
  <c r="G327" i="1"/>
  <c r="H327" i="1" s="1"/>
  <c r="L326" i="1"/>
  <c r="J326" i="1"/>
  <c r="K326" i="1" s="1"/>
  <c r="G326" i="1"/>
  <c r="H326" i="1" s="1"/>
  <c r="L325" i="1"/>
  <c r="J325" i="1"/>
  <c r="K325" i="1" s="1"/>
  <c r="G325" i="1"/>
  <c r="H325" i="1" s="1"/>
  <c r="L324" i="1"/>
  <c r="J324" i="1"/>
  <c r="K324" i="1" s="1"/>
  <c r="G324" i="1"/>
  <c r="H324" i="1" s="1"/>
  <c r="L323" i="1"/>
  <c r="J323" i="1"/>
  <c r="K323" i="1" s="1"/>
  <c r="G323" i="1"/>
  <c r="H323" i="1" s="1"/>
  <c r="L322" i="1"/>
  <c r="J322" i="1"/>
  <c r="K322" i="1" s="1"/>
  <c r="G322" i="1"/>
  <c r="H322" i="1" s="1"/>
  <c r="L321" i="1"/>
  <c r="J321" i="1"/>
  <c r="K321" i="1" s="1"/>
  <c r="G321" i="1"/>
  <c r="H321" i="1" s="1"/>
  <c r="L320" i="1"/>
  <c r="J320" i="1"/>
  <c r="K320" i="1" s="1"/>
  <c r="G320" i="1"/>
  <c r="H320" i="1" s="1"/>
  <c r="L319" i="1"/>
  <c r="J319" i="1"/>
  <c r="K319" i="1" s="1"/>
  <c r="G319" i="1"/>
  <c r="H319" i="1" s="1"/>
  <c r="L318" i="1"/>
  <c r="J318" i="1"/>
  <c r="K318" i="1" s="1"/>
  <c r="G318" i="1"/>
  <c r="H318" i="1" s="1"/>
  <c r="L317" i="1"/>
  <c r="J317" i="1"/>
  <c r="K317" i="1" s="1"/>
  <c r="G317" i="1"/>
  <c r="H317" i="1" s="1"/>
  <c r="L316" i="1"/>
  <c r="J316" i="1"/>
  <c r="K316" i="1" s="1"/>
  <c r="G316" i="1"/>
  <c r="H316" i="1" s="1"/>
  <c r="L315" i="1"/>
  <c r="J315" i="1"/>
  <c r="K315" i="1" s="1"/>
  <c r="G315" i="1"/>
  <c r="H315" i="1" s="1"/>
  <c r="L314" i="1"/>
  <c r="J314" i="1"/>
  <c r="K314" i="1" s="1"/>
  <c r="G314" i="1"/>
  <c r="H314" i="1" s="1"/>
  <c r="L313" i="1"/>
  <c r="J313" i="1"/>
  <c r="K313" i="1" s="1"/>
  <c r="G313" i="1"/>
  <c r="H313" i="1" s="1"/>
  <c r="L312" i="1"/>
  <c r="J312" i="1"/>
  <c r="K312" i="1" s="1"/>
  <c r="G312" i="1"/>
  <c r="H312" i="1" s="1"/>
  <c r="L311" i="1"/>
  <c r="J311" i="1"/>
  <c r="K311" i="1" s="1"/>
  <c r="G311" i="1"/>
  <c r="H311" i="1" s="1"/>
  <c r="L310" i="1"/>
  <c r="J310" i="1"/>
  <c r="K310" i="1" s="1"/>
  <c r="G310" i="1"/>
  <c r="H310" i="1" s="1"/>
  <c r="L309" i="1"/>
  <c r="J309" i="1"/>
  <c r="K309" i="1" s="1"/>
  <c r="G309" i="1"/>
  <c r="H309" i="1" s="1"/>
  <c r="L308" i="1"/>
  <c r="J308" i="1"/>
  <c r="K308" i="1" s="1"/>
  <c r="G308" i="1"/>
  <c r="H308" i="1" s="1"/>
  <c r="L307" i="1"/>
  <c r="J307" i="1"/>
  <c r="K307" i="1" s="1"/>
  <c r="G307" i="1"/>
  <c r="H307" i="1" s="1"/>
  <c r="L306" i="1"/>
  <c r="J306" i="1"/>
  <c r="K306" i="1" s="1"/>
  <c r="G306" i="1"/>
  <c r="H306" i="1" s="1"/>
  <c r="L305" i="1"/>
  <c r="J305" i="1"/>
  <c r="K305" i="1" s="1"/>
  <c r="G305" i="1"/>
  <c r="H305" i="1" s="1"/>
  <c r="L304" i="1"/>
  <c r="J304" i="1"/>
  <c r="K304" i="1" s="1"/>
  <c r="G304" i="1"/>
  <c r="H304" i="1" s="1"/>
  <c r="L303" i="1"/>
  <c r="J303" i="1"/>
  <c r="K303" i="1" s="1"/>
  <c r="G303" i="1"/>
  <c r="H303" i="1" s="1"/>
  <c r="L302" i="1"/>
  <c r="J302" i="1"/>
  <c r="K302" i="1" s="1"/>
  <c r="G302" i="1"/>
  <c r="H302" i="1" s="1"/>
  <c r="L301" i="1"/>
  <c r="J301" i="1"/>
  <c r="K301" i="1" s="1"/>
  <c r="G301" i="1"/>
  <c r="H301" i="1" s="1"/>
  <c r="L300" i="1"/>
  <c r="J300" i="1"/>
  <c r="K300" i="1" s="1"/>
  <c r="G300" i="1"/>
  <c r="H300" i="1" s="1"/>
  <c r="L299" i="1"/>
  <c r="J299" i="1"/>
  <c r="K299" i="1" s="1"/>
  <c r="G299" i="1"/>
  <c r="H299" i="1" s="1"/>
  <c r="L298" i="1"/>
  <c r="J298" i="1"/>
  <c r="K298" i="1" s="1"/>
  <c r="G298" i="1"/>
  <c r="H298" i="1" s="1"/>
  <c r="L297" i="1"/>
  <c r="J297" i="1"/>
  <c r="K297" i="1" s="1"/>
  <c r="G297" i="1"/>
  <c r="H297" i="1" s="1"/>
  <c r="L296" i="1"/>
  <c r="J296" i="1"/>
  <c r="K296" i="1" s="1"/>
  <c r="G296" i="1"/>
  <c r="H296" i="1" s="1"/>
  <c r="L295" i="1"/>
  <c r="J295" i="1"/>
  <c r="K295" i="1" s="1"/>
  <c r="G295" i="1"/>
  <c r="H295" i="1" s="1"/>
  <c r="L294" i="1"/>
  <c r="J294" i="1"/>
  <c r="K294" i="1" s="1"/>
  <c r="G294" i="1"/>
  <c r="H294" i="1" s="1"/>
  <c r="L293" i="1"/>
  <c r="J293" i="1"/>
  <c r="K293" i="1" s="1"/>
  <c r="G293" i="1"/>
  <c r="H293" i="1" s="1"/>
  <c r="L292" i="1"/>
  <c r="J292" i="1"/>
  <c r="K292" i="1" s="1"/>
  <c r="G292" i="1"/>
  <c r="H292" i="1" s="1"/>
  <c r="L291" i="1"/>
  <c r="J291" i="1"/>
  <c r="K291" i="1" s="1"/>
  <c r="G291" i="1"/>
  <c r="H291" i="1" s="1"/>
  <c r="L290" i="1"/>
  <c r="J290" i="1"/>
  <c r="K290" i="1" s="1"/>
  <c r="G290" i="1"/>
  <c r="H290" i="1" s="1"/>
  <c r="L289" i="1"/>
  <c r="J289" i="1"/>
  <c r="K289" i="1" s="1"/>
  <c r="G289" i="1"/>
  <c r="H289" i="1" s="1"/>
  <c r="L288" i="1"/>
  <c r="J288" i="1"/>
  <c r="K288" i="1" s="1"/>
  <c r="G288" i="1"/>
  <c r="H288" i="1" s="1"/>
  <c r="L287" i="1"/>
  <c r="J287" i="1"/>
  <c r="K287" i="1" s="1"/>
  <c r="G287" i="1"/>
  <c r="H287" i="1" s="1"/>
  <c r="L286" i="1"/>
  <c r="J286" i="1"/>
  <c r="K286" i="1" s="1"/>
  <c r="G286" i="1"/>
  <c r="H286" i="1" s="1"/>
  <c r="L285" i="1"/>
  <c r="J285" i="1"/>
  <c r="K285" i="1" s="1"/>
  <c r="G285" i="1"/>
  <c r="H285" i="1" s="1"/>
  <c r="L284" i="1"/>
  <c r="J284" i="1"/>
  <c r="K284" i="1" s="1"/>
  <c r="G284" i="1"/>
  <c r="H284" i="1" s="1"/>
  <c r="L283" i="1"/>
  <c r="J283" i="1"/>
  <c r="K283" i="1" s="1"/>
  <c r="G283" i="1"/>
  <c r="H283" i="1" s="1"/>
  <c r="L282" i="1"/>
  <c r="J282" i="1"/>
  <c r="K282" i="1" s="1"/>
  <c r="G282" i="1"/>
  <c r="H282" i="1" s="1"/>
  <c r="L281" i="1"/>
  <c r="J281" i="1"/>
  <c r="K281" i="1" s="1"/>
  <c r="G281" i="1"/>
  <c r="H281" i="1" s="1"/>
  <c r="L280" i="1"/>
  <c r="J280" i="1"/>
  <c r="K280" i="1" s="1"/>
  <c r="G280" i="1"/>
  <c r="H280" i="1" s="1"/>
  <c r="L279" i="1"/>
  <c r="J279" i="1"/>
  <c r="K279" i="1" s="1"/>
  <c r="G279" i="1"/>
  <c r="H279" i="1" s="1"/>
  <c r="L278" i="1"/>
  <c r="J278" i="1"/>
  <c r="K278" i="1" s="1"/>
  <c r="G278" i="1"/>
  <c r="H278" i="1" s="1"/>
  <c r="L277" i="1"/>
  <c r="J277" i="1"/>
  <c r="K277" i="1" s="1"/>
  <c r="G277" i="1"/>
  <c r="H277" i="1" s="1"/>
  <c r="L276" i="1"/>
  <c r="J276" i="1"/>
  <c r="K276" i="1" s="1"/>
  <c r="G276" i="1"/>
  <c r="H276" i="1" s="1"/>
  <c r="L275" i="1"/>
  <c r="J275" i="1"/>
  <c r="K275" i="1" s="1"/>
  <c r="G275" i="1"/>
  <c r="H275" i="1" s="1"/>
  <c r="L274" i="1"/>
  <c r="J274" i="1"/>
  <c r="K274" i="1" s="1"/>
  <c r="G274" i="1"/>
  <c r="H274" i="1" s="1"/>
  <c r="L273" i="1"/>
  <c r="J273" i="1"/>
  <c r="K273" i="1" s="1"/>
  <c r="G273" i="1"/>
  <c r="H273" i="1" s="1"/>
  <c r="L272" i="1"/>
  <c r="J272" i="1"/>
  <c r="K272" i="1" s="1"/>
  <c r="G272" i="1"/>
  <c r="H272" i="1" s="1"/>
  <c r="L271" i="1"/>
  <c r="J271" i="1"/>
  <c r="K271" i="1" s="1"/>
  <c r="G271" i="1"/>
  <c r="H271" i="1" s="1"/>
  <c r="L270" i="1"/>
  <c r="J270" i="1"/>
  <c r="K270" i="1" s="1"/>
  <c r="G270" i="1"/>
  <c r="H270" i="1" s="1"/>
  <c r="L269" i="1"/>
  <c r="J269" i="1"/>
  <c r="K269" i="1" s="1"/>
  <c r="G269" i="1"/>
  <c r="H269" i="1" s="1"/>
  <c r="L268" i="1"/>
  <c r="J268" i="1"/>
  <c r="K268" i="1" s="1"/>
  <c r="G268" i="1"/>
  <c r="H268" i="1" s="1"/>
  <c r="L267" i="1"/>
  <c r="J267" i="1"/>
  <c r="K267" i="1" s="1"/>
  <c r="G267" i="1"/>
  <c r="H267" i="1" s="1"/>
  <c r="L266" i="1"/>
  <c r="J266" i="1"/>
  <c r="K266" i="1" s="1"/>
  <c r="G266" i="1"/>
  <c r="H266" i="1" s="1"/>
  <c r="L265" i="1"/>
  <c r="J265" i="1"/>
  <c r="K265" i="1" s="1"/>
  <c r="G265" i="1"/>
  <c r="H265" i="1" s="1"/>
  <c r="L264" i="1"/>
  <c r="J264" i="1"/>
  <c r="K264" i="1" s="1"/>
  <c r="G264" i="1"/>
  <c r="H264" i="1" s="1"/>
  <c r="L263" i="1"/>
  <c r="J263" i="1"/>
  <c r="K263" i="1" s="1"/>
  <c r="G263" i="1"/>
  <c r="H263" i="1" s="1"/>
  <c r="L262" i="1"/>
  <c r="J262" i="1"/>
  <c r="K262" i="1" s="1"/>
  <c r="G262" i="1"/>
  <c r="H262" i="1" s="1"/>
  <c r="L261" i="1"/>
  <c r="J261" i="1"/>
  <c r="K261" i="1" s="1"/>
  <c r="G261" i="1"/>
  <c r="H261" i="1" s="1"/>
  <c r="L260" i="1"/>
  <c r="J260" i="1"/>
  <c r="K260" i="1" s="1"/>
  <c r="G260" i="1"/>
  <c r="H260" i="1" s="1"/>
  <c r="L259" i="1"/>
  <c r="J259" i="1"/>
  <c r="K259" i="1" s="1"/>
  <c r="G259" i="1"/>
  <c r="H259" i="1" s="1"/>
  <c r="L258" i="1"/>
  <c r="J258" i="1"/>
  <c r="K258" i="1" s="1"/>
  <c r="G258" i="1"/>
  <c r="H258" i="1" s="1"/>
  <c r="L257" i="1"/>
  <c r="J257" i="1"/>
  <c r="K257" i="1" s="1"/>
  <c r="G257" i="1"/>
  <c r="H257" i="1" s="1"/>
  <c r="L256" i="1"/>
  <c r="J256" i="1"/>
  <c r="K256" i="1" s="1"/>
  <c r="G256" i="1"/>
  <c r="H256" i="1" s="1"/>
  <c r="L255" i="1"/>
  <c r="J255" i="1"/>
  <c r="K255" i="1" s="1"/>
  <c r="G255" i="1"/>
  <c r="H255" i="1" s="1"/>
  <c r="L254" i="1"/>
  <c r="J254" i="1"/>
  <c r="K254" i="1" s="1"/>
  <c r="G254" i="1"/>
  <c r="H254" i="1" s="1"/>
  <c r="L253" i="1"/>
  <c r="J253" i="1"/>
  <c r="K253" i="1" s="1"/>
  <c r="G253" i="1"/>
  <c r="H253" i="1" s="1"/>
  <c r="L252" i="1"/>
  <c r="J252" i="1"/>
  <c r="K252" i="1" s="1"/>
  <c r="G252" i="1"/>
  <c r="H252" i="1" s="1"/>
  <c r="L251" i="1"/>
  <c r="J251" i="1"/>
  <c r="K251" i="1" s="1"/>
  <c r="G251" i="1"/>
  <c r="H251" i="1" s="1"/>
  <c r="L250" i="1"/>
  <c r="J250" i="1"/>
  <c r="K250" i="1" s="1"/>
  <c r="G250" i="1"/>
  <c r="H250" i="1" s="1"/>
  <c r="L249" i="1"/>
  <c r="J249" i="1"/>
  <c r="K249" i="1" s="1"/>
  <c r="G249" i="1"/>
  <c r="H249" i="1" s="1"/>
  <c r="L248" i="1"/>
  <c r="J248" i="1"/>
  <c r="K248" i="1" s="1"/>
  <c r="G248" i="1"/>
  <c r="H248" i="1" s="1"/>
  <c r="L247" i="1"/>
  <c r="J247" i="1"/>
  <c r="K247" i="1" s="1"/>
  <c r="G247" i="1"/>
  <c r="H247" i="1" s="1"/>
  <c r="L246" i="1"/>
  <c r="J246" i="1"/>
  <c r="K246" i="1" s="1"/>
  <c r="G246" i="1"/>
  <c r="H246" i="1" s="1"/>
  <c r="L245" i="1"/>
  <c r="J245" i="1"/>
  <c r="K245" i="1" s="1"/>
  <c r="G245" i="1"/>
  <c r="H245" i="1" s="1"/>
  <c r="L244" i="1"/>
  <c r="J244" i="1"/>
  <c r="K244" i="1" s="1"/>
  <c r="G244" i="1"/>
  <c r="H244" i="1" s="1"/>
  <c r="L243" i="1"/>
  <c r="J243" i="1"/>
  <c r="K243" i="1" s="1"/>
  <c r="G243" i="1"/>
  <c r="H243" i="1" s="1"/>
  <c r="L242" i="1"/>
  <c r="J242" i="1"/>
  <c r="K242" i="1" s="1"/>
  <c r="G242" i="1"/>
  <c r="H242" i="1" s="1"/>
  <c r="L241" i="1"/>
  <c r="J241" i="1"/>
  <c r="K241" i="1" s="1"/>
  <c r="G241" i="1"/>
  <c r="H241" i="1" s="1"/>
  <c r="L240" i="1"/>
  <c r="J240" i="1"/>
  <c r="K240" i="1" s="1"/>
  <c r="G240" i="1"/>
  <c r="H240" i="1" s="1"/>
  <c r="L239" i="1"/>
  <c r="J239" i="1"/>
  <c r="K239" i="1" s="1"/>
  <c r="G239" i="1"/>
  <c r="H239" i="1" s="1"/>
  <c r="L238" i="1"/>
  <c r="J238" i="1"/>
  <c r="K238" i="1" s="1"/>
  <c r="G238" i="1"/>
  <c r="H238" i="1" s="1"/>
  <c r="L237" i="1"/>
  <c r="J237" i="1"/>
  <c r="K237" i="1" s="1"/>
  <c r="G237" i="1"/>
  <c r="H237" i="1" s="1"/>
  <c r="L236" i="1"/>
  <c r="J236" i="1"/>
  <c r="K236" i="1" s="1"/>
  <c r="G236" i="1"/>
  <c r="H236" i="1" s="1"/>
  <c r="L235" i="1"/>
  <c r="J235" i="1"/>
  <c r="K235" i="1" s="1"/>
  <c r="G235" i="1"/>
  <c r="H235" i="1" s="1"/>
  <c r="L234" i="1"/>
  <c r="J234" i="1"/>
  <c r="K234" i="1" s="1"/>
  <c r="G234" i="1"/>
  <c r="H234" i="1" s="1"/>
  <c r="L233" i="1"/>
  <c r="J233" i="1"/>
  <c r="K233" i="1" s="1"/>
  <c r="G233" i="1"/>
  <c r="H233" i="1" s="1"/>
  <c r="L232" i="1"/>
  <c r="J232" i="1"/>
  <c r="K232" i="1" s="1"/>
  <c r="G232" i="1"/>
  <c r="H232" i="1" s="1"/>
  <c r="L231" i="1"/>
  <c r="J231" i="1"/>
  <c r="K231" i="1" s="1"/>
  <c r="G231" i="1"/>
  <c r="H231" i="1" s="1"/>
  <c r="L230" i="1"/>
  <c r="J230" i="1"/>
  <c r="K230" i="1" s="1"/>
  <c r="G230" i="1"/>
  <c r="H230" i="1" s="1"/>
  <c r="L229" i="1"/>
  <c r="J229" i="1"/>
  <c r="K229" i="1" s="1"/>
  <c r="G229" i="1"/>
  <c r="H229" i="1" s="1"/>
  <c r="L228" i="1"/>
  <c r="J228" i="1"/>
  <c r="K228" i="1" s="1"/>
  <c r="G228" i="1"/>
  <c r="H228" i="1" s="1"/>
  <c r="L227" i="1"/>
  <c r="J227" i="1"/>
  <c r="K227" i="1" s="1"/>
  <c r="G227" i="1"/>
  <c r="H227" i="1" s="1"/>
  <c r="L226" i="1"/>
  <c r="J226" i="1"/>
  <c r="K226" i="1" s="1"/>
  <c r="G226" i="1"/>
  <c r="H226" i="1" s="1"/>
  <c r="L225" i="1"/>
  <c r="J225" i="1"/>
  <c r="K225" i="1" s="1"/>
  <c r="G225" i="1"/>
  <c r="H225" i="1" s="1"/>
  <c r="L224" i="1"/>
  <c r="J224" i="1"/>
  <c r="K224" i="1" s="1"/>
  <c r="G224" i="1"/>
  <c r="H224" i="1" s="1"/>
  <c r="L223" i="1"/>
  <c r="J223" i="1"/>
  <c r="K223" i="1" s="1"/>
  <c r="G223" i="1"/>
  <c r="H223" i="1" s="1"/>
  <c r="L222" i="1"/>
  <c r="J222" i="1"/>
  <c r="K222" i="1" s="1"/>
  <c r="G222" i="1"/>
  <c r="H222" i="1" s="1"/>
  <c r="L221" i="1"/>
  <c r="J221" i="1"/>
  <c r="K221" i="1" s="1"/>
  <c r="G221" i="1"/>
  <c r="H221" i="1" s="1"/>
  <c r="L220" i="1"/>
  <c r="J220" i="1"/>
  <c r="K220" i="1" s="1"/>
  <c r="G220" i="1"/>
  <c r="H220" i="1" s="1"/>
  <c r="L219" i="1"/>
  <c r="J219" i="1"/>
  <c r="K219" i="1" s="1"/>
  <c r="G219" i="1"/>
  <c r="H219" i="1" s="1"/>
  <c r="L218" i="1"/>
  <c r="J218" i="1"/>
  <c r="K218" i="1" s="1"/>
  <c r="G218" i="1"/>
  <c r="H218" i="1" s="1"/>
  <c r="L217" i="1"/>
  <c r="J217" i="1"/>
  <c r="K217" i="1" s="1"/>
  <c r="G217" i="1"/>
  <c r="H217" i="1" s="1"/>
  <c r="L216" i="1"/>
  <c r="J216" i="1"/>
  <c r="K216" i="1" s="1"/>
  <c r="G216" i="1"/>
  <c r="H216" i="1" s="1"/>
  <c r="L215" i="1"/>
  <c r="J215" i="1"/>
  <c r="K215" i="1" s="1"/>
  <c r="G215" i="1"/>
  <c r="H215" i="1" s="1"/>
  <c r="L214" i="1"/>
  <c r="J214" i="1"/>
  <c r="K214" i="1" s="1"/>
  <c r="G214" i="1"/>
  <c r="H214" i="1" s="1"/>
  <c r="L213" i="1"/>
  <c r="J213" i="1"/>
  <c r="K213" i="1" s="1"/>
  <c r="G213" i="1"/>
  <c r="H213" i="1" s="1"/>
  <c r="L212" i="1"/>
  <c r="J212" i="1"/>
  <c r="K212" i="1" s="1"/>
  <c r="G212" i="1"/>
  <c r="H212" i="1" s="1"/>
  <c r="L211" i="1"/>
  <c r="J211" i="1"/>
  <c r="K211" i="1" s="1"/>
  <c r="G211" i="1"/>
  <c r="H211" i="1" s="1"/>
  <c r="L210" i="1"/>
  <c r="J210" i="1"/>
  <c r="K210" i="1" s="1"/>
  <c r="G210" i="1"/>
  <c r="H210" i="1" s="1"/>
  <c r="L209" i="1"/>
  <c r="J209" i="1"/>
  <c r="K209" i="1" s="1"/>
  <c r="G209" i="1"/>
  <c r="H209" i="1" s="1"/>
  <c r="L208" i="1"/>
  <c r="J208" i="1"/>
  <c r="K208" i="1" s="1"/>
  <c r="G208" i="1"/>
  <c r="H208" i="1" s="1"/>
  <c r="L207" i="1"/>
  <c r="J207" i="1"/>
  <c r="K207" i="1" s="1"/>
  <c r="G207" i="1"/>
  <c r="H207" i="1" s="1"/>
  <c r="L206" i="1"/>
  <c r="J206" i="1"/>
  <c r="K206" i="1" s="1"/>
  <c r="G206" i="1"/>
  <c r="H206" i="1" s="1"/>
  <c r="L205" i="1"/>
  <c r="J205" i="1"/>
  <c r="K205" i="1" s="1"/>
  <c r="G205" i="1"/>
  <c r="H205" i="1" s="1"/>
  <c r="L204" i="1"/>
  <c r="J204" i="1"/>
  <c r="K204" i="1" s="1"/>
  <c r="G204" i="1"/>
  <c r="H204" i="1" s="1"/>
  <c r="L203" i="1"/>
  <c r="J203" i="1"/>
  <c r="K203" i="1" s="1"/>
  <c r="G203" i="1"/>
  <c r="H203" i="1" s="1"/>
  <c r="L202" i="1"/>
  <c r="J202" i="1"/>
  <c r="K202" i="1" s="1"/>
  <c r="G202" i="1"/>
  <c r="H202" i="1" s="1"/>
  <c r="L201" i="1"/>
  <c r="J201" i="1"/>
  <c r="K201" i="1" s="1"/>
  <c r="G201" i="1"/>
  <c r="H201" i="1" s="1"/>
  <c r="L200" i="1"/>
  <c r="J200" i="1"/>
  <c r="K200" i="1" s="1"/>
  <c r="G200" i="1"/>
  <c r="H200" i="1" s="1"/>
  <c r="L199" i="1"/>
  <c r="J199" i="1"/>
  <c r="K199" i="1" s="1"/>
  <c r="G199" i="1"/>
  <c r="H199" i="1" s="1"/>
  <c r="L198" i="1"/>
  <c r="J198" i="1"/>
  <c r="K198" i="1" s="1"/>
  <c r="G198" i="1"/>
  <c r="H198" i="1" s="1"/>
  <c r="L197" i="1"/>
  <c r="J197" i="1"/>
  <c r="K197" i="1" s="1"/>
  <c r="G197" i="1"/>
  <c r="H197" i="1" s="1"/>
  <c r="L196" i="1"/>
  <c r="J196" i="1"/>
  <c r="K196" i="1" s="1"/>
  <c r="G196" i="1"/>
  <c r="H196" i="1" s="1"/>
  <c r="L195" i="1"/>
  <c r="J195" i="1"/>
  <c r="K195" i="1" s="1"/>
  <c r="G195" i="1"/>
  <c r="H195" i="1" s="1"/>
  <c r="L194" i="1"/>
  <c r="J194" i="1"/>
  <c r="K194" i="1" s="1"/>
  <c r="P34" i="2" s="1"/>
  <c r="G194" i="1"/>
  <c r="H194" i="1" s="1"/>
  <c r="L193" i="1"/>
  <c r="J193" i="1"/>
  <c r="K193" i="1" s="1"/>
  <c r="G193" i="1"/>
  <c r="H193" i="1" s="1"/>
  <c r="L192" i="1"/>
  <c r="J192" i="1"/>
  <c r="K192" i="1" s="1"/>
  <c r="G192" i="1"/>
  <c r="H192" i="1" s="1"/>
  <c r="L191" i="1"/>
  <c r="J191" i="1"/>
  <c r="K191" i="1" s="1"/>
  <c r="G191" i="1"/>
  <c r="H191" i="1" s="1"/>
  <c r="L190" i="1"/>
  <c r="J190" i="1"/>
  <c r="K190" i="1" s="1"/>
  <c r="G190" i="1"/>
  <c r="H190" i="1" s="1"/>
  <c r="L189" i="1"/>
  <c r="J189" i="1"/>
  <c r="K189" i="1" s="1"/>
  <c r="G189" i="1"/>
  <c r="H189" i="1" s="1"/>
  <c r="L188" i="1"/>
  <c r="J188" i="1"/>
  <c r="K188" i="1" s="1"/>
  <c r="G188" i="1"/>
  <c r="H188" i="1" s="1"/>
  <c r="L187" i="1"/>
  <c r="J187" i="1"/>
  <c r="K187" i="1" s="1"/>
  <c r="G187" i="1"/>
  <c r="H187" i="1" s="1"/>
  <c r="L186" i="1"/>
  <c r="J186" i="1"/>
  <c r="K186" i="1" s="1"/>
  <c r="G186" i="1"/>
  <c r="H186" i="1" s="1"/>
  <c r="L185" i="1"/>
  <c r="J185" i="1"/>
  <c r="K185" i="1" s="1"/>
  <c r="G185" i="1"/>
  <c r="H185" i="1" s="1"/>
  <c r="L184" i="1"/>
  <c r="J184" i="1"/>
  <c r="K184" i="1" s="1"/>
  <c r="G184" i="1"/>
  <c r="H184" i="1" s="1"/>
  <c r="L183" i="1"/>
  <c r="J183" i="1"/>
  <c r="K183" i="1" s="1"/>
  <c r="G183" i="1"/>
  <c r="H183" i="1" s="1"/>
  <c r="L182" i="1"/>
  <c r="J182" i="1"/>
  <c r="K182" i="1" s="1"/>
  <c r="G182" i="1"/>
  <c r="H182" i="1" s="1"/>
  <c r="L181" i="1"/>
  <c r="J181" i="1"/>
  <c r="K181" i="1" s="1"/>
  <c r="G181" i="1"/>
  <c r="H181" i="1" s="1"/>
  <c r="L180" i="1"/>
  <c r="J180" i="1"/>
  <c r="K180" i="1" s="1"/>
  <c r="G180" i="1"/>
  <c r="H180" i="1" s="1"/>
  <c r="L179" i="1"/>
  <c r="J179" i="1"/>
  <c r="K179" i="1" s="1"/>
  <c r="G179" i="1"/>
  <c r="H179" i="1" s="1"/>
  <c r="L178" i="1"/>
  <c r="J178" i="1"/>
  <c r="K178" i="1" s="1"/>
  <c r="G178" i="1"/>
  <c r="H178" i="1" s="1"/>
  <c r="L177" i="1"/>
  <c r="J177" i="1"/>
  <c r="K177" i="1" s="1"/>
  <c r="G177" i="1"/>
  <c r="H177" i="1" s="1"/>
  <c r="L176" i="1"/>
  <c r="J176" i="1"/>
  <c r="K176" i="1" s="1"/>
  <c r="G176" i="1"/>
  <c r="H176" i="1" s="1"/>
  <c r="L175" i="1"/>
  <c r="J175" i="1"/>
  <c r="K175" i="1" s="1"/>
  <c r="P32" i="2" s="1"/>
  <c r="G175" i="1"/>
  <c r="H175" i="1" s="1"/>
  <c r="L174" i="1"/>
  <c r="J174" i="1"/>
  <c r="K174" i="1" s="1"/>
  <c r="G174" i="1"/>
  <c r="H174" i="1" s="1"/>
  <c r="L173" i="1"/>
  <c r="J173" i="1"/>
  <c r="K173" i="1" s="1"/>
  <c r="G173" i="1"/>
  <c r="H173" i="1" s="1"/>
  <c r="L172" i="1"/>
  <c r="J172" i="1"/>
  <c r="K172" i="1" s="1"/>
  <c r="G172" i="1"/>
  <c r="H172" i="1" s="1"/>
  <c r="L171" i="1"/>
  <c r="J171" i="1"/>
  <c r="K171" i="1" s="1"/>
  <c r="G171" i="1"/>
  <c r="H171" i="1" s="1"/>
  <c r="L170" i="1"/>
  <c r="J170" i="1"/>
  <c r="K170" i="1" s="1"/>
  <c r="G170" i="1"/>
  <c r="H170" i="1" s="1"/>
  <c r="L169" i="1"/>
  <c r="J169" i="1"/>
  <c r="K169" i="1" s="1"/>
  <c r="G169" i="1"/>
  <c r="H169" i="1" s="1"/>
  <c r="L168" i="1"/>
  <c r="J168" i="1"/>
  <c r="K168" i="1" s="1"/>
  <c r="G168" i="1"/>
  <c r="H168" i="1" s="1"/>
  <c r="L167" i="1"/>
  <c r="J167" i="1"/>
  <c r="K167" i="1" s="1"/>
  <c r="P31" i="2" s="1"/>
  <c r="G167" i="1"/>
  <c r="H167" i="1" s="1"/>
  <c r="L166" i="1"/>
  <c r="J166" i="1"/>
  <c r="K166" i="1" s="1"/>
  <c r="G166" i="1"/>
  <c r="H166" i="1" s="1"/>
  <c r="L165" i="1"/>
  <c r="J165" i="1"/>
  <c r="K165" i="1" s="1"/>
  <c r="G165" i="1"/>
  <c r="H165" i="1" s="1"/>
  <c r="L164" i="1"/>
  <c r="J164" i="1"/>
  <c r="K164" i="1" s="1"/>
  <c r="G164" i="1"/>
  <c r="H164" i="1" s="1"/>
  <c r="L163" i="1"/>
  <c r="J163" i="1"/>
  <c r="K163" i="1" s="1"/>
  <c r="G163" i="1"/>
  <c r="H163" i="1" s="1"/>
  <c r="L162" i="1"/>
  <c r="J162" i="1"/>
  <c r="K162" i="1" s="1"/>
  <c r="G162" i="1"/>
  <c r="H162" i="1" s="1"/>
  <c r="L161" i="1"/>
  <c r="J161" i="1"/>
  <c r="K161" i="1" s="1"/>
  <c r="G161" i="1"/>
  <c r="H161" i="1" s="1"/>
  <c r="L160" i="1"/>
  <c r="J160" i="1"/>
  <c r="K160" i="1" s="1"/>
  <c r="G160" i="1"/>
  <c r="H160" i="1" s="1"/>
  <c r="L159" i="1"/>
  <c r="J159" i="1"/>
  <c r="K159" i="1" s="1"/>
  <c r="G159" i="1"/>
  <c r="H159" i="1" s="1"/>
  <c r="L158" i="1"/>
  <c r="J158" i="1"/>
  <c r="K158" i="1" s="1"/>
  <c r="P30" i="2" s="1"/>
  <c r="G158" i="1"/>
  <c r="H158" i="1" s="1"/>
  <c r="L157" i="1"/>
  <c r="J157" i="1"/>
  <c r="K157" i="1" s="1"/>
  <c r="G157" i="1"/>
  <c r="H157" i="1" s="1"/>
  <c r="L156" i="1"/>
  <c r="J156" i="1"/>
  <c r="K156" i="1" s="1"/>
  <c r="G156" i="1"/>
  <c r="H156" i="1" s="1"/>
  <c r="L155" i="1"/>
  <c r="J155" i="1"/>
  <c r="K155" i="1" s="1"/>
  <c r="G155" i="1"/>
  <c r="H155" i="1" s="1"/>
  <c r="L154" i="1"/>
  <c r="J154" i="1"/>
  <c r="K154" i="1" s="1"/>
  <c r="P29" i="2" s="1"/>
  <c r="G154" i="1"/>
  <c r="H154" i="1" s="1"/>
  <c r="L153" i="1"/>
  <c r="J153" i="1"/>
  <c r="K153" i="1" s="1"/>
  <c r="G153" i="1"/>
  <c r="H153" i="1" s="1"/>
  <c r="L152" i="1"/>
  <c r="J152" i="1"/>
  <c r="K152" i="1" s="1"/>
  <c r="G152" i="1"/>
  <c r="H152" i="1" s="1"/>
  <c r="L151" i="1"/>
  <c r="J151" i="1"/>
  <c r="K151" i="1" s="1"/>
  <c r="G151" i="1"/>
  <c r="H151" i="1" s="1"/>
  <c r="L150" i="1"/>
  <c r="J150" i="1"/>
  <c r="K150" i="1" s="1"/>
  <c r="G150" i="1"/>
  <c r="H150" i="1" s="1"/>
  <c r="L149" i="1"/>
  <c r="J149" i="1"/>
  <c r="K149" i="1" s="1"/>
  <c r="G149" i="1"/>
  <c r="H149" i="1" s="1"/>
  <c r="L148" i="1"/>
  <c r="J148" i="1"/>
  <c r="K148" i="1" s="1"/>
  <c r="G148" i="1"/>
  <c r="H148" i="1" s="1"/>
  <c r="L147" i="1"/>
  <c r="J147" i="1"/>
  <c r="K147" i="1" s="1"/>
  <c r="G147" i="1"/>
  <c r="H147" i="1" s="1"/>
  <c r="L146" i="1"/>
  <c r="J146" i="1"/>
  <c r="K146" i="1" s="1"/>
  <c r="G146" i="1"/>
  <c r="H146" i="1" s="1"/>
  <c r="L145" i="1"/>
  <c r="J145" i="1"/>
  <c r="K145" i="1" s="1"/>
  <c r="G145" i="1"/>
  <c r="H145" i="1" s="1"/>
  <c r="L144" i="1"/>
  <c r="J144" i="1"/>
  <c r="K144" i="1" s="1"/>
  <c r="G144" i="1"/>
  <c r="H144" i="1" s="1"/>
  <c r="L143" i="1"/>
  <c r="J143" i="1"/>
  <c r="K143" i="1" s="1"/>
  <c r="G143" i="1"/>
  <c r="H143" i="1" s="1"/>
  <c r="L142" i="1"/>
  <c r="J142" i="1"/>
  <c r="K142" i="1" s="1"/>
  <c r="G142" i="1"/>
  <c r="H142" i="1" s="1"/>
  <c r="L141" i="1"/>
  <c r="J141" i="1"/>
  <c r="K141" i="1" s="1"/>
  <c r="G141" i="1"/>
  <c r="H141" i="1" s="1"/>
  <c r="L140" i="1"/>
  <c r="J140" i="1"/>
  <c r="K140" i="1" s="1"/>
  <c r="G140" i="1"/>
  <c r="H140" i="1" s="1"/>
  <c r="L139" i="1"/>
  <c r="J139" i="1"/>
  <c r="K139" i="1" s="1"/>
  <c r="G139" i="1"/>
  <c r="H139" i="1" s="1"/>
  <c r="L138" i="1"/>
  <c r="J138" i="1"/>
  <c r="K138" i="1" s="1"/>
  <c r="G138" i="1"/>
  <c r="H138" i="1" s="1"/>
  <c r="L137" i="1"/>
  <c r="J137" i="1"/>
  <c r="K137" i="1" s="1"/>
  <c r="G137" i="1"/>
  <c r="H137" i="1" s="1"/>
  <c r="L136" i="1"/>
  <c r="J136" i="1"/>
  <c r="K136" i="1" s="1"/>
  <c r="G136" i="1"/>
  <c r="H136" i="1" s="1"/>
  <c r="L135" i="1"/>
  <c r="J135" i="1"/>
  <c r="K135" i="1" s="1"/>
  <c r="G135" i="1"/>
  <c r="H135" i="1" s="1"/>
  <c r="L134" i="1"/>
  <c r="J134" i="1"/>
  <c r="K134" i="1" s="1"/>
  <c r="G134" i="1"/>
  <c r="H134" i="1" s="1"/>
  <c r="L133" i="1"/>
  <c r="J133" i="1"/>
  <c r="K133" i="1" s="1"/>
  <c r="G133" i="1"/>
  <c r="H133" i="1" s="1"/>
  <c r="L132" i="1"/>
  <c r="J132" i="1"/>
  <c r="K132" i="1" s="1"/>
  <c r="P33" i="2" s="1"/>
  <c r="G132" i="1"/>
  <c r="H132" i="1" s="1"/>
  <c r="L131" i="1"/>
  <c r="J131" i="1"/>
  <c r="K131" i="1" s="1"/>
  <c r="G131" i="1"/>
  <c r="H131" i="1" s="1"/>
  <c r="L130" i="1"/>
  <c r="J130" i="1"/>
  <c r="K130" i="1" s="1"/>
  <c r="G130" i="1"/>
  <c r="H130" i="1" s="1"/>
  <c r="L129" i="1"/>
  <c r="J129" i="1"/>
  <c r="K129" i="1" s="1"/>
  <c r="G129" i="1"/>
  <c r="H129" i="1" s="1"/>
  <c r="L128" i="1"/>
  <c r="J128" i="1"/>
  <c r="K128" i="1" s="1"/>
  <c r="G128" i="1"/>
  <c r="H128" i="1" s="1"/>
  <c r="L127" i="1"/>
  <c r="J127" i="1"/>
  <c r="K127" i="1" s="1"/>
  <c r="G127" i="1"/>
  <c r="H127" i="1" s="1"/>
  <c r="L126" i="1"/>
  <c r="J126" i="1"/>
  <c r="K126" i="1" s="1"/>
  <c r="G126" i="1"/>
  <c r="H126" i="1" s="1"/>
  <c r="L125" i="1"/>
  <c r="J125" i="1"/>
  <c r="K125" i="1" s="1"/>
  <c r="G125" i="1"/>
  <c r="H125" i="1" s="1"/>
  <c r="L124" i="1"/>
  <c r="J124" i="1"/>
  <c r="K124" i="1" s="1"/>
  <c r="G124" i="1"/>
  <c r="H124" i="1" s="1"/>
  <c r="L123" i="1"/>
  <c r="J123" i="1"/>
  <c r="K123" i="1" s="1"/>
  <c r="P28" i="2" s="1"/>
  <c r="G123" i="1"/>
  <c r="H123" i="1" s="1"/>
  <c r="L122" i="1"/>
  <c r="J122" i="1"/>
  <c r="K122" i="1" s="1"/>
  <c r="G122" i="1"/>
  <c r="H122" i="1" s="1"/>
  <c r="L121" i="1"/>
  <c r="J121" i="1"/>
  <c r="K121" i="1" s="1"/>
  <c r="G121" i="1"/>
  <c r="H121" i="1" s="1"/>
  <c r="L120" i="1"/>
  <c r="J120" i="1"/>
  <c r="K120" i="1" s="1"/>
  <c r="P27" i="2" s="1"/>
  <c r="G120" i="1"/>
  <c r="H120" i="1" s="1"/>
  <c r="L119" i="1"/>
  <c r="J119" i="1"/>
  <c r="K119" i="1" s="1"/>
  <c r="P63" i="2" s="1"/>
  <c r="G119" i="1"/>
  <c r="H119" i="1" s="1"/>
  <c r="L118" i="1"/>
  <c r="J118" i="1"/>
  <c r="K118" i="1" s="1"/>
  <c r="G118" i="1"/>
  <c r="H118" i="1" s="1"/>
  <c r="L117" i="1"/>
  <c r="J117" i="1"/>
  <c r="K117" i="1" s="1"/>
  <c r="G117" i="1"/>
  <c r="H117" i="1" s="1"/>
  <c r="L116" i="1"/>
  <c r="J116" i="1"/>
  <c r="K116" i="1" s="1"/>
  <c r="G116" i="1"/>
  <c r="H116" i="1" s="1"/>
  <c r="L115" i="1"/>
  <c r="J115" i="1"/>
  <c r="K115" i="1" s="1"/>
  <c r="G115" i="1"/>
  <c r="H115" i="1" s="1"/>
  <c r="L114" i="1"/>
  <c r="J114" i="1"/>
  <c r="K114" i="1" s="1"/>
  <c r="G114" i="1"/>
  <c r="H114" i="1" s="1"/>
  <c r="L113" i="1"/>
  <c r="J113" i="1"/>
  <c r="K113" i="1" s="1"/>
  <c r="G113" i="1"/>
  <c r="H113" i="1" s="1"/>
  <c r="L112" i="1"/>
  <c r="J112" i="1"/>
  <c r="K112" i="1" s="1"/>
  <c r="G112" i="1"/>
  <c r="H112" i="1" s="1"/>
  <c r="L111" i="1"/>
  <c r="J111" i="1"/>
  <c r="K111" i="1" s="1"/>
  <c r="G111" i="1"/>
  <c r="H111" i="1" s="1"/>
  <c r="L110" i="1"/>
  <c r="J110" i="1"/>
  <c r="K110" i="1" s="1"/>
  <c r="G110" i="1"/>
  <c r="H110" i="1" s="1"/>
  <c r="L109" i="1"/>
  <c r="J109" i="1"/>
  <c r="K109" i="1" s="1"/>
  <c r="G109" i="1"/>
  <c r="H109" i="1" s="1"/>
  <c r="L108" i="1"/>
  <c r="J108" i="1"/>
  <c r="K108" i="1" s="1"/>
  <c r="G108" i="1"/>
  <c r="H108" i="1" s="1"/>
  <c r="L107" i="1"/>
  <c r="J107" i="1"/>
  <c r="K107" i="1" s="1"/>
  <c r="G107" i="1"/>
  <c r="H107" i="1" s="1"/>
  <c r="L106" i="1"/>
  <c r="J106" i="1"/>
  <c r="K106" i="1" s="1"/>
  <c r="G106" i="1"/>
  <c r="H106" i="1" s="1"/>
  <c r="L105" i="1"/>
  <c r="J105" i="1"/>
  <c r="K105" i="1" s="1"/>
  <c r="G105" i="1"/>
  <c r="H105" i="1" s="1"/>
  <c r="L104" i="1"/>
  <c r="J104" i="1"/>
  <c r="K104" i="1" s="1"/>
  <c r="G104" i="1"/>
  <c r="H104" i="1" s="1"/>
  <c r="L103" i="1"/>
  <c r="J103" i="1"/>
  <c r="K103" i="1" s="1"/>
  <c r="G103" i="1"/>
  <c r="H103" i="1" s="1"/>
  <c r="L102" i="1"/>
  <c r="J102" i="1"/>
  <c r="K102" i="1" s="1"/>
  <c r="G102" i="1"/>
  <c r="H102" i="1" s="1"/>
  <c r="L101" i="1"/>
  <c r="J101" i="1"/>
  <c r="K101" i="1" s="1"/>
  <c r="G101" i="1"/>
  <c r="H101" i="1" s="1"/>
  <c r="L100" i="1"/>
  <c r="J100" i="1"/>
  <c r="K100" i="1" s="1"/>
  <c r="G100" i="1"/>
  <c r="H100" i="1" s="1"/>
  <c r="L99" i="1"/>
  <c r="J99" i="1"/>
  <c r="K99" i="1" s="1"/>
  <c r="G99" i="1"/>
  <c r="H99" i="1" s="1"/>
  <c r="L98" i="1"/>
  <c r="J98" i="1"/>
  <c r="K98" i="1" s="1"/>
  <c r="P61" i="2" s="1"/>
  <c r="G98" i="1"/>
  <c r="H98" i="1" s="1"/>
  <c r="L97" i="1"/>
  <c r="J97" i="1"/>
  <c r="K97" i="1" s="1"/>
  <c r="P26" i="2" s="1"/>
  <c r="G97" i="1"/>
  <c r="H97" i="1" s="1"/>
  <c r="L96" i="1"/>
  <c r="J96" i="1"/>
  <c r="K96" i="1" s="1"/>
  <c r="G96" i="1"/>
  <c r="H96" i="1" s="1"/>
  <c r="L95" i="1"/>
  <c r="J95" i="1"/>
  <c r="K95" i="1" s="1"/>
  <c r="G95" i="1"/>
  <c r="H95" i="1" s="1"/>
  <c r="L94" i="1"/>
  <c r="J94" i="1"/>
  <c r="K94" i="1" s="1"/>
  <c r="G94" i="1"/>
  <c r="H94" i="1" s="1"/>
  <c r="L93" i="1"/>
  <c r="J93" i="1"/>
  <c r="K93" i="1" s="1"/>
  <c r="G93" i="1"/>
  <c r="H93" i="1" s="1"/>
  <c r="L92" i="1"/>
  <c r="J92" i="1"/>
  <c r="K92" i="1" s="1"/>
  <c r="P64" i="2" s="1"/>
  <c r="G92" i="1"/>
  <c r="H92" i="1" s="1"/>
  <c r="L91" i="1"/>
  <c r="J91" i="1"/>
  <c r="K91" i="1" s="1"/>
  <c r="G91" i="1"/>
  <c r="H91" i="1" s="1"/>
  <c r="L90" i="1"/>
  <c r="J90" i="1"/>
  <c r="K90" i="1" s="1"/>
  <c r="G90" i="1"/>
  <c r="H90" i="1" s="1"/>
  <c r="L89" i="1"/>
  <c r="J89" i="1"/>
  <c r="K89" i="1" s="1"/>
  <c r="G89" i="1"/>
  <c r="H89" i="1" s="1"/>
  <c r="L88" i="1"/>
  <c r="J88" i="1"/>
  <c r="K88" i="1" s="1"/>
  <c r="G88" i="1"/>
  <c r="H88" i="1" s="1"/>
  <c r="L87" i="1"/>
  <c r="J87" i="1"/>
  <c r="K87" i="1" s="1"/>
  <c r="G87" i="1"/>
  <c r="H87" i="1" s="1"/>
  <c r="L86" i="1"/>
  <c r="J86" i="1"/>
  <c r="K86" i="1" s="1"/>
  <c r="G86" i="1"/>
  <c r="H86" i="1" s="1"/>
  <c r="L85" i="1"/>
  <c r="J85" i="1"/>
  <c r="K85" i="1" s="1"/>
  <c r="G85" i="1"/>
  <c r="H85" i="1" s="1"/>
  <c r="L84" i="1"/>
  <c r="J84" i="1"/>
  <c r="K84" i="1" s="1"/>
  <c r="G84" i="1"/>
  <c r="H84" i="1" s="1"/>
  <c r="L83" i="1"/>
  <c r="J83" i="1"/>
  <c r="K83" i="1" s="1"/>
  <c r="G83" i="1"/>
  <c r="H83" i="1" s="1"/>
  <c r="L82" i="1"/>
  <c r="J82" i="1"/>
  <c r="K82" i="1" s="1"/>
  <c r="G82" i="1"/>
  <c r="H82" i="1" s="1"/>
  <c r="L81" i="1"/>
  <c r="J81" i="1"/>
  <c r="K81" i="1" s="1"/>
  <c r="G81" i="1"/>
  <c r="H81" i="1" s="1"/>
  <c r="L80" i="1"/>
  <c r="J80" i="1"/>
  <c r="K80" i="1" s="1"/>
  <c r="G80" i="1"/>
  <c r="H80" i="1" s="1"/>
  <c r="L79" i="1"/>
  <c r="J79" i="1"/>
  <c r="K79" i="1" s="1"/>
  <c r="G79" i="1"/>
  <c r="H79" i="1" s="1"/>
  <c r="L78" i="1"/>
  <c r="J78" i="1"/>
  <c r="K78" i="1" s="1"/>
  <c r="G78" i="1"/>
  <c r="H78" i="1" s="1"/>
  <c r="L77" i="1"/>
  <c r="J77" i="1"/>
  <c r="K77" i="1" s="1"/>
  <c r="G77" i="1"/>
  <c r="H77" i="1" s="1"/>
  <c r="L76" i="1"/>
  <c r="J76" i="1"/>
  <c r="K76" i="1" s="1"/>
  <c r="G76" i="1"/>
  <c r="H76" i="1" s="1"/>
  <c r="L75" i="1"/>
  <c r="J75" i="1"/>
  <c r="K75" i="1" s="1"/>
  <c r="G75" i="1"/>
  <c r="H75" i="1" s="1"/>
  <c r="L74" i="1"/>
  <c r="J74" i="1"/>
  <c r="K74" i="1" s="1"/>
  <c r="G74" i="1"/>
  <c r="H74" i="1" s="1"/>
  <c r="L73" i="1"/>
  <c r="J73" i="1"/>
  <c r="K73" i="1" s="1"/>
  <c r="G73" i="1"/>
  <c r="H73" i="1" s="1"/>
  <c r="L72" i="1"/>
  <c r="J72" i="1"/>
  <c r="K72" i="1" s="1"/>
  <c r="G72" i="1"/>
  <c r="H72" i="1" s="1"/>
  <c r="L71" i="1"/>
  <c r="J71" i="1"/>
  <c r="K71" i="1" s="1"/>
  <c r="P55" i="2" s="1"/>
  <c r="G71" i="1"/>
  <c r="H71" i="1" s="1"/>
  <c r="L70" i="1"/>
  <c r="J70" i="1"/>
  <c r="K70" i="1" s="1"/>
  <c r="G70" i="1"/>
  <c r="H70" i="1" s="1"/>
  <c r="L69" i="1"/>
  <c r="J69" i="1"/>
  <c r="K69" i="1" s="1"/>
  <c r="P53" i="2" s="1"/>
  <c r="G69" i="1"/>
  <c r="H69" i="1" s="1"/>
  <c r="L68" i="1"/>
  <c r="J68" i="1"/>
  <c r="K68" i="1" s="1"/>
  <c r="G68" i="1"/>
  <c r="H68" i="1" s="1"/>
  <c r="L67" i="1"/>
  <c r="J67" i="1"/>
  <c r="K67" i="1" s="1"/>
  <c r="G67" i="1"/>
  <c r="H67" i="1" s="1"/>
  <c r="L66" i="1"/>
  <c r="J66" i="1"/>
  <c r="K66" i="1" s="1"/>
  <c r="G66" i="1"/>
  <c r="H66" i="1" s="1"/>
  <c r="L65" i="1"/>
  <c r="J65" i="1"/>
  <c r="K65" i="1" s="1"/>
  <c r="P50" i="2" s="1"/>
  <c r="G65" i="1"/>
  <c r="H65" i="1" s="1"/>
  <c r="L64" i="1"/>
  <c r="J64" i="1"/>
  <c r="K64" i="1" s="1"/>
  <c r="G64" i="1"/>
  <c r="H64" i="1" s="1"/>
  <c r="L63" i="1"/>
  <c r="J63" i="1"/>
  <c r="K63" i="1" s="1"/>
  <c r="G63" i="1"/>
  <c r="H63" i="1" s="1"/>
  <c r="L62" i="1"/>
  <c r="J62" i="1"/>
  <c r="K62" i="1" s="1"/>
  <c r="G62" i="1"/>
  <c r="H62" i="1" s="1"/>
  <c r="L61" i="1"/>
  <c r="J61" i="1"/>
  <c r="K61" i="1" s="1"/>
  <c r="G61" i="1"/>
  <c r="H61" i="1" s="1"/>
  <c r="L60" i="1"/>
  <c r="J60" i="1"/>
  <c r="K60" i="1" s="1"/>
  <c r="G60" i="1"/>
  <c r="H60" i="1" s="1"/>
  <c r="L59" i="1"/>
  <c r="J59" i="1"/>
  <c r="K59" i="1" s="1"/>
  <c r="P59" i="2" s="1"/>
  <c r="G59" i="1"/>
  <c r="H59" i="1" s="1"/>
  <c r="L58" i="1"/>
  <c r="J58" i="1"/>
  <c r="K58" i="1" s="1"/>
  <c r="G58" i="1"/>
  <c r="H58" i="1" s="1"/>
  <c r="L57" i="1"/>
  <c r="J57" i="1"/>
  <c r="K57" i="1" s="1"/>
  <c r="G57" i="1"/>
  <c r="H57" i="1" s="1"/>
  <c r="L56" i="1"/>
  <c r="J56" i="1"/>
  <c r="K56" i="1" s="1"/>
  <c r="G56" i="1"/>
  <c r="H56" i="1" s="1"/>
  <c r="L55" i="1"/>
  <c r="J55" i="1"/>
  <c r="K55" i="1" s="1"/>
  <c r="P60" i="2" s="1"/>
  <c r="G55" i="1"/>
  <c r="H55" i="1" s="1"/>
  <c r="L54" i="1"/>
  <c r="J54" i="1"/>
  <c r="K54" i="1" s="1"/>
  <c r="G54" i="1"/>
  <c r="H54" i="1" s="1"/>
  <c r="L53" i="1"/>
  <c r="J53" i="1"/>
  <c r="K53" i="1" s="1"/>
  <c r="G53" i="1"/>
  <c r="H53" i="1" s="1"/>
  <c r="L52" i="1"/>
  <c r="J52" i="1"/>
  <c r="K52" i="1" s="1"/>
  <c r="P57" i="2" s="1"/>
  <c r="G52" i="1"/>
  <c r="H52" i="1" s="1"/>
  <c r="L51" i="1"/>
  <c r="J51" i="1"/>
  <c r="K51" i="1" s="1"/>
  <c r="G51" i="1"/>
  <c r="H51" i="1" s="1"/>
  <c r="L50" i="1"/>
  <c r="J50" i="1"/>
  <c r="K50" i="1" s="1"/>
  <c r="G50" i="1"/>
  <c r="H50" i="1" s="1"/>
  <c r="L49" i="1"/>
  <c r="J49" i="1"/>
  <c r="K49" i="1" s="1"/>
  <c r="G49" i="1"/>
  <c r="H49" i="1" s="1"/>
  <c r="L48" i="1"/>
  <c r="J48" i="1"/>
  <c r="K48" i="1" s="1"/>
  <c r="P56" i="2" s="1"/>
  <c r="G48" i="1"/>
  <c r="H48" i="1" s="1"/>
  <c r="L47" i="1"/>
  <c r="J47" i="1"/>
  <c r="K47" i="1" s="1"/>
  <c r="P52" i="2" s="1"/>
  <c r="G47" i="1"/>
  <c r="H47" i="1" s="1"/>
  <c r="L46" i="1"/>
  <c r="J46" i="1"/>
  <c r="K46" i="1" s="1"/>
  <c r="G46" i="1"/>
  <c r="H46" i="1" s="1"/>
  <c r="L45" i="1"/>
  <c r="J45" i="1"/>
  <c r="K45" i="1" s="1"/>
  <c r="P43" i="2" s="1"/>
  <c r="G45" i="1"/>
  <c r="H45" i="1" s="1"/>
  <c r="L44" i="1"/>
  <c r="J44" i="1"/>
  <c r="K44" i="1" s="1"/>
  <c r="P47" i="2" s="1"/>
  <c r="G44" i="1"/>
  <c r="H44" i="1" s="1"/>
  <c r="L43" i="1"/>
  <c r="J43" i="1"/>
  <c r="K43" i="1" s="1"/>
  <c r="G43" i="1"/>
  <c r="H43" i="1" s="1"/>
  <c r="L42" i="1"/>
  <c r="J42" i="1"/>
  <c r="K42" i="1" s="1"/>
  <c r="P40" i="2" s="1"/>
  <c r="G42" i="1"/>
  <c r="H42" i="1" s="1"/>
  <c r="L41" i="1"/>
  <c r="J41" i="1"/>
  <c r="K41" i="1" s="1"/>
  <c r="G41" i="1"/>
  <c r="H41" i="1" s="1"/>
  <c r="L40" i="1"/>
  <c r="J40" i="1"/>
  <c r="K40" i="1" s="1"/>
  <c r="P22" i="2" s="1"/>
  <c r="G40" i="1"/>
  <c r="H40" i="1" s="1"/>
  <c r="L39" i="1"/>
  <c r="J39" i="1"/>
  <c r="K39" i="1" s="1"/>
  <c r="P39" i="2" s="1"/>
  <c r="G39" i="1"/>
  <c r="H39" i="1" s="1"/>
  <c r="L38" i="1"/>
  <c r="J38" i="1"/>
  <c r="K38" i="1" s="1"/>
  <c r="G38" i="1"/>
  <c r="H38" i="1" s="1"/>
  <c r="L37" i="1"/>
  <c r="J37" i="1"/>
  <c r="K37" i="1" s="1"/>
  <c r="G37" i="1"/>
  <c r="H37" i="1" s="1"/>
  <c r="L36" i="1"/>
  <c r="J36" i="1"/>
  <c r="K36" i="1" s="1"/>
  <c r="P62" i="2" s="1"/>
  <c r="G36" i="1"/>
  <c r="H36" i="1" s="1"/>
  <c r="L35" i="1"/>
  <c r="J35" i="1"/>
  <c r="K35" i="1" s="1"/>
  <c r="G35" i="1"/>
  <c r="H35" i="1" s="1"/>
  <c r="L34" i="1"/>
  <c r="J34" i="1"/>
  <c r="K34" i="1" s="1"/>
  <c r="G34" i="1"/>
  <c r="H34" i="1" s="1"/>
  <c r="L33" i="1"/>
  <c r="J33" i="1"/>
  <c r="K33" i="1" s="1"/>
  <c r="P48" i="2" s="1"/>
  <c r="G33" i="1"/>
  <c r="H33" i="1" s="1"/>
  <c r="L32" i="1"/>
  <c r="J32" i="1"/>
  <c r="K32" i="1" s="1"/>
  <c r="G32" i="1"/>
  <c r="H32" i="1" s="1"/>
  <c r="L31" i="1"/>
  <c r="J31" i="1"/>
  <c r="K31" i="1" s="1"/>
  <c r="G31" i="1"/>
  <c r="H31" i="1" s="1"/>
  <c r="L30" i="1"/>
  <c r="J30" i="1"/>
  <c r="K30" i="1" s="1"/>
  <c r="G30" i="1"/>
  <c r="H30" i="1" s="1"/>
  <c r="L29" i="1"/>
  <c r="J29" i="1"/>
  <c r="K29" i="1" s="1"/>
  <c r="P23" i="2" s="1"/>
  <c r="G29" i="1"/>
  <c r="H29" i="1" s="1"/>
  <c r="L28" i="1"/>
  <c r="J28" i="1"/>
  <c r="K28" i="1" s="1"/>
  <c r="P21" i="2" s="1"/>
  <c r="G28" i="1"/>
  <c r="H28" i="1" s="1"/>
  <c r="L27" i="1"/>
  <c r="J27" i="1"/>
  <c r="K27" i="1" s="1"/>
  <c r="G27" i="1"/>
  <c r="H27" i="1" s="1"/>
  <c r="L26" i="1"/>
  <c r="J26" i="1"/>
  <c r="K26" i="1" s="1"/>
  <c r="P44" i="2" s="1"/>
  <c r="G26" i="1"/>
  <c r="H26" i="1" s="1"/>
  <c r="L25" i="1"/>
  <c r="J25" i="1"/>
  <c r="K25" i="1" s="1"/>
  <c r="G25" i="1"/>
  <c r="H25" i="1" s="1"/>
  <c r="L24" i="1"/>
  <c r="J24" i="1"/>
  <c r="K24" i="1" s="1"/>
  <c r="G24" i="1"/>
  <c r="H24" i="1" s="1"/>
  <c r="L23" i="1"/>
  <c r="J23" i="1"/>
  <c r="K23" i="1" s="1"/>
  <c r="P49" i="2" s="1"/>
  <c r="G23" i="1"/>
  <c r="H23" i="1" s="1"/>
  <c r="L22" i="1"/>
  <c r="J22" i="1"/>
  <c r="K22" i="1" s="1"/>
  <c r="G22" i="1"/>
  <c r="H22" i="1" s="1"/>
  <c r="L21" i="1"/>
  <c r="J21" i="1"/>
  <c r="K21" i="1" s="1"/>
  <c r="G21" i="1"/>
  <c r="H21" i="1" s="1"/>
  <c r="L20" i="1"/>
  <c r="J20" i="1"/>
  <c r="K20" i="1" s="1"/>
  <c r="P58" i="2" s="1"/>
  <c r="G20" i="1"/>
  <c r="H20" i="1" s="1"/>
  <c r="L19" i="1"/>
  <c r="J19" i="1"/>
  <c r="K19" i="1" s="1"/>
  <c r="G19" i="1"/>
  <c r="H19" i="1" s="1"/>
  <c r="L18" i="1"/>
  <c r="J18" i="1"/>
  <c r="K18" i="1" s="1"/>
  <c r="G18" i="1"/>
  <c r="H18" i="1" s="1"/>
  <c r="L17" i="1"/>
  <c r="J17" i="1"/>
  <c r="K17" i="1" s="1"/>
  <c r="P54" i="2" s="1"/>
  <c r="G17" i="1"/>
  <c r="H17" i="1" s="1"/>
  <c r="L16" i="1"/>
  <c r="J16" i="1"/>
  <c r="K16" i="1" s="1"/>
  <c r="P19" i="2" s="1"/>
  <c r="G16" i="1"/>
  <c r="H16" i="1" s="1"/>
  <c r="L15" i="1"/>
  <c r="J15" i="1"/>
  <c r="K15" i="1" s="1"/>
  <c r="P20" i="2" s="1"/>
  <c r="G15" i="1"/>
  <c r="H15" i="1" s="1"/>
  <c r="L14" i="1"/>
  <c r="J14" i="1"/>
  <c r="K14" i="1" s="1"/>
  <c r="P24" i="2" s="1"/>
  <c r="G14" i="1"/>
  <c r="H14" i="1" s="1"/>
  <c r="L13" i="1"/>
  <c r="J13" i="1"/>
  <c r="K13" i="1" s="1"/>
  <c r="P65" i="2" s="1"/>
  <c r="G13" i="1"/>
  <c r="H13" i="1" s="1"/>
  <c r="L12" i="1"/>
  <c r="J12" i="1"/>
  <c r="K12" i="1" s="1"/>
  <c r="G12" i="1"/>
  <c r="H12" i="1" s="1"/>
  <c r="L11" i="1"/>
  <c r="J11" i="1"/>
  <c r="K11" i="1" s="1"/>
  <c r="G11" i="1"/>
  <c r="H11" i="1" s="1"/>
  <c r="L10" i="1"/>
  <c r="J10" i="1"/>
  <c r="K10" i="1" s="1"/>
  <c r="P42" i="2" s="1"/>
  <c r="G10" i="1"/>
  <c r="H10" i="1" s="1"/>
  <c r="L9" i="1"/>
  <c r="J9" i="1"/>
  <c r="K9" i="1" s="1"/>
  <c r="P46" i="2" s="1"/>
  <c r="G9" i="1"/>
  <c r="H9" i="1" s="1"/>
  <c r="L8" i="1"/>
  <c r="J8" i="1"/>
  <c r="K8" i="1" s="1"/>
  <c r="G8" i="1"/>
  <c r="H8" i="1" s="1"/>
  <c r="L7" i="1"/>
  <c r="J7" i="1"/>
  <c r="K7" i="1" s="1"/>
  <c r="P25" i="2" s="1"/>
  <c r="G7" i="1"/>
  <c r="H7" i="1" s="1"/>
  <c r="L6" i="1"/>
  <c r="J6" i="1"/>
  <c r="K6" i="1" s="1"/>
  <c r="P45" i="2" s="1"/>
  <c r="G6" i="1"/>
  <c r="H6" i="1" s="1"/>
  <c r="L5" i="1"/>
  <c r="J5" i="1"/>
  <c r="K5" i="1" s="1"/>
  <c r="P41" i="2" s="1"/>
  <c r="G5" i="1"/>
  <c r="H5" i="1" s="1"/>
  <c r="L4" i="1"/>
  <c r="J4" i="1"/>
  <c r="K4" i="1" s="1"/>
  <c r="P51" i="2" s="1"/>
  <c r="G4" i="1"/>
  <c r="H4" i="1" s="1"/>
  <c r="L3" i="1"/>
  <c r="J3" i="1"/>
  <c r="K3" i="1" s="1"/>
  <c r="P38" i="2" s="1"/>
  <c r="G3" i="1"/>
  <c r="H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Market Cap = Price × Shares; EV = Market Cap − Cash + Debt ($mm). Shares, cash and debt come from each ticker's workbook (Main!C4/C7/C8); price is the daily close in column F.</t>
        </r>
      </text>
    </comment>
    <comment ref="M2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Filled only for tickers with a completed valuation model (currently EVMN). rNPV/share links to the ticker's Main!C11; Upside is vs. the close in column F.</t>
        </r>
      </text>
    </comment>
    <comment ref="F53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No quote returned for QNCX on 2026-10-16; price not updated.</t>
        </r>
      </text>
    </comment>
  </commentList>
</comments>
</file>

<file path=xl/sharedStrings.xml><?xml version="1.0" encoding="utf-8"?>
<sst xmlns="http://schemas.openxmlformats.org/spreadsheetml/2006/main" count="3552" uniqueCount="1475">
  <si>
    <t>Close 2026-10-20</t>
  </si>
  <si>
    <t>Ticker</t>
  </si>
  <si>
    <t>Name</t>
  </si>
  <si>
    <t>Industry</t>
  </si>
  <si>
    <t>Exchange</t>
  </si>
  <si>
    <t>Price</t>
  </si>
  <si>
    <t>Market Cap</t>
  </si>
  <si>
    <t>Enterprise V.</t>
  </si>
  <si>
    <t>NPV / Share</t>
  </si>
  <si>
    <t>Upside</t>
  </si>
  <si>
    <t>Model</t>
  </si>
  <si>
    <t>Event</t>
  </si>
  <si>
    <t>Note(s)</t>
  </si>
  <si>
    <t>LLY</t>
  </si>
  <si>
    <t>Eli Lilly and Company</t>
  </si>
  <si>
    <t>Pharmaceuticals</t>
  </si>
  <si>
    <t>NYSE</t>
  </si>
  <si>
    <t>Earnings Oct 29 (before open)</t>
  </si>
  <si>
    <t>JNJ</t>
  </si>
  <si>
    <t>Johnson &amp; Johnson</t>
  </si>
  <si>
    <t>ABBV</t>
  </si>
  <si>
    <t>AbbVie Inc.</t>
  </si>
  <si>
    <t>Biotechnology</t>
  </si>
  <si>
    <t>Earnings Oct 30 (before open)</t>
  </si>
  <si>
    <t>MRK</t>
  </si>
  <si>
    <t>Merck &amp; Co Inc</t>
  </si>
  <si>
    <t>NVS</t>
  </si>
  <si>
    <t>Novartis AG</t>
  </si>
  <si>
    <t>Earnings Oct 27 (before open)</t>
  </si>
  <si>
    <t>AZN</t>
  </si>
  <si>
    <t>AstraZeneca PLC</t>
  </si>
  <si>
    <t>AMGN</t>
  </si>
  <si>
    <t>Amgen Inc</t>
  </si>
  <si>
    <t>NASDAQ</t>
  </si>
  <si>
    <t>Earnings Nov 3 (after close)</t>
  </si>
  <si>
    <t>GILD</t>
  </si>
  <si>
    <t>Gilead Sciences, Inc.</t>
  </si>
  <si>
    <t>Earnings Oct 29 (after close)</t>
  </si>
  <si>
    <t>NVO</t>
  </si>
  <si>
    <t>Novo Nordisk A/S</t>
  </si>
  <si>
    <t>Earnings Nov 4 (est.)</t>
  </si>
  <si>
    <t>PFE</t>
  </si>
  <si>
    <t>Pfizer Inc.</t>
  </si>
  <si>
    <t>Earnings Nov 3 (before open)</t>
  </si>
  <si>
    <t>VRTX</t>
  </si>
  <si>
    <t>Vertex Pharmaceuticals Incorporated</t>
  </si>
  <si>
    <t>Earnings Nov 2 (after close)</t>
  </si>
  <si>
    <t>BMY</t>
  </si>
  <si>
    <t>Bristol-Myers Squibb Company</t>
  </si>
  <si>
    <t>GSK</t>
  </si>
  <si>
    <t>GSK plc</t>
  </si>
  <si>
    <t>Earnings Oct 28 (before open)</t>
  </si>
  <si>
    <t>SNY</t>
  </si>
  <si>
    <t>Sanofi SA</t>
  </si>
  <si>
    <t>MRNA</t>
  </si>
  <si>
    <t>Moderna, Inc.</t>
  </si>
  <si>
    <t>Earnings Nov 6 (before open)</t>
  </si>
  <si>
    <t>REGN</t>
  </si>
  <si>
    <t>Regeneron Pharmaceuticals, Inc.</t>
  </si>
  <si>
    <t>TAK</t>
  </si>
  <si>
    <t>Takeda Pharmaceutical Company Limited</t>
  </si>
  <si>
    <t>NTRA</t>
  </si>
  <si>
    <t>Natera, Inc.</t>
  </si>
  <si>
    <t>Earnings Nov 5 (est.)</t>
  </si>
  <si>
    <t>ARGX</t>
  </si>
  <si>
    <t>argenx SE</t>
  </si>
  <si>
    <t>Earnings Oct 22 (before open)</t>
  </si>
  <si>
    <t>TEVA</t>
  </si>
  <si>
    <t>Teva Pharmaceutical Industries Limited</t>
  </si>
  <si>
    <t>HLN</t>
  </si>
  <si>
    <t>Haleon PLC</t>
  </si>
  <si>
    <t>ONC</t>
  </si>
  <si>
    <t>BeOne Medicines AG</t>
  </si>
  <si>
    <t>RVMD</t>
  </si>
  <si>
    <t>Revolution Medicines, Inc.</t>
  </si>
  <si>
    <t>RPRX</t>
  </si>
  <si>
    <t>Royalty Pharma PLC</t>
  </si>
  <si>
    <t>Earnings Nov 4 (before open)</t>
  </si>
  <si>
    <t>BIIB</t>
  </si>
  <si>
    <t>Biogen Inc.</t>
  </si>
  <si>
    <t>ZTS</t>
  </si>
  <si>
    <t>Zoetis Inc</t>
  </si>
  <si>
    <t>Earnings Nov 5 (before open)</t>
  </si>
  <si>
    <t>ALNY</t>
  </si>
  <si>
    <t>Alnylam Pharmaceuticals, Inc.</t>
  </si>
  <si>
    <t>ROIV</t>
  </si>
  <si>
    <t>Roivant Sciences Ltd</t>
  </si>
  <si>
    <t>Earnings Nov 9 (est.)</t>
  </si>
  <si>
    <t>GMAB</t>
  </si>
  <si>
    <t>Genmab A/S</t>
  </si>
  <si>
    <t>UTHR</t>
  </si>
  <si>
    <t>United Therapeutics Corporation</t>
  </si>
  <si>
    <t>INCY</t>
  </si>
  <si>
    <t>Incyte Corp</t>
  </si>
  <si>
    <t>BNTX</t>
  </si>
  <si>
    <t>Biontech SE</t>
  </si>
  <si>
    <t>VTRS</t>
  </si>
  <si>
    <t>Viatris Inc.</t>
  </si>
  <si>
    <t>INSM</t>
  </si>
  <si>
    <t>Insmed Incorporated</t>
  </si>
  <si>
    <t>EXEL</t>
  </si>
  <si>
    <t>Exelixis Inc</t>
  </si>
  <si>
    <t>ASND</t>
  </si>
  <si>
    <t>Ascendis Pharma A/S</t>
  </si>
  <si>
    <t>Earnings Nov 11 (est.)</t>
  </si>
  <si>
    <t>HALO</t>
  </si>
  <si>
    <t>Halozyme Therapeutics, Inc.</t>
  </si>
  <si>
    <t>Earnings Nov 2 (est.)</t>
  </si>
  <si>
    <t>NBIX</t>
  </si>
  <si>
    <t>Neurocrine Biosciences, Inc.</t>
  </si>
  <si>
    <t>JAZZ</t>
  </si>
  <si>
    <t>Jazz Pharmaceuticals PLC</t>
  </si>
  <si>
    <t>SMMT</t>
  </si>
  <si>
    <t>Summit Therapeutics Inc.</t>
  </si>
  <si>
    <t>PDUFA Nov 14: ivonescimab in EGFRm NSCLC</t>
  </si>
  <si>
    <t>BBIO</t>
  </si>
  <si>
    <t>BridgeBio Pharma, Inc.</t>
  </si>
  <si>
    <t>PDUFA Nov 27: BBP-418 · Earnings Nov 4 (est.)</t>
  </si>
  <si>
    <t>KNSA</t>
  </si>
  <si>
    <t>Kiniksa Pharmaceuticals International, PLC</t>
  </si>
  <si>
    <t>Earnings Oct 27 (est.)</t>
  </si>
  <si>
    <t>CORT</t>
  </si>
  <si>
    <t>Corcept Therapeutics Incorporated</t>
  </si>
  <si>
    <t>PDUFA Dec 17: relacorilant in hypercortisolism · Earnings Nov 3 (est.)</t>
  </si>
  <si>
    <t>ELAN</t>
  </si>
  <si>
    <t>Elanco Animal Health Incorporated</t>
  </si>
  <si>
    <t>RDY</t>
  </si>
  <si>
    <t>Dr. Reddy's Laboratories Limited</t>
  </si>
  <si>
    <t>Earnings Oct 23 (est.)</t>
  </si>
  <si>
    <t>BMRN</t>
  </si>
  <si>
    <t>BioMarin Pharmaceutical Inc.</t>
  </si>
  <si>
    <t>Earnings Oct 26 (est.)</t>
  </si>
  <si>
    <t>MDGL</t>
  </si>
  <si>
    <t>Madrigal Pharmaceuticals, Inc.</t>
  </si>
  <si>
    <t>Earnings Nov 3 (est.)</t>
  </si>
  <si>
    <t>IBRX</t>
  </si>
  <si>
    <t>ImmunityBio, Inc.</t>
  </si>
  <si>
    <t>PCVX</t>
  </si>
  <si>
    <t>Vaxcyte, Inc.</t>
  </si>
  <si>
    <t>KRYS</t>
  </si>
  <si>
    <t>Krystal Biotech, Inc.</t>
  </si>
  <si>
    <t>KYMR</t>
  </si>
  <si>
    <t>Kymera Therapeutics, Inc.</t>
  </si>
  <si>
    <t>CAI</t>
  </si>
  <si>
    <t>Caris Life Sciences, Inc.</t>
  </si>
  <si>
    <t>Earnings Nov 4 (after close)</t>
  </si>
  <si>
    <t>CYTK</t>
  </si>
  <si>
    <t>Cytokinetics, Incorporated</t>
  </si>
  <si>
    <t>PDUFA Nov 14: MAPLE-HCM label · Earnings Nov 4 (est.)</t>
  </si>
  <si>
    <t>AXSM</t>
  </si>
  <si>
    <t>Axsome Therapeutics, Inc.</t>
  </si>
  <si>
    <t>Earnings Nov 2 (before open)</t>
  </si>
  <si>
    <t>PTGX</t>
  </si>
  <si>
    <t>Protagonist Therapeutics, Inc.</t>
  </si>
  <si>
    <t>TWST</t>
  </si>
  <si>
    <t>Twist Bioscience Corporation</t>
  </si>
  <si>
    <t>Earnings Nov 13 (est.)</t>
  </si>
  <si>
    <t>TGTX</t>
  </si>
  <si>
    <t>TG Therapeutics, Inc.</t>
  </si>
  <si>
    <t>ARWR</t>
  </si>
  <si>
    <t>Arrowhead Pharmaceuticals, Inc.</t>
  </si>
  <si>
    <t>Earnings Nov 24 (est.)</t>
  </si>
  <si>
    <t>IONS</t>
  </si>
  <si>
    <t>Ionis Pharmaceuticals, Inc.</t>
  </si>
  <si>
    <t>PRAX</t>
  </si>
  <si>
    <t>Praxis Precision Medicines, Inc.</t>
  </si>
  <si>
    <t>PDUFA Dec 27: relutrigine · Earnings Nov 4 (est.)</t>
  </si>
  <si>
    <t>SYRE</t>
  </si>
  <si>
    <t>Spyre Therapeutics Inc</t>
  </si>
  <si>
    <t>ABVX</t>
  </si>
  <si>
    <t>Abivax SA</t>
  </si>
  <si>
    <t>ALKS</t>
  </si>
  <si>
    <t>Alkermes Plc</t>
  </si>
  <si>
    <t>IOVA</t>
  </si>
  <si>
    <t>Iovance Biotherapeutics Inc</t>
  </si>
  <si>
    <t>AMRX</t>
  </si>
  <si>
    <t>Amneal Pharmaceuticals, Inc</t>
  </si>
  <si>
    <t>RYTM</t>
  </si>
  <si>
    <t>Rhythm Pharmaceuticals, Inc.</t>
  </si>
  <si>
    <t>LGND</t>
  </si>
  <si>
    <t>Ligand Pharmaceuticals Incorporated</t>
  </si>
  <si>
    <t>BLTE</t>
  </si>
  <si>
    <t>Belite Bio, Inc</t>
  </si>
  <si>
    <t>COGT</t>
  </si>
  <si>
    <t>Cogent Biosciences, Inc.</t>
  </si>
  <si>
    <t>PDUFA Nov 30: bezuclastinib in GIST · Earnings Nov 6 (est.)</t>
  </si>
  <si>
    <t>IMVT</t>
  </si>
  <si>
    <t>Immunovant, Inc.</t>
  </si>
  <si>
    <t>KOD</t>
  </si>
  <si>
    <t>Kodiak Sciences Inc.</t>
  </si>
  <si>
    <t>Earnings Nov 12 (est.)</t>
  </si>
  <si>
    <t>CGON</t>
  </si>
  <si>
    <t>CG Oncology, Inc.</t>
  </si>
  <si>
    <t>GRAL</t>
  </si>
  <si>
    <t>Grail Inc</t>
  </si>
  <si>
    <t>BLRX</t>
  </si>
  <si>
    <t>BioLine RX Ltd</t>
  </si>
  <si>
    <t>Earnings Nov 23 (est.)</t>
  </si>
  <si>
    <t>MIRM</t>
  </si>
  <si>
    <t>Mirum Pharmaceuticals, Inc.</t>
  </si>
  <si>
    <t>PTCT</t>
  </si>
  <si>
    <t>PTC Therapeutics, Inc.</t>
  </si>
  <si>
    <t>SRRK</t>
  </si>
  <si>
    <t>Scholar Rock Holding Corporation</t>
  </si>
  <si>
    <t>ORKA</t>
  </si>
  <si>
    <t>Oruka Therapeutics Inc</t>
  </si>
  <si>
    <t>CRSP</t>
  </si>
  <si>
    <t>CRISPR Therapeutics AG</t>
  </si>
  <si>
    <t>RGC</t>
  </si>
  <si>
    <t>Regencell Bioscience Holdings Ltd</t>
  </si>
  <si>
    <t>ERAS</t>
  </si>
  <si>
    <t>Erasca, Inc.</t>
  </si>
  <si>
    <t>TVTX</t>
  </si>
  <si>
    <t>Travere Therapeutics, Inc.</t>
  </si>
  <si>
    <t>Earnings Oct 29 (est.)</t>
  </si>
  <si>
    <t>MANE</t>
  </si>
  <si>
    <t>Veradermics, Incorporated</t>
  </si>
  <si>
    <t>Earnings Nov 10 (est.)</t>
  </si>
  <si>
    <t>DFTX</t>
  </si>
  <si>
    <t>Definium Therapeutics Inc</t>
  </si>
  <si>
    <t>GOSS</t>
  </si>
  <si>
    <t>Gossamer Bio, Inc.</t>
  </si>
  <si>
    <t>EWTX</t>
  </si>
  <si>
    <t>Edgewise Therapeutics, Inc.</t>
  </si>
  <si>
    <t>DNTH</t>
  </si>
  <si>
    <t>Dianthus Therapeutics Inc</t>
  </si>
  <si>
    <t>INDV</t>
  </si>
  <si>
    <t>Indivior Pharmaceuticals Inc</t>
  </si>
  <si>
    <t>TNGX</t>
  </si>
  <si>
    <t>Tango Therapeutics, Inc.</t>
  </si>
  <si>
    <t>ARQT</t>
  </si>
  <si>
    <t>Arcutis Biotherapeutics, Inc.</t>
  </si>
  <si>
    <t>TLX</t>
  </si>
  <si>
    <t>Telix Pharmaceuticals Limited</t>
  </si>
  <si>
    <t>OGN</t>
  </si>
  <si>
    <t>Organon &amp; Co.</t>
  </si>
  <si>
    <t>RLAY</t>
  </si>
  <si>
    <t>Relay Therapeutics, Inc.</t>
  </si>
  <si>
    <t>VCYT</t>
  </si>
  <si>
    <t>Veracyte, Inc.</t>
  </si>
  <si>
    <t>LEGN</t>
  </si>
  <si>
    <t>Legend Biotech Corporation</t>
  </si>
  <si>
    <t>CDNA</t>
  </si>
  <si>
    <t>CareDx, Inc.</t>
  </si>
  <si>
    <t>ACAD</t>
  </si>
  <si>
    <t>Acadia Pharmaceuticals Inc.</t>
  </si>
  <si>
    <t>XENE</t>
  </si>
  <si>
    <t>Xenon Pharmaceuticals Inc.</t>
  </si>
  <si>
    <t>IDYA</t>
  </si>
  <si>
    <t>IDEAYA Biosciences, Inc.</t>
  </si>
  <si>
    <t>LQDA</t>
  </si>
  <si>
    <t>Liquidia Corporation</t>
  </si>
  <si>
    <t>TARS</t>
  </si>
  <si>
    <t>Tarsus Pharmaceuticals, Inc.</t>
  </si>
  <si>
    <t>VKTX</t>
  </si>
  <si>
    <t>Viking Therapeutics, Inc.</t>
  </si>
  <si>
    <t>Earnings Oct 28 (est.)</t>
  </si>
  <si>
    <t>AMLX</t>
  </si>
  <si>
    <t>Amylyx Pharmaceuticals, Inc.</t>
  </si>
  <si>
    <t>RCUS</t>
  </si>
  <si>
    <t>Arcus Biosciences, Inc.</t>
  </si>
  <si>
    <t>DNLI</t>
  </si>
  <si>
    <t>Denali Therapeutics Inc.</t>
  </si>
  <si>
    <t>PBLS</t>
  </si>
  <si>
    <t>Parabilis Medicines Inc</t>
  </si>
  <si>
    <t>CELC</t>
  </si>
  <si>
    <t>Celcuity Inc.</t>
  </si>
  <si>
    <t>ELVN</t>
  </si>
  <si>
    <t>Enliven Therapeutics, Inc.</t>
  </si>
  <si>
    <t>DYN</t>
  </si>
  <si>
    <t>Dyne Therapeutics, Inc.</t>
  </si>
  <si>
    <t>ZLAB</t>
  </si>
  <si>
    <t>Zai Lab Ltd</t>
  </si>
  <si>
    <t>NRIX</t>
  </si>
  <si>
    <t>Nurix Therapeutics, Inc.</t>
  </si>
  <si>
    <t>HCM</t>
  </si>
  <si>
    <t>HUTCHMED (China) Ltd</t>
  </si>
  <si>
    <t>BEAM</t>
  </si>
  <si>
    <t>Beam Therapeutics Inc.</t>
  </si>
  <si>
    <t>ADMA</t>
  </si>
  <si>
    <t>ADMA Biologics, Inc.</t>
  </si>
  <si>
    <t>MBX</t>
  </si>
  <si>
    <t>MBX Biosciences, Inc.</t>
  </si>
  <si>
    <t>NAMS</t>
  </si>
  <si>
    <t>NewAmsterdam Pharma Company N.V.</t>
  </si>
  <si>
    <t>PBH</t>
  </si>
  <si>
    <t>Prestige Consumer Healthcare Inc.</t>
  </si>
  <si>
    <t>BHC</t>
  </si>
  <si>
    <t>Bausch Health Companies Inc.</t>
  </si>
  <si>
    <t>Earnings Oct 28 (after close)</t>
  </si>
  <si>
    <t>PRGO</t>
  </si>
  <si>
    <t>Perrigo Company PLC</t>
  </si>
  <si>
    <t>PGEN</t>
  </si>
  <si>
    <t>Precigen, Inc.</t>
  </si>
  <si>
    <t>HRMY</t>
  </si>
  <si>
    <t>Harmony Biosciences Holdings, Inc.</t>
  </si>
  <si>
    <t>SUPN</t>
  </si>
  <si>
    <t>Supernus Pharmaceuticals, Inc.</t>
  </si>
  <si>
    <t>AUPH</t>
  </si>
  <si>
    <t>Aurinia Pharmaceuticals Inc.</t>
  </si>
  <si>
    <t>IRON</t>
  </si>
  <si>
    <t>Disc Medicine, Inc.</t>
  </si>
  <si>
    <t>CLDX</t>
  </si>
  <si>
    <t>Celldex Therapeutics, Inc.</t>
  </si>
  <si>
    <t>VRDN</t>
  </si>
  <si>
    <t>Viridian Therapeutics, Inc.</t>
  </si>
  <si>
    <t>VCEL</t>
  </si>
  <si>
    <t>Vericel Corporation</t>
  </si>
  <si>
    <t>SLS</t>
  </si>
  <si>
    <t>Sellas Life Sciences Group Inc</t>
  </si>
  <si>
    <t>VERA</t>
  </si>
  <si>
    <t>Vera Therapeutics, Inc.</t>
  </si>
  <si>
    <t>BCRX</t>
  </si>
  <si>
    <t>BioCryst Pharmaceuticals, Inc.</t>
  </si>
  <si>
    <t>LKFT</t>
  </si>
  <si>
    <t>Lakefront Biotherapeutics NV</t>
  </si>
  <si>
    <t>TRLV</t>
  </si>
  <si>
    <t>Trulieve Cannabis Corp ( Delaware )</t>
  </si>
  <si>
    <t>XERS</t>
  </si>
  <si>
    <t>Xeris Biopharma Holdings, Inc.</t>
  </si>
  <si>
    <t>IMNM</t>
  </si>
  <si>
    <t>Immunome, Inc.</t>
  </si>
  <si>
    <t>AGIO</t>
  </si>
  <si>
    <t>Agios Pharmaceuticals, Inc.</t>
  </si>
  <si>
    <t>PDUFA Nov 1: mitapivat in sickle cell disease · Earnings Nov 5 (before open)</t>
  </si>
  <si>
    <t>BGM</t>
  </si>
  <si>
    <t>BGM Group Ltd</t>
  </si>
  <si>
    <t>NVAX</t>
  </si>
  <si>
    <t>Novavax, Inc.</t>
  </si>
  <si>
    <t>RXRX</t>
  </si>
  <si>
    <t>Recursion Pharmaceuticals, Inc.</t>
  </si>
  <si>
    <t>PHVS</t>
  </si>
  <si>
    <t>Pharvaris N.V.</t>
  </si>
  <si>
    <t>SRPT</t>
  </si>
  <si>
    <t>Sarepta Therapeutics, Inc.</t>
  </si>
  <si>
    <t>MLYS</t>
  </si>
  <si>
    <t>Mineralys Therapeutics, Inc.</t>
  </si>
  <si>
    <t>PDUFA Dec 22: lorundrostat · Earnings Nov 9 (est.)</t>
  </si>
  <si>
    <t>PURR</t>
  </si>
  <si>
    <t>Hyperliquid Strategies Inc</t>
  </si>
  <si>
    <t>ZYME</t>
  </si>
  <si>
    <t>Zymeworks Inc.</t>
  </si>
  <si>
    <t>SEPN</t>
  </si>
  <si>
    <t>Septerna, Inc.</t>
  </si>
  <si>
    <t>PVLA</t>
  </si>
  <si>
    <t>Palvella Therapeutics Inc</t>
  </si>
  <si>
    <t>MESO</t>
  </si>
  <si>
    <t>Mesoblast Limited</t>
  </si>
  <si>
    <t>XNCR</t>
  </si>
  <si>
    <t>Xencor, Inc.</t>
  </si>
  <si>
    <t>TRVI</t>
  </si>
  <si>
    <t>Trevi Therapeutics, Inc.</t>
  </si>
  <si>
    <t>URGN</t>
  </si>
  <si>
    <t>UroGen Pharma Ltd.</t>
  </si>
  <si>
    <t>VIR</t>
  </si>
  <si>
    <t>Vir Biotechnology, Inc.</t>
  </si>
  <si>
    <t>BRVE</t>
  </si>
  <si>
    <t>Braveheart Bio, Inc.</t>
  </si>
  <si>
    <t>Earnings Dec 8 (est.)</t>
  </si>
  <si>
    <t>ANIP</t>
  </si>
  <si>
    <t>ANI Pharmaceuticals, Inc.</t>
  </si>
  <si>
    <t>Earnings Nov 6 (est.)</t>
  </si>
  <si>
    <t>BHVN</t>
  </si>
  <si>
    <t>Biohaven Ltd.</t>
  </si>
  <si>
    <t>ZBIO</t>
  </si>
  <si>
    <t>Zenas BioPharma, Inc.</t>
  </si>
  <si>
    <t>NTLA</t>
  </si>
  <si>
    <t>INTELLIA THERAPEUTICS, INC.</t>
  </si>
  <si>
    <t>PAHC</t>
  </si>
  <si>
    <t>Phibro Animal Health Corp</t>
  </si>
  <si>
    <t>ALVO</t>
  </si>
  <si>
    <t>Alvotech SA</t>
  </si>
  <si>
    <t>STOK</t>
  </si>
  <si>
    <t>Stoke Therapeutics, Inc.</t>
  </si>
  <si>
    <t>NUVB</t>
  </si>
  <si>
    <t>Nuvation Bio Inc.</t>
  </si>
  <si>
    <t>GENB</t>
  </si>
  <si>
    <t>Generate Biomedicines Inc</t>
  </si>
  <si>
    <t>MAZE</t>
  </si>
  <si>
    <t>Maze Therapeutics, Inc.</t>
  </si>
  <si>
    <t>IMCR</t>
  </si>
  <si>
    <t>Immunocore Holdings PLC</t>
  </si>
  <si>
    <t>OCUL</t>
  </si>
  <si>
    <t>Ocular Therapeutix, Inc.</t>
  </si>
  <si>
    <t>GPCR</t>
  </si>
  <si>
    <t>Structure Therapeutics Inc.</t>
  </si>
  <si>
    <t>INVA</t>
  </si>
  <si>
    <t>Innoviva, Inc.</t>
  </si>
  <si>
    <t>CMPS</t>
  </si>
  <si>
    <t>Compass Pathways PLC</t>
  </si>
  <si>
    <t>KLRA</t>
  </si>
  <si>
    <t>Kailera Therapeutics Inc</t>
  </si>
  <si>
    <t>PCRX</t>
  </si>
  <si>
    <t>Pacira BioSciences, Inc.</t>
  </si>
  <si>
    <t>ETON</t>
  </si>
  <si>
    <t>Eton Pharmaceuticals Inc</t>
  </si>
  <si>
    <t>RARE</t>
  </si>
  <si>
    <t>Ultragenyx Pharmaceutical Inc.</t>
  </si>
  <si>
    <t>ABSI</t>
  </si>
  <si>
    <t>Absci Corp</t>
  </si>
  <si>
    <t>Earnings Nov 12 (before open)</t>
  </si>
  <si>
    <t>COAG</t>
  </si>
  <si>
    <t>Hemab Therapeutics Holdings Inc</t>
  </si>
  <si>
    <t>ANAB</t>
  </si>
  <si>
    <t>AnaptysBio, Inc.</t>
  </si>
  <si>
    <t>PDUFA Dec 12: Quimilza (Vanda; ANAB royalty) · Earnings Nov 3 (est.)</t>
  </si>
  <si>
    <t>QURE</t>
  </si>
  <si>
    <t>uniQure N.V.</t>
  </si>
  <si>
    <t>RAPP</t>
  </si>
  <si>
    <t>Rapport Therapeutics, Inc.</t>
  </si>
  <si>
    <t>INBX</t>
  </si>
  <si>
    <t>Inhibrx Biosciences Inc</t>
  </si>
  <si>
    <t>ORIC</t>
  </si>
  <si>
    <t>ORIC Pharmaceuticals, Inc.</t>
  </si>
  <si>
    <t>TRAX</t>
  </si>
  <si>
    <t>First Tracks Biotherapeutics Inc</t>
  </si>
  <si>
    <t>NKTR</t>
  </si>
  <si>
    <t>Nektar Therapeutics</t>
  </si>
  <si>
    <t>KARD</t>
  </si>
  <si>
    <t>Kardigan Inc</t>
  </si>
  <si>
    <t>LBRX</t>
  </si>
  <si>
    <t>LB Pharmaceuticals Inc</t>
  </si>
  <si>
    <t>CRON</t>
  </si>
  <si>
    <t>Cronos Group Inc.</t>
  </si>
  <si>
    <t>TSHA</t>
  </si>
  <si>
    <t>Taysha Gene Therapies, Inc.</t>
  </si>
  <si>
    <t>OMER</t>
  </si>
  <si>
    <t>Omeros Corporation</t>
  </si>
  <si>
    <t>BCAX</t>
  </si>
  <si>
    <t>Bicara Therapeutics Inc</t>
  </si>
  <si>
    <t>SNDX</t>
  </si>
  <si>
    <t>Syndax Pharmaceuticals, Inc.</t>
  </si>
  <si>
    <t>VOR</t>
  </si>
  <si>
    <t>Vor Biopharma Inc.</t>
  </si>
  <si>
    <t>DMRA</t>
  </si>
  <si>
    <t>Damora Therapeutics Inc</t>
  </si>
  <si>
    <t>SVRA</t>
  </si>
  <si>
    <t>Savara Inc.</t>
  </si>
  <si>
    <t>PDUFA Nov 22: MOLBREEVI · Earnings Nov 11 (est.)</t>
  </si>
  <si>
    <t>GHRS</t>
  </si>
  <si>
    <t>GH Research PLC</t>
  </si>
  <si>
    <t>TYRA</t>
  </si>
  <si>
    <t>Tyra Biosciences, Inc.</t>
  </si>
  <si>
    <t>AMPH</t>
  </si>
  <si>
    <t>Amphastar Pharmaceuticals, Inc.</t>
  </si>
  <si>
    <t>AVLN</t>
  </si>
  <si>
    <t>Avalyn Pharma Inc</t>
  </si>
  <si>
    <t>NBTX</t>
  </si>
  <si>
    <t>Nanobiotix SA</t>
  </si>
  <si>
    <t>REPL</t>
  </si>
  <si>
    <t>Replimune Group, Inc.</t>
  </si>
  <si>
    <t>HROW</t>
  </si>
  <si>
    <t>Harrow, Inc.</t>
  </si>
  <si>
    <t>JANX</t>
  </si>
  <si>
    <t>Janux Therapeutics, Inc.</t>
  </si>
  <si>
    <t>MNKD</t>
  </si>
  <si>
    <t>MannKind Corporation</t>
  </si>
  <si>
    <t>SPTX</t>
  </si>
  <si>
    <t>Seaport Therapeutics Inc</t>
  </si>
  <si>
    <t>GRML</t>
  </si>
  <si>
    <t>Greenland Mines Ltd</t>
  </si>
  <si>
    <t>LTGO</t>
  </si>
  <si>
    <t>Latigo Biotherapeutics, Inc.</t>
  </si>
  <si>
    <t>Earnings Dec 3 (est.)</t>
  </si>
  <si>
    <t>IMTX</t>
  </si>
  <si>
    <t>Immatics N.V.</t>
  </si>
  <si>
    <t>Earnings Nov 16 (est.)</t>
  </si>
  <si>
    <t>MGTX</t>
  </si>
  <si>
    <t>MeiraGTx Holdings PLC</t>
  </si>
  <si>
    <t>RIGL</t>
  </si>
  <si>
    <t>Rigel Pharmaceuticals, Inc.</t>
  </si>
  <si>
    <t>ANRO</t>
  </si>
  <si>
    <t>Alto Neuroscience Inc</t>
  </si>
  <si>
    <t>JBIO</t>
  </si>
  <si>
    <t>Jade Biosciences, Inc.</t>
  </si>
  <si>
    <t>ODTX</t>
  </si>
  <si>
    <t>Odyssey Therapeutics Inc</t>
  </si>
  <si>
    <t>ABUS</t>
  </si>
  <si>
    <t>Arbutus Biopharma Corp</t>
  </si>
  <si>
    <t>CGEM</t>
  </si>
  <si>
    <t>Cullinan Therapeutics, Inc.</t>
  </si>
  <si>
    <t>GLUE</t>
  </si>
  <si>
    <t>Monte Rosa Therapeutics, Inc.</t>
  </si>
  <si>
    <t>SGP</t>
  </si>
  <si>
    <t>SpyGlass Pharma, Inc.</t>
  </si>
  <si>
    <t>AVBP</t>
  </si>
  <si>
    <t>ArriVent BioPharma, Inc.</t>
  </si>
  <si>
    <t>ARDX</t>
  </si>
  <si>
    <t>Ardelyx, Inc.</t>
  </si>
  <si>
    <t>MLTX</t>
  </si>
  <si>
    <t>MoonLake Immunotherapeutics</t>
  </si>
  <si>
    <t>KURA</t>
  </si>
  <si>
    <t>Kura Oncology, Inc.</t>
  </si>
  <si>
    <t>AKTS</t>
  </si>
  <si>
    <t>Aktis Oncology Inc</t>
  </si>
  <si>
    <t>CRVS</t>
  </si>
  <si>
    <t>Corvus Pharmaceuticals, Inc.</t>
  </si>
  <si>
    <t>ALMS</t>
  </si>
  <si>
    <t>Alumis Inc.</t>
  </si>
  <si>
    <t>VSTM</t>
  </si>
  <si>
    <t>Verastem Inc</t>
  </si>
  <si>
    <t>APMD</t>
  </si>
  <si>
    <t>Apnimed Inc</t>
  </si>
  <si>
    <t>COLL</t>
  </si>
  <si>
    <t>Collegium Pharmaceutical, Inc.</t>
  </si>
  <si>
    <t>OBX</t>
  </si>
  <si>
    <t>Obsidian Therapeutics, Inc</t>
  </si>
  <si>
    <t>GERN</t>
  </si>
  <si>
    <t>Geron Corporation</t>
  </si>
  <si>
    <t>SANA</t>
  </si>
  <si>
    <t>Sana Biotechnology, Inc.</t>
  </si>
  <si>
    <t>FDMT</t>
  </si>
  <si>
    <t>4D Molecular Therapeutics Inc</t>
  </si>
  <si>
    <t>ANNX</t>
  </si>
  <si>
    <t>Annexon, Inc.</t>
  </si>
  <si>
    <t>GYRE</t>
  </si>
  <si>
    <t>Gyre Therapeutics, Inc.</t>
  </si>
  <si>
    <t>LXRX</t>
  </si>
  <si>
    <t>Lexicon Pharmaceuticals, Inc.</t>
  </si>
  <si>
    <t>ATTO</t>
  </si>
  <si>
    <t>Attovia Therapeutics Inc</t>
  </si>
  <si>
    <t>Earnings Dec 2 (est.)</t>
  </si>
  <si>
    <t>PHAR</t>
  </si>
  <si>
    <t>Pharming Group N.V.</t>
  </si>
  <si>
    <t>ACHV</t>
  </si>
  <si>
    <t>Achieve Life Sciences, Inc.</t>
  </si>
  <si>
    <t>MDXG</t>
  </si>
  <si>
    <t>MiMedx Group, Inc.</t>
  </si>
  <si>
    <t>DSGN</t>
  </si>
  <si>
    <t>Design Therapeutics, Inc.</t>
  </si>
  <si>
    <t>AVTX</t>
  </si>
  <si>
    <t>Avalo Therapeutics, Inc.</t>
  </si>
  <si>
    <t>AURA</t>
  </si>
  <si>
    <t>Aura Biosciences, Inc.</t>
  </si>
  <si>
    <t>PRME</t>
  </si>
  <si>
    <t>Prime Medicine, Inc.</t>
  </si>
  <si>
    <t>CADL</t>
  </si>
  <si>
    <t>Candel Therapeutics Inc</t>
  </si>
  <si>
    <t>CLYM</t>
  </si>
  <si>
    <t>Climb Bio Inc</t>
  </si>
  <si>
    <t>IRWD</t>
  </si>
  <si>
    <t>Ironwood Pharmaceuticals, Inc.</t>
  </si>
  <si>
    <t>IMMX</t>
  </si>
  <si>
    <t>Immix Biopharma, Inc.</t>
  </si>
  <si>
    <t>NVCT</t>
  </si>
  <si>
    <t>Nuvectis Pharma Inc</t>
  </si>
  <si>
    <t>WVE</t>
  </si>
  <si>
    <t>Wave Life Sciences Ltd.</t>
  </si>
  <si>
    <t>ZVRA</t>
  </si>
  <si>
    <t>Zevra Therapeutics Inc</t>
  </si>
  <si>
    <t>SLDB</t>
  </si>
  <si>
    <t>Solid Biosciences Inc</t>
  </si>
  <si>
    <t>OLMA</t>
  </si>
  <si>
    <t>Olema Pharmaceuticals, Inc.</t>
  </si>
  <si>
    <t>IVA</t>
  </si>
  <si>
    <t>Inventiva SA</t>
  </si>
  <si>
    <t>CRMD</t>
  </si>
  <si>
    <t>CorMedix Inc.</t>
  </si>
  <si>
    <t>PHAT</t>
  </si>
  <si>
    <t>Phathom Pharmaceuticals, Inc.</t>
  </si>
  <si>
    <t>STTK</t>
  </si>
  <si>
    <t>Shattuck Labs Inc</t>
  </si>
  <si>
    <t>DBVT</t>
  </si>
  <si>
    <t>Dbv Technologies SA</t>
  </si>
  <si>
    <t>VALN</t>
  </si>
  <si>
    <t>Valneva SE</t>
  </si>
  <si>
    <t>Earnings Nov 19 (est.)</t>
  </si>
  <si>
    <t>AQST</t>
  </si>
  <si>
    <t>Aquestive Therapeutics, Inc.</t>
  </si>
  <si>
    <t>SGMT</t>
  </si>
  <si>
    <t>Sagimet Biosciences Inc.</t>
  </si>
  <si>
    <t>PBYI</t>
  </si>
  <si>
    <t>Puma Biotechnology Inc</t>
  </si>
  <si>
    <t>CTMX</t>
  </si>
  <si>
    <t>CytomX Therapeutics, Inc.</t>
  </si>
  <si>
    <t>FTH</t>
  </si>
  <si>
    <t>Faeth Therapeutics, Inc</t>
  </si>
  <si>
    <t>ACRS</t>
  </si>
  <si>
    <t>Aclaris Therapeutics, Inc.</t>
  </si>
  <si>
    <t>BLSM</t>
  </si>
  <si>
    <t>BlossomHill Therapeutics Inc</t>
  </si>
  <si>
    <t>EOLS</t>
  </si>
  <si>
    <t>Evolus Inc</t>
  </si>
  <si>
    <t>IMMP</t>
  </si>
  <si>
    <t>Immutep Ltd</t>
  </si>
  <si>
    <t>NGNE</t>
  </si>
  <si>
    <t>Neurogene Inc.</t>
  </si>
  <si>
    <t>MNPR</t>
  </si>
  <si>
    <t>Monopar Therapeutics Inc.</t>
  </si>
  <si>
    <t>ENTX</t>
  </si>
  <si>
    <t>Entera Bio Ltd</t>
  </si>
  <si>
    <t>RGNX</t>
  </si>
  <si>
    <t>REGENXBIO Inc.</t>
  </si>
  <si>
    <t>ARVN</t>
  </si>
  <si>
    <t>Arvinas, Inc.</t>
  </si>
  <si>
    <t>ALLO</t>
  </si>
  <si>
    <t>Allogene Therapeutics, Inc.</t>
  </si>
  <si>
    <t>NNNN</t>
  </si>
  <si>
    <t>Anbio Biotechnology</t>
  </si>
  <si>
    <t>TLRY</t>
  </si>
  <si>
    <t>Tilray Brands Inc</t>
  </si>
  <si>
    <t>KMDA</t>
  </si>
  <si>
    <t>Kamada Ltd.</t>
  </si>
  <si>
    <t>SLN</t>
  </si>
  <si>
    <t>Silence Therapeutics PLC</t>
  </si>
  <si>
    <t>CBIO</t>
  </si>
  <si>
    <t>Crescent Biopharma, Inc.</t>
  </si>
  <si>
    <t>OCS</t>
  </si>
  <si>
    <t>Oculis Holding AG</t>
  </si>
  <si>
    <t>PRTA</t>
  </si>
  <si>
    <t>Prothena Corporation PLC</t>
  </si>
  <si>
    <t>ALT</t>
  </si>
  <si>
    <t>Altimmune Inc</t>
  </si>
  <si>
    <t>AUTL</t>
  </si>
  <si>
    <t>Autolus Therapeutics PLC</t>
  </si>
  <si>
    <t>OVID</t>
  </si>
  <si>
    <t>Ovid Therapeutics Inc.</t>
  </si>
  <si>
    <t>YDES</t>
  </si>
  <si>
    <t>YD Bio Ltd</t>
  </si>
  <si>
    <t>ASMB</t>
  </si>
  <si>
    <t>Assembly Biosciences Inc</t>
  </si>
  <si>
    <t>EIKN</t>
  </si>
  <si>
    <t>Eikon Therapeutics, Inc.</t>
  </si>
  <si>
    <t>DMAC</t>
  </si>
  <si>
    <t>DiaMedica Therapeutics Inc</t>
  </si>
  <si>
    <t>SPRY</t>
  </si>
  <si>
    <t>ARS Pharmaceuticals, Inc.</t>
  </si>
  <si>
    <t>TECX</t>
  </si>
  <si>
    <t>Tectonic Therapeutic, Inc.</t>
  </si>
  <si>
    <t>RCEL</t>
  </si>
  <si>
    <t>AVITA Medical Inc</t>
  </si>
  <si>
    <t>PROK</t>
  </si>
  <si>
    <t>Prokidney Corp</t>
  </si>
  <si>
    <t>SCTX</t>
  </si>
  <si>
    <t>Scribe Therapeutics Inc</t>
  </si>
  <si>
    <t>CAPR</t>
  </si>
  <si>
    <t>Capricor Therapeutics, Inc.</t>
  </si>
  <si>
    <t>PDUFA Nov 22: deramiocel · Earnings Nov 9 (est.)</t>
  </si>
  <si>
    <t>MYGN</t>
  </si>
  <si>
    <t>Myriad Genetics, Inc.</t>
  </si>
  <si>
    <t>EDIT</t>
  </si>
  <si>
    <t>Editas Medicine, Inc.</t>
  </si>
  <si>
    <t>ZURA</t>
  </si>
  <si>
    <t>Zura Bio Ltd</t>
  </si>
  <si>
    <t>KYTX</t>
  </si>
  <si>
    <t>Kyverna Therapeutics, Inc.</t>
  </si>
  <si>
    <t>GALT</t>
  </si>
  <si>
    <t>Galectin Therapeutics Inc</t>
  </si>
  <si>
    <t>MPLT</t>
  </si>
  <si>
    <t>MapLight Therapeutics, Inc.</t>
  </si>
  <si>
    <t>AVIR</t>
  </si>
  <si>
    <t>Atea Pharmaceuticals, Inc.</t>
  </si>
  <si>
    <t>INDP</t>
  </si>
  <si>
    <t>Indaptus Therapeutics Inc</t>
  </si>
  <si>
    <t>FENC</t>
  </si>
  <si>
    <t>Fennec Pharmaceuticals Inc.</t>
  </si>
  <si>
    <t>RZLT</t>
  </si>
  <si>
    <t>Rezolute, Inc.</t>
  </si>
  <si>
    <t>TTRX</t>
  </si>
  <si>
    <t>Turn Therapeutics Inc</t>
  </si>
  <si>
    <t>EPRX</t>
  </si>
  <si>
    <t>Eupraxia Pharmaceuticals Inc</t>
  </si>
  <si>
    <t>RLMD</t>
  </si>
  <si>
    <t>Relmada Therapeutics Inc</t>
  </si>
  <si>
    <t>CCCC</t>
  </si>
  <si>
    <t>C4 Therapeutics, Inc.</t>
  </si>
  <si>
    <t>SNDL</t>
  </si>
  <si>
    <t>SNDL Inc</t>
  </si>
  <si>
    <t>EBS</t>
  </si>
  <si>
    <t>Emergent BioSolutions Inc.</t>
  </si>
  <si>
    <t>ENTA</t>
  </si>
  <si>
    <t>Enanta Pharmaceuticals Inc</t>
  </si>
  <si>
    <t>IRD</t>
  </si>
  <si>
    <t>Opus Genetics Inc</t>
  </si>
  <si>
    <t>GTBP</t>
  </si>
  <si>
    <t>GT Biopharma Inc</t>
  </si>
  <si>
    <t>CGC</t>
  </si>
  <si>
    <t>Canopy Growth Corporation</t>
  </si>
  <si>
    <t>ARTV</t>
  </si>
  <si>
    <t>Artiva Biotherapeutics Inc</t>
  </si>
  <si>
    <t>BNTC</t>
  </si>
  <si>
    <t>Benitec Biopharma Inc</t>
  </si>
  <si>
    <t>ARCT</t>
  </si>
  <si>
    <t>Arcturus Therapeutics Holdings Inc</t>
  </si>
  <si>
    <t>IBO</t>
  </si>
  <si>
    <t>Impact Biomedical Inc</t>
  </si>
  <si>
    <t>FULC</t>
  </si>
  <si>
    <t>Fulcrum Therapeutics, Inc.</t>
  </si>
  <si>
    <t>CYPH</t>
  </si>
  <si>
    <t>Cypherpunk Technologies Inc</t>
  </si>
  <si>
    <t>SRZN</t>
  </si>
  <si>
    <t>Surrozen, Inc.</t>
  </si>
  <si>
    <t>AGEN</t>
  </si>
  <si>
    <t>Agenus Inc</t>
  </si>
  <si>
    <t>PALI</t>
  </si>
  <si>
    <t>Palisade Bio Inc</t>
  </si>
  <si>
    <t>ANIK</t>
  </si>
  <si>
    <t>Anika Therapeutics Inc</t>
  </si>
  <si>
    <t>CATX</t>
  </si>
  <si>
    <t>Perspective Therapeutics, Inc.</t>
  </si>
  <si>
    <t>OCGN</t>
  </si>
  <si>
    <t>Ocugen, Inc.</t>
  </si>
  <si>
    <t>XFOR</t>
  </si>
  <si>
    <t>X4 Pharmaceuticals, Inc.</t>
  </si>
  <si>
    <t>PRLD</t>
  </si>
  <si>
    <t>Prelude Therapeutics Incorporated</t>
  </si>
  <si>
    <t>RCKT</t>
  </si>
  <si>
    <t>Rocket Pharmaceuticals, Inc.</t>
  </si>
  <si>
    <t>EYPT</t>
  </si>
  <si>
    <t>EyePoint Inc</t>
  </si>
  <si>
    <t>ABEO</t>
  </si>
  <si>
    <t>Abeona Therapeutics Inc</t>
  </si>
  <si>
    <t>LCTX</t>
  </si>
  <si>
    <t>Lineage Cell Therapeutics Inc</t>
  </si>
  <si>
    <t>IPSC</t>
  </si>
  <si>
    <t>Century Therapeutics, Inc.</t>
  </si>
  <si>
    <t>VNDA</t>
  </si>
  <si>
    <t>Vanda Pharmaceuticals Inc</t>
  </si>
  <si>
    <t>PDUFA Dec 12: Quimilza · Earnings Nov 4 (est.)</t>
  </si>
  <si>
    <t>ACIU</t>
  </si>
  <si>
    <t>AC Immune AG</t>
  </si>
  <si>
    <t>BCYC</t>
  </si>
  <si>
    <t>Bicycle Therapeutics PLC</t>
  </si>
  <si>
    <t>CABA</t>
  </si>
  <si>
    <t>Cabaletta Bio, Inc.</t>
  </si>
  <si>
    <t>VOGX</t>
  </si>
  <si>
    <t>Vogenx, Inc.</t>
  </si>
  <si>
    <t>AMRN</t>
  </si>
  <si>
    <t>Amarin Corporation PLC</t>
  </si>
  <si>
    <t>IMRX</t>
  </si>
  <si>
    <t>Immuneering Corporation</t>
  </si>
  <si>
    <t>IKT</t>
  </si>
  <si>
    <t>Inhibikase Therapeutics, Inc.</t>
  </si>
  <si>
    <t>SABS</t>
  </si>
  <si>
    <t>SAB Biotherapeutics, Inc.</t>
  </si>
  <si>
    <t>HELP</t>
  </si>
  <si>
    <t>Helus Pharma Inc.</t>
  </si>
  <si>
    <t>SIGA</t>
  </si>
  <si>
    <t>SIGA Technologies Inc</t>
  </si>
  <si>
    <t>LXEO</t>
  </si>
  <si>
    <t>Lexeo Therapeutics, Inc.</t>
  </si>
  <si>
    <t>BBOT</t>
  </si>
  <si>
    <t>BridgeBio Oncology Therapeutics Inc</t>
  </si>
  <si>
    <t>ACB</t>
  </si>
  <si>
    <t>Aurora Cannabis Inc.</t>
  </si>
  <si>
    <t>HITI</t>
  </si>
  <si>
    <t>High Tide Inc</t>
  </si>
  <si>
    <t>QTTB</t>
  </si>
  <si>
    <t>Q32 Bio Inc.</t>
  </si>
  <si>
    <t>TLSI</t>
  </si>
  <si>
    <t>TriSalus Life Sciences Inc</t>
  </si>
  <si>
    <t>BIOA</t>
  </si>
  <si>
    <t>BioAge Labs, Inc.</t>
  </si>
  <si>
    <t>KROS</t>
  </si>
  <si>
    <t>Keros Therapeutics, Inc.</t>
  </si>
  <si>
    <t>FATE</t>
  </si>
  <si>
    <t>Fate Therapeutics Inc</t>
  </si>
  <si>
    <t>GLSI</t>
  </si>
  <si>
    <t>Greenwich Lifesciences Inc</t>
  </si>
  <si>
    <t>PLX</t>
  </si>
  <si>
    <t>Protalix BioTherapeutics, Inc.</t>
  </si>
  <si>
    <t>MGNX</t>
  </si>
  <si>
    <t>MacroGenics Inc</t>
  </si>
  <si>
    <t>LRMR</t>
  </si>
  <si>
    <t>Larimar Therapeutics, Inc.</t>
  </si>
  <si>
    <t>ALEC</t>
  </si>
  <si>
    <t>Alector, Inc.</t>
  </si>
  <si>
    <t>MDCX</t>
  </si>
  <si>
    <t>Medicus Pharma Ltd</t>
  </si>
  <si>
    <t>LIMN</t>
  </si>
  <si>
    <t>Liminatus Pharma Inc</t>
  </si>
  <si>
    <t>LYEL</t>
  </si>
  <si>
    <t>Lyell Immunopharma, Inc.</t>
  </si>
  <si>
    <t>RNAC</t>
  </si>
  <si>
    <t>Cartesian Therapeutics, Inc.</t>
  </si>
  <si>
    <t>CAMP</t>
  </si>
  <si>
    <t>CAMP4 Therapeutics Corp</t>
  </si>
  <si>
    <t>CGEN</t>
  </si>
  <si>
    <t>Compugen Ltd.</t>
  </si>
  <si>
    <t>EVMN</t>
  </si>
  <si>
    <t>Evommune, Inc.</t>
  </si>
  <si>
    <t>Earnings Dec 10 (est.)</t>
  </si>
  <si>
    <t>XGN</t>
  </si>
  <si>
    <t>Exagen Inc.</t>
  </si>
  <si>
    <t>TRDA</t>
  </si>
  <si>
    <t>Entrada Therapeutics, Inc.</t>
  </si>
  <si>
    <t>AKBA</t>
  </si>
  <si>
    <t>Akebia Therapeutics Inc</t>
  </si>
  <si>
    <t>ELDN</t>
  </si>
  <si>
    <t>Eledon Pharmaceuticals Inc</t>
  </si>
  <si>
    <t>IVVD</t>
  </si>
  <si>
    <t>Invivyd, Inc.</t>
  </si>
  <si>
    <t>STRO</t>
  </si>
  <si>
    <t>Sutro Biopharma Inc</t>
  </si>
  <si>
    <t>PEPG</t>
  </si>
  <si>
    <t>PepGen Inc.</t>
  </si>
  <si>
    <t>ADCT</t>
  </si>
  <si>
    <t>Adc Therapeutics Ltd</t>
  </si>
  <si>
    <t>SLGL</t>
  </si>
  <si>
    <t>SOL-GEL TECHNOLOGIES LTD.</t>
  </si>
  <si>
    <t>ACOG</t>
  </si>
  <si>
    <t>Alpha Cognition Inc</t>
  </si>
  <si>
    <t>SION</t>
  </si>
  <si>
    <t>Sionna Therapeutics, Inc.</t>
  </si>
  <si>
    <t>ORMP</t>
  </si>
  <si>
    <t>Oramed Pharmaceuticals Inc</t>
  </si>
  <si>
    <t>WHWK</t>
  </si>
  <si>
    <t>Whitehawk Therapeutics, Inc.</t>
  </si>
  <si>
    <t>CTNM</t>
  </si>
  <si>
    <t>Contineum Therapeutics, Inc.</t>
  </si>
  <si>
    <t>DTIL</t>
  </si>
  <si>
    <t>Precision Biosciences, Inc</t>
  </si>
  <si>
    <t>CMPX</t>
  </si>
  <si>
    <t>Compass Therapeutics Inc.</t>
  </si>
  <si>
    <t>CHRS</t>
  </si>
  <si>
    <t>Coherus Oncology Inc</t>
  </si>
  <si>
    <t>PRQR</t>
  </si>
  <si>
    <t>ProQR Therapeutics NV</t>
  </si>
  <si>
    <t>ZNTL</t>
  </si>
  <si>
    <t>Zentalis Pharmaceuticals, Inc.</t>
  </si>
  <si>
    <t>MDWD</t>
  </si>
  <si>
    <t>Mediwound Ltd</t>
  </si>
  <si>
    <t>KRSA</t>
  </si>
  <si>
    <t>Korsana Biosciences, Inc.</t>
  </si>
  <si>
    <t>UPB</t>
  </si>
  <si>
    <t>Upstream Bio, Inc.</t>
  </si>
  <si>
    <t>MENS</t>
  </si>
  <si>
    <t>Jyong Biotech Ltd</t>
  </si>
  <si>
    <t>PYXS</t>
  </si>
  <si>
    <t>Pyxis Oncology Inc</t>
  </si>
  <si>
    <t>CNTN</t>
  </si>
  <si>
    <t>Canton Strategic Holdings Inc</t>
  </si>
  <si>
    <t>ALXO</t>
  </si>
  <si>
    <t>ALX Oncology Holdings Inc</t>
  </si>
  <si>
    <t>NBP</t>
  </si>
  <si>
    <t>NovaBridge Biosciences</t>
  </si>
  <si>
    <t>CURX</t>
  </si>
  <si>
    <t>Curanex Pharmaceuticals Inc</t>
  </si>
  <si>
    <t>MOLN</t>
  </si>
  <si>
    <t>Molecular Partners AG</t>
  </si>
  <si>
    <t>DERM</t>
  </si>
  <si>
    <t>Journey Medical Corp</t>
  </si>
  <si>
    <t>IPHA</t>
  </si>
  <si>
    <t>Innate Pharma SA</t>
  </si>
  <si>
    <t>TARA</t>
  </si>
  <si>
    <t>Protara Therapeutics Inc</t>
  </si>
  <si>
    <t>RNA</t>
  </si>
  <si>
    <t>Atrium Therapeutics Inc</t>
  </si>
  <si>
    <t>NKTX</t>
  </si>
  <si>
    <t>Nkarta, Inc.</t>
  </si>
  <si>
    <t>ORGO</t>
  </si>
  <si>
    <t>Organogenesis Holdings Inc.</t>
  </si>
  <si>
    <t>Earnings Nov 5 (after close)</t>
  </si>
  <si>
    <t>ANTX</t>
  </si>
  <si>
    <t>AN2 Therapeutics Inc</t>
  </si>
  <si>
    <t>NGEN</t>
  </si>
  <si>
    <t>NervGen Pharma Corp</t>
  </si>
  <si>
    <t>ARMP</t>
  </si>
  <si>
    <t>Armata Pharmaceuticals, Inc.</t>
  </si>
  <si>
    <t>KRRO</t>
  </si>
  <si>
    <t>Korro Bio, Inc.</t>
  </si>
  <si>
    <t>ABOS</t>
  </si>
  <si>
    <t>Acumen Pharmaceuticals Inc</t>
  </si>
  <si>
    <t>AVXL</t>
  </si>
  <si>
    <t>Anavex Life Sciences Corp</t>
  </si>
  <si>
    <t>CUE</t>
  </si>
  <si>
    <t>Cue Biopharma, Inc.</t>
  </si>
  <si>
    <t>HUMA</t>
  </si>
  <si>
    <t>Humacyte Inc</t>
  </si>
  <si>
    <t>OTLK</t>
  </si>
  <si>
    <t>Outlook Therapeutics Inc</t>
  </si>
  <si>
    <t>VYGR</t>
  </si>
  <si>
    <t>Voyager Therapeutics, Inc.</t>
  </si>
  <si>
    <t>SPRB</t>
  </si>
  <si>
    <t>Spruce Biosciences, Inc.</t>
  </si>
  <si>
    <t>NRXP</t>
  </si>
  <si>
    <t>NRX Pharmaceuticals Inc</t>
  </si>
  <si>
    <t>NERV</t>
  </si>
  <si>
    <t>Minerva Neurosciences, Inc</t>
  </si>
  <si>
    <t>HURA</t>
  </si>
  <si>
    <t>TuHURA Biosciences Inc</t>
  </si>
  <si>
    <t>ENGN</t>
  </si>
  <si>
    <t>enGene Therapeutics Inc.</t>
  </si>
  <si>
    <t>CRDL</t>
  </si>
  <si>
    <t>Cardiol Therapeutics Inc</t>
  </si>
  <si>
    <t>FHTX</t>
  </si>
  <si>
    <t>Foghorn Therapeutics Inc.</t>
  </si>
  <si>
    <t>GNLX</t>
  </si>
  <si>
    <t>Genelux Corporation</t>
  </si>
  <si>
    <t>PYPD</t>
  </si>
  <si>
    <t>PolyPid Ltd</t>
  </si>
  <si>
    <t>PDUFA Nov 28: D-PLEX₁₀₀ · Earnings Nov 11 (est.)</t>
  </si>
  <si>
    <t>CPIX</t>
  </si>
  <si>
    <t>Cumberland Pharmaceuticals Inc.</t>
  </si>
  <si>
    <t>MSLE</t>
  </si>
  <si>
    <t>Satellos Bioscience Inc.</t>
  </si>
  <si>
    <t>VTVT</t>
  </si>
  <si>
    <t>vTv Therapeutics Inc</t>
  </si>
  <si>
    <t>FRNM</t>
  </si>
  <si>
    <t>Freenome, Inc.</t>
  </si>
  <si>
    <t>Earnings Nov 10 (after close)</t>
  </si>
  <si>
    <t>CLLS</t>
  </si>
  <si>
    <t>Cellectis SA</t>
  </si>
  <si>
    <t>IFRX</t>
  </si>
  <si>
    <t>InflaRx NV</t>
  </si>
  <si>
    <t>TNXP</t>
  </si>
  <si>
    <t>Tonix Pharmaceuticals Holding Corp.</t>
  </si>
  <si>
    <t>LENZ</t>
  </si>
  <si>
    <t>LENZ Therapeutics, Inc.</t>
  </si>
  <si>
    <t>INO</t>
  </si>
  <si>
    <t>Inovio Pharmaceuticals Inc</t>
  </si>
  <si>
    <t>PDUFA Oct 30: INO-3107 · Earnings Nov 9 (est.)</t>
  </si>
  <si>
    <t>COYA</t>
  </si>
  <si>
    <t>Coya Therapeutics Inc</t>
  </si>
  <si>
    <t>CBUS</t>
  </si>
  <si>
    <t>Cibus Inc</t>
  </si>
  <si>
    <t>IMDX</t>
  </si>
  <si>
    <t>Insight Molecular Diagnostics Inc</t>
  </si>
  <si>
    <t>NRSN</t>
  </si>
  <si>
    <t>Neurosense Therapeutics Ltd</t>
  </si>
  <si>
    <t>BDTX</t>
  </si>
  <si>
    <t>Black Diamond Therapeutics Inc</t>
  </si>
  <si>
    <t>ICCC</t>
  </si>
  <si>
    <t>ImmuCell Corp</t>
  </si>
  <si>
    <t>ADAG</t>
  </si>
  <si>
    <t>Adagene Inc.</t>
  </si>
  <si>
    <t>ATRA</t>
  </si>
  <si>
    <t>Atara Biotherapeutics, Inc.</t>
  </si>
  <si>
    <t>IMUX</t>
  </si>
  <si>
    <t>Immunic, Inc.</t>
  </si>
  <si>
    <t>PLYX</t>
  </si>
  <si>
    <t>Polaryx Therapeutics, Inc</t>
  </si>
  <si>
    <t>UNCY</t>
  </si>
  <si>
    <t>Unicycive Therapeutics Inc</t>
  </si>
  <si>
    <t>ANIX</t>
  </si>
  <si>
    <t>Anixa Biosciences Inc</t>
  </si>
  <si>
    <t>QUCY</t>
  </si>
  <si>
    <t>Quantum Cyber NV</t>
  </si>
  <si>
    <t>TNYA</t>
  </si>
  <si>
    <t>Tenaya Therapeutics, Inc.</t>
  </si>
  <si>
    <t>RANI</t>
  </si>
  <si>
    <t>Rani Therapeutics Holdings Inc</t>
  </si>
  <si>
    <t>RLYB</t>
  </si>
  <si>
    <t>Rallybio Corp</t>
  </si>
  <si>
    <t>NMRA</t>
  </si>
  <si>
    <t>Neumora Therapeutics Inc</t>
  </si>
  <si>
    <t>MIST</t>
  </si>
  <si>
    <t>Milestone Pharmaceuticals Inc</t>
  </si>
  <si>
    <t>CRBP</t>
  </si>
  <si>
    <t>Corbus Pharmaceuticals Holdings, Inc.</t>
  </si>
  <si>
    <t>CNXU</t>
  </si>
  <si>
    <t>Conexeu Sciences Inc</t>
  </si>
  <si>
    <t>OKUR</t>
  </si>
  <si>
    <t>Onkure Therapeutics Inc</t>
  </si>
  <si>
    <t>AARD</t>
  </si>
  <si>
    <t>Aardvark Therapeutics, Inc.</t>
  </si>
  <si>
    <t>ALP</t>
  </si>
  <si>
    <t>Alpha Compute Corp</t>
  </si>
  <si>
    <t>PTHS</t>
  </si>
  <si>
    <t>Pelthos Therapeutics Inc</t>
  </si>
  <si>
    <t>NTRB</t>
  </si>
  <si>
    <t>Nutriband Inc</t>
  </si>
  <si>
    <t>Earnings Dec 9 (est.)</t>
  </si>
  <si>
    <t>EQ</t>
  </si>
  <si>
    <t>Equillium Inc</t>
  </si>
  <si>
    <t>OKYO</t>
  </si>
  <si>
    <t>OKYO Pharma Ltd</t>
  </si>
  <si>
    <t>PMN</t>
  </si>
  <si>
    <t>ProMIS Neurosciences Inc</t>
  </si>
  <si>
    <t>TELO</t>
  </si>
  <si>
    <t>Telomir Pharmaceuticals Inc</t>
  </si>
  <si>
    <t>RFL</t>
  </si>
  <si>
    <t>Rafael Holdings Inc</t>
  </si>
  <si>
    <t>CTOR</t>
  </si>
  <si>
    <t>Citius Oncology Inc</t>
  </si>
  <si>
    <t>LEXX</t>
  </si>
  <si>
    <t>Lexaria Bioscience Corp</t>
  </si>
  <si>
    <t>Earnings Nov 25 (est.)</t>
  </si>
  <si>
    <t>ACRV</t>
  </si>
  <si>
    <t>Acrivon Therapeutics, Inc.</t>
  </si>
  <si>
    <t>CRDF</t>
  </si>
  <si>
    <t>Cardiff Oncology, Inc.</t>
  </si>
  <si>
    <t>NTHI</t>
  </si>
  <si>
    <t>NeOnc Technologies Holdings Inc</t>
  </si>
  <si>
    <t>MNOV</t>
  </si>
  <si>
    <t>MediciNova Inc</t>
  </si>
  <si>
    <t>CGTX</t>
  </si>
  <si>
    <t>Cognition Therapeutics Inc</t>
  </si>
  <si>
    <t>HRTX</t>
  </si>
  <si>
    <t>Heron Therapeutics Inc</t>
  </si>
  <si>
    <t>ZYBT</t>
  </si>
  <si>
    <t>Zhengye Biotechnology Holding Ltd</t>
  </si>
  <si>
    <t>SPRO</t>
  </si>
  <si>
    <t>Spero Therapeutics, Inc.</t>
  </si>
  <si>
    <t>OSTX</t>
  </si>
  <si>
    <t>OS Therapies Inc</t>
  </si>
  <si>
    <t>PMVP</t>
  </si>
  <si>
    <t>Pmv Pharmaceuticals, Inc</t>
  </si>
  <si>
    <t>XBIT</t>
  </si>
  <si>
    <t>XBiotech Inc</t>
  </si>
  <si>
    <t>ONCY</t>
  </si>
  <si>
    <t>Oncolytics Biotech Inc</t>
  </si>
  <si>
    <t>CING</t>
  </si>
  <si>
    <t>Cingulate Inc</t>
  </si>
  <si>
    <t>PDSB</t>
  </si>
  <si>
    <t>PDS Biotechnology Corp</t>
  </si>
  <si>
    <t>NMAD</t>
  </si>
  <si>
    <t>NOMAD Power Solutions, Inc</t>
  </si>
  <si>
    <t>FBIO</t>
  </si>
  <si>
    <t>Fortress Biotech Inc</t>
  </si>
  <si>
    <t>VRCA</t>
  </si>
  <si>
    <t>Verrica Pharmaceuticals Inc</t>
  </si>
  <si>
    <t>BMEA</t>
  </si>
  <si>
    <t>Biomea Fusion, Inc.</t>
  </si>
  <si>
    <t>GANX</t>
  </si>
  <si>
    <t>Gain Therapeutics Inc</t>
  </si>
  <si>
    <t>CNTB</t>
  </si>
  <si>
    <t>Connect Biopharma Holdings Ltd</t>
  </si>
  <si>
    <t>XLO</t>
  </si>
  <si>
    <t>Xilio Therapeutics Inc</t>
  </si>
  <si>
    <t>PLRX</t>
  </si>
  <si>
    <t>Pliant Therapeutics, Inc.</t>
  </si>
  <si>
    <t>TLPH</t>
  </si>
  <si>
    <t>Talphera Inc</t>
  </si>
  <si>
    <t>SKYE</t>
  </si>
  <si>
    <t>Skye Bioscience, Inc.</t>
  </si>
  <si>
    <t>RNTX</t>
  </si>
  <si>
    <t>Rein Therapeutics Inc</t>
  </si>
  <si>
    <t>RNXT</t>
  </si>
  <si>
    <t>RenovoRx Inc</t>
  </si>
  <si>
    <t>YARW</t>
  </si>
  <si>
    <t>Yarrow Bioscience, Inc.</t>
  </si>
  <si>
    <t>BOLD</t>
  </si>
  <si>
    <t>Boundless Bio, Inc.</t>
  </si>
  <si>
    <t>KLRS</t>
  </si>
  <si>
    <t>Kalaris Therapeutics Inc</t>
  </si>
  <si>
    <t>TENX</t>
  </si>
  <si>
    <t>Tenax Therapeutics Inc</t>
  </si>
  <si>
    <t>INKT</t>
  </si>
  <si>
    <t>Mink Therapeutics Inc</t>
  </si>
  <si>
    <t>CRBU</t>
  </si>
  <si>
    <t>Caribou Biosciences, Inc.</t>
  </si>
  <si>
    <t>LONA</t>
  </si>
  <si>
    <t>LeonaBio Inc</t>
  </si>
  <si>
    <t>ATHE</t>
  </si>
  <si>
    <t>Alterity Therapeutics Limited</t>
  </si>
  <si>
    <t>IBIO</t>
  </si>
  <si>
    <t>iBio Inc</t>
  </si>
  <si>
    <t>HYPD</t>
  </si>
  <si>
    <t>Hyperion DeFi Inc</t>
  </si>
  <si>
    <t>ENLV</t>
  </si>
  <si>
    <t>Enlivex Ltd</t>
  </si>
  <si>
    <t>MREO</t>
  </si>
  <si>
    <t>Mereo BioPharma Group PLC</t>
  </si>
  <si>
    <t>HOWL</t>
  </si>
  <si>
    <t>Werewolf Therapeutics Inc</t>
  </si>
  <si>
    <t>CLGN</t>
  </si>
  <si>
    <t>Collplant Biotechnologies Ltd</t>
  </si>
  <si>
    <t>ELTX</t>
  </si>
  <si>
    <t>Elicio Therapeutics Inc</t>
  </si>
  <si>
    <t>TVGN</t>
  </si>
  <si>
    <t>Tevogen Inc</t>
  </si>
  <si>
    <t>INMB</t>
  </si>
  <si>
    <t>INmune Bio Inc</t>
  </si>
  <si>
    <t>IMA</t>
  </si>
  <si>
    <t>ImageneBio Inc</t>
  </si>
  <si>
    <t>SER</t>
  </si>
  <si>
    <t>Serina Therapeutics, Inc.</t>
  </si>
  <si>
    <t>SDEV</t>
  </si>
  <si>
    <t>Stablecoin Development Corp</t>
  </si>
  <si>
    <t>LGVN</t>
  </si>
  <si>
    <t>Longeveron Inc</t>
  </si>
  <si>
    <t>ACET</t>
  </si>
  <si>
    <t>ADICET Bio, Inc.</t>
  </si>
  <si>
    <t>ANVS</t>
  </si>
  <si>
    <t>Annovis Bio Inc</t>
  </si>
  <si>
    <t>ALDX</t>
  </si>
  <si>
    <t>Aldeyra Therapeutics Inc</t>
  </si>
  <si>
    <t>DWTX</t>
  </si>
  <si>
    <t>Dogwood Therapeutics Inc</t>
  </si>
  <si>
    <t>CELU</t>
  </si>
  <si>
    <t>Celularity Inc</t>
  </si>
  <si>
    <t>TIL</t>
  </si>
  <si>
    <t>Instil Bio, Inc.</t>
  </si>
  <si>
    <t>CLNN</t>
  </si>
  <si>
    <t>Clene Inc</t>
  </si>
  <si>
    <t>GRCE</t>
  </si>
  <si>
    <t>Grace Therapeutics, Inc</t>
  </si>
  <si>
    <t>VERU</t>
  </si>
  <si>
    <t>Veru Inc.</t>
  </si>
  <si>
    <t>BTMD</t>
  </si>
  <si>
    <t>Biote Corp</t>
  </si>
  <si>
    <t>BRTX</t>
  </si>
  <si>
    <t>BioRestorative Therapies Inc</t>
  </si>
  <si>
    <t>EXOZ</t>
  </si>
  <si>
    <t>eXoZymes Inc</t>
  </si>
  <si>
    <t>BSEM</t>
  </si>
  <si>
    <t>BioStem Technologies, Inc.</t>
  </si>
  <si>
    <t>SCYX</t>
  </si>
  <si>
    <t>SCYNEXIS Inc</t>
  </si>
  <si>
    <t>MTNB</t>
  </si>
  <si>
    <t>Matinas BioPharma Holdings Inc</t>
  </si>
  <si>
    <t>CALC</t>
  </si>
  <si>
    <t>CalciMedica Inc</t>
  </si>
  <si>
    <t>IXHL</t>
  </si>
  <si>
    <t>Incannex Healthcare Inc</t>
  </si>
  <si>
    <t>NNVC</t>
  </si>
  <si>
    <t>NanoViricides, Inc</t>
  </si>
  <si>
    <t>ELUT</t>
  </si>
  <si>
    <t>Elutia Inc</t>
  </si>
  <si>
    <t>LITS</t>
  </si>
  <si>
    <t>Lite Strategy Inc</t>
  </si>
  <si>
    <t>FLNA</t>
  </si>
  <si>
    <t>Filana Therapeutics, Inc.</t>
  </si>
  <si>
    <t>CRVO</t>
  </si>
  <si>
    <t>CervoMed Inc</t>
  </si>
  <si>
    <t>ATNM</t>
  </si>
  <si>
    <t>Actinium Pharmaceuticals Inc</t>
  </si>
  <si>
    <t>QNCX</t>
  </si>
  <si>
    <t>Quince Therapeutics, Inc.</t>
  </si>
  <si>
    <t>Earnings Nov 11 (est.) · Now IRulya Therapeutics (IRLA) after an Oct 9 merger; model shares and cash predate it</t>
  </si>
  <si>
    <t>BIAF</t>
  </si>
  <si>
    <t>bioAffinity Technologies Inc</t>
  </si>
  <si>
    <t>CVM</t>
  </si>
  <si>
    <t>CEL-SCI Corp</t>
  </si>
  <si>
    <t>ALGS</t>
  </si>
  <si>
    <t>Aligos Therapeutics, Inc.</t>
  </si>
  <si>
    <t>GRDX</t>
  </si>
  <si>
    <t>GridAI Technologies Corp</t>
  </si>
  <si>
    <t>Earnings Nov 18 (est.)</t>
  </si>
  <si>
    <t>MGX</t>
  </si>
  <si>
    <t>Metagenomi Therapeutics Inc</t>
  </si>
  <si>
    <t>BCTX</t>
  </si>
  <si>
    <t>Briacell Therapeutics Corp</t>
  </si>
  <si>
    <t>Earnings Oct 21 (est.)</t>
  </si>
  <si>
    <t>CPHI</t>
  </si>
  <si>
    <t>China Pharma Holdings Inc</t>
  </si>
  <si>
    <t>ATOS</t>
  </si>
  <si>
    <t>Atossa Therapeutics Inc</t>
  </si>
  <si>
    <t>RNAZ</t>
  </si>
  <si>
    <t>Transcode Therapeutics Inc</t>
  </si>
  <si>
    <t>NXTC</t>
  </si>
  <si>
    <t>NextCure Inc</t>
  </si>
  <si>
    <t>NSRX</t>
  </si>
  <si>
    <t>Nasus Pharma Ltd</t>
  </si>
  <si>
    <t>MIRA</t>
  </si>
  <si>
    <t>MIRA Pharmaceuticals Inc</t>
  </si>
  <si>
    <t>SHPH</t>
  </si>
  <si>
    <t>Shuttle Pharmaceuticals Holdings Inc</t>
  </si>
  <si>
    <t>IGC</t>
  </si>
  <si>
    <t>IGC Pharma Inc</t>
  </si>
  <si>
    <t>VBIO</t>
  </si>
  <si>
    <t>Valion Bio Inc</t>
  </si>
  <si>
    <t>MCRB</t>
  </si>
  <si>
    <t>Seres Therapeutics, Inc.</t>
  </si>
  <si>
    <t>EDSA</t>
  </si>
  <si>
    <t>Edesa Biotech Inc</t>
  </si>
  <si>
    <t>Earnings Dec 11 (est.)</t>
  </si>
  <si>
    <t>LNAI</t>
  </si>
  <si>
    <t>Lunai Bioworks Inc</t>
  </si>
  <si>
    <t>ABVC</t>
  </si>
  <si>
    <t>ABVC Biopharma Inc</t>
  </si>
  <si>
    <t>Earnings Oct 30 (est.)</t>
  </si>
  <si>
    <t>SCLX</t>
  </si>
  <si>
    <t>Scilex Holding Co</t>
  </si>
  <si>
    <t>FFR</t>
  </si>
  <si>
    <t>FF EAI Robotics Ecosystem Inc.</t>
  </si>
  <si>
    <t>EVAX</t>
  </si>
  <si>
    <t>Evaxion A/S</t>
  </si>
  <si>
    <t>Earnings Nov 19 (before open)</t>
  </si>
  <si>
    <t>BYSI</t>
  </si>
  <si>
    <t>Beyondspring Inc</t>
  </si>
  <si>
    <t>CNTX</t>
  </si>
  <si>
    <t>Context Therapeutics Inc</t>
  </si>
  <si>
    <t>TXMD</t>
  </si>
  <si>
    <t>TherapeuticsMD Inc</t>
  </si>
  <si>
    <t>KYNB</t>
  </si>
  <si>
    <t>Kyntra Bio, Inc.</t>
  </si>
  <si>
    <t>AYTU</t>
  </si>
  <si>
    <t>Aytu Biopharma Inc</t>
  </si>
  <si>
    <t>COCP</t>
  </si>
  <si>
    <t>Cocrystal Pharma Inc</t>
  </si>
  <si>
    <t>ESLA</t>
  </si>
  <si>
    <t>Estrella Immunopharma Inc</t>
  </si>
  <si>
    <t>JAGX</t>
  </si>
  <si>
    <t>Jaguar Health Inc</t>
  </si>
  <si>
    <t>NEUP</t>
  </si>
  <si>
    <t>Neuphoria Therapeutics Inc</t>
  </si>
  <si>
    <t>MRKR</t>
  </si>
  <si>
    <t>Marker Therapeutics Inc</t>
  </si>
  <si>
    <t>ATYR</t>
  </si>
  <si>
    <t>aTyr Pharma Inc</t>
  </si>
  <si>
    <t>AKTX</t>
  </si>
  <si>
    <t>Akari Therapeutics PLC</t>
  </si>
  <si>
    <t>JSPR</t>
  </si>
  <si>
    <t>Jasper Therapeutics, Inc.</t>
  </si>
  <si>
    <t>KAPA</t>
  </si>
  <si>
    <t>Kairos Pharma Ltd</t>
  </si>
  <si>
    <t>GNTA</t>
  </si>
  <si>
    <t>Genenta Science SpA</t>
  </si>
  <si>
    <t>TCRX</t>
  </si>
  <si>
    <t>TScan Therapeutics Inc</t>
  </si>
  <si>
    <t>DYAI</t>
  </si>
  <si>
    <t>Dyadic International Inc</t>
  </si>
  <si>
    <t>PLRZ</t>
  </si>
  <si>
    <t>Polyrizon Ltd</t>
  </si>
  <si>
    <t>ACTU</t>
  </si>
  <si>
    <t>Actuate Therapeutics Inc</t>
  </si>
  <si>
    <t>ALLR</t>
  </si>
  <si>
    <t>Allarity Therapeutics Inc</t>
  </si>
  <si>
    <t>KTTA</t>
  </si>
  <si>
    <t>Pasithea Therapeutics Corp</t>
  </si>
  <si>
    <t>BCDA</t>
  </si>
  <si>
    <t>BioCardia Inc</t>
  </si>
  <si>
    <t>LPCN</t>
  </si>
  <si>
    <t>Lipocine Inc</t>
  </si>
  <si>
    <t>NCEL</t>
  </si>
  <si>
    <t>NewcelX AG</t>
  </si>
  <si>
    <t>TVRD</t>
  </si>
  <si>
    <t>Tvardi Therapeutics, Inc.</t>
  </si>
  <si>
    <t>RKTO</t>
  </si>
  <si>
    <t>Rocket One Inc</t>
  </si>
  <si>
    <t>HIND</t>
  </si>
  <si>
    <t>Vyome Holdings Inc</t>
  </si>
  <si>
    <t>CNSY</t>
  </si>
  <si>
    <t>Cerenome, Inc</t>
  </si>
  <si>
    <t>CTXR</t>
  </si>
  <si>
    <t>Citius Pharmaceuticals Inc</t>
  </si>
  <si>
    <t>ARTL</t>
  </si>
  <si>
    <t>Artelo Biosciences, Inc</t>
  </si>
  <si>
    <t>BFRI</t>
  </si>
  <si>
    <t>Biofrontera Inc</t>
  </si>
  <si>
    <t>AEON</t>
  </si>
  <si>
    <t>Aeon Biopharma Inc</t>
  </si>
  <si>
    <t>ASBP</t>
  </si>
  <si>
    <t>Aspire-lakewood Holdings, Inc.</t>
  </si>
  <si>
    <t>KZIA</t>
  </si>
  <si>
    <t>Kazia Therapeutics Ltd</t>
  </si>
  <si>
    <t>ENSC</t>
  </si>
  <si>
    <t>Ensysce Biosciences Inc</t>
  </si>
  <si>
    <t>PTN</t>
  </si>
  <si>
    <t>Palatin Technologies Inc</t>
  </si>
  <si>
    <t>PASG</t>
  </si>
  <si>
    <t>Passage Bio Inc</t>
  </si>
  <si>
    <t>DARE</t>
  </si>
  <si>
    <t>Dare Bioscience Inc</t>
  </si>
  <si>
    <t>PLUR</t>
  </si>
  <si>
    <t>Pluri Inc</t>
  </si>
  <si>
    <t>INAB</t>
  </si>
  <si>
    <t>IN8bio, Inc.</t>
  </si>
  <si>
    <t>INTS</t>
  </si>
  <si>
    <t>Intensity Therapeutics Inc</t>
  </si>
  <si>
    <t>CLRB</t>
  </si>
  <si>
    <t>Cellectar Biosciences Inc</t>
  </si>
  <si>
    <t>KPRX</t>
  </si>
  <si>
    <t>Kiora Pharmaceuticals, Inc.</t>
  </si>
  <si>
    <t>MDXH</t>
  </si>
  <si>
    <t>MDxHealth SA</t>
  </si>
  <si>
    <t>QNTM</t>
  </si>
  <si>
    <t>Quantum Biopharma Ltd</t>
  </si>
  <si>
    <t>GDTC</t>
  </si>
  <si>
    <t>CytoMed Therapeutics Ltd</t>
  </si>
  <si>
    <t>PHIO</t>
  </si>
  <si>
    <t>Phio Pharmaceuticals Corp</t>
  </si>
  <si>
    <t>TPST</t>
  </si>
  <si>
    <t>Tempest Therapeutics Inc</t>
  </si>
  <si>
    <t>PBM</t>
  </si>
  <si>
    <t>Psyence Biomedical Ltd</t>
  </si>
  <si>
    <t>TOVX</t>
  </si>
  <si>
    <t>Theriva Biologics Inc</t>
  </si>
  <si>
    <t>LSTA</t>
  </si>
  <si>
    <t>Lisata Therapeutics, Inc.</t>
  </si>
  <si>
    <t>CMMB</t>
  </si>
  <si>
    <t>Chemomab Therapeutics Ltd</t>
  </si>
  <si>
    <t>Earnings Oct 22 (est.)</t>
  </si>
  <si>
    <t>ADIL</t>
  </si>
  <si>
    <t>Adial Pharmaceuticals Inc</t>
  </si>
  <si>
    <t>MTVA</t>
  </si>
  <si>
    <t>MetaVia Inc</t>
  </si>
  <si>
    <t>VTGN</t>
  </si>
  <si>
    <t>Vistagen Therapeutics, Inc.</t>
  </si>
  <si>
    <t>KPTI</t>
  </si>
  <si>
    <t>Karyopharm Therapeutics Inc.</t>
  </si>
  <si>
    <t>LTRN</t>
  </si>
  <si>
    <t>Lantern Pharma Inc</t>
  </si>
  <si>
    <t>BIVI</t>
  </si>
  <si>
    <t>BioVie Inc</t>
  </si>
  <si>
    <t>IMCC</t>
  </si>
  <si>
    <t>IM Cannabis Corp</t>
  </si>
  <si>
    <t>BOLT</t>
  </si>
  <si>
    <t>Bolt Biotherapeutics, Inc.</t>
  </si>
  <si>
    <t>RGNT</t>
  </si>
  <si>
    <t>Regentis Biomaterials Ltd</t>
  </si>
  <si>
    <t>IMRN</t>
  </si>
  <si>
    <t>Immuron Ltd</t>
  </si>
  <si>
    <t>SNGX</t>
  </si>
  <si>
    <t>Soligenix Inc</t>
  </si>
  <si>
    <t>APRE</t>
  </si>
  <si>
    <t>Aprea Therapeutics Inc</t>
  </si>
  <si>
    <t>INM</t>
  </si>
  <si>
    <t>InMed Pharmaceuticals Inc</t>
  </si>
  <si>
    <t>XCUR</t>
  </si>
  <si>
    <t>Exicure Inc</t>
  </si>
  <si>
    <t>CNSP</t>
  </si>
  <si>
    <t>CNS Pharmaceuticals Inc</t>
  </si>
  <si>
    <t>SNTI</t>
  </si>
  <si>
    <t>Senti Biosciences Holdings Inc</t>
  </si>
  <si>
    <t>TCRT</t>
  </si>
  <si>
    <t>Alaunos Therapeutics Inc</t>
  </si>
  <si>
    <t>FBLG</t>
  </si>
  <si>
    <t>Fibrobiologics Inc</t>
  </si>
  <si>
    <t>ALZN</t>
  </si>
  <si>
    <t>Alzamend Neuro Inc</t>
  </si>
  <si>
    <t>TRAW</t>
  </si>
  <si>
    <t>Traws Pharma Inc</t>
  </si>
  <si>
    <t>ENVB</t>
  </si>
  <si>
    <t>Enveric Biosciences Inc</t>
  </si>
  <si>
    <t>BGMS</t>
  </si>
  <si>
    <t>Bio Green Med Solution Inc</t>
  </si>
  <si>
    <t>APUS</t>
  </si>
  <si>
    <t>Apimeds Pharmaceuticals US Inc</t>
  </si>
  <si>
    <t>HLSQ</t>
  </si>
  <si>
    <t>Tessera Defense and Homeland Security Inc</t>
  </si>
  <si>
    <t>ACXP</t>
  </si>
  <si>
    <t>Acurx Pharmaceuticals Inc</t>
  </si>
  <si>
    <t>IMNN</t>
  </si>
  <si>
    <t>Imunon Inc</t>
  </si>
  <si>
    <t>AQB</t>
  </si>
  <si>
    <t>AquaBounty Technologies Inc</t>
  </si>
  <si>
    <t>MBRX</t>
  </si>
  <si>
    <t>Moleculin Biotech Inc</t>
  </si>
  <si>
    <t>1-for-20 reverse split Oct 20</t>
  </si>
  <si>
    <t>SNOA</t>
  </si>
  <si>
    <t>Sonoma Pharmaceuticals Inc</t>
  </si>
  <si>
    <t>PULM</t>
  </si>
  <si>
    <t>Pulmatrix Inc</t>
  </si>
  <si>
    <t>AIM</t>
  </si>
  <si>
    <t>AIM ImmunoTech Inc</t>
  </si>
  <si>
    <t>CELZ</t>
  </si>
  <si>
    <t>Creative Medical Technology Holdings Inc</t>
  </si>
  <si>
    <t>GELS</t>
  </si>
  <si>
    <t>Gelteq Ltd</t>
  </si>
  <si>
    <t>PCSA</t>
  </si>
  <si>
    <t>Processa Pharmaceuticals Inc</t>
  </si>
  <si>
    <t>XBIO</t>
  </si>
  <si>
    <t>Xenetic Biosciences Inc</t>
  </si>
  <si>
    <t>QCLS</t>
  </si>
  <si>
    <t>Q/C Technologies Inc</t>
  </si>
  <si>
    <t>AZTR</t>
  </si>
  <si>
    <t>Azitra Inc</t>
  </si>
  <si>
    <t>NCNA</t>
  </si>
  <si>
    <t>NuCana PLC</t>
  </si>
  <si>
    <t>YCBD</t>
  </si>
  <si>
    <t>cbdMD Inc</t>
  </si>
  <si>
    <t>CVKD</t>
  </si>
  <si>
    <t>Cadrenal Therapeutics Inc</t>
  </si>
  <si>
    <t>PMCB</t>
  </si>
  <si>
    <t>PharmaCyte Biotech Inc</t>
  </si>
  <si>
    <t>KALA</t>
  </si>
  <si>
    <t>KALA BIO Inc</t>
  </si>
  <si>
    <t>ERNA</t>
  </si>
  <si>
    <t>Ernexa Therapeutics Inc</t>
  </si>
  <si>
    <t>SNES</t>
  </si>
  <si>
    <t>Senestech Inc</t>
  </si>
  <si>
    <t>DRMA</t>
  </si>
  <si>
    <t>Dermata Therapeutics Inc</t>
  </si>
  <si>
    <t>EVGN</t>
  </si>
  <si>
    <t>Evogene Ltd</t>
  </si>
  <si>
    <t>APVO</t>
  </si>
  <si>
    <t>Aptevo Therapeutics Inc</t>
  </si>
  <si>
    <t>SXTP</t>
  </si>
  <si>
    <t>60 Degrees Pharmaceuticals Inc</t>
  </si>
  <si>
    <t>GRI</t>
  </si>
  <si>
    <t>GRI Bio Inc</t>
  </si>
  <si>
    <t>EOCN</t>
  </si>
  <si>
    <t>Eocene Ltd</t>
  </si>
  <si>
    <t>MBIO</t>
  </si>
  <si>
    <t>Mustang Bio Inc</t>
  </si>
  <si>
    <t>SCNI</t>
  </si>
  <si>
    <t>Scinai Immunotherapeutics Ltd</t>
  </si>
  <si>
    <t>RDHL</t>
  </si>
  <si>
    <t>Redhill Biopharma Ltd</t>
  </si>
  <si>
    <t>CANF</t>
  </si>
  <si>
    <t>Can Fite Biopharma Ltd</t>
  </si>
  <si>
    <t>AKAN</t>
  </si>
  <si>
    <t>Akanda Corp</t>
  </si>
  <si>
    <t>VIVS</t>
  </si>
  <si>
    <t>VivoSim Labs Inc</t>
  </si>
  <si>
    <t>HCWB</t>
  </si>
  <si>
    <t>HCW Biologics Inc</t>
  </si>
  <si>
    <t>CLDI</t>
  </si>
  <si>
    <t>Calidi Biotherapeutics Inc</t>
  </si>
  <si>
    <t>JUNS</t>
  </si>
  <si>
    <t>Jupiter Neurosciences Inc</t>
  </si>
  <si>
    <t>PPCB</t>
  </si>
  <si>
    <t>Propanc Biopharma Inc</t>
  </si>
  <si>
    <t>OGEN</t>
  </si>
  <si>
    <t>Oragenics Inc</t>
  </si>
  <si>
    <t>REVB</t>
  </si>
  <si>
    <t>Revelation Biosciences Inc</t>
  </si>
  <si>
    <t>1-for-7 reverse split Oct 20</t>
  </si>
  <si>
    <t>ONCO</t>
  </si>
  <si>
    <t>Onconetix Inc</t>
  </si>
  <si>
    <t>SILO</t>
  </si>
  <si>
    <t>Silo Pharma Inc</t>
  </si>
  <si>
    <t>GOVX</t>
  </si>
  <si>
    <t>GeoVax Labs Inc</t>
  </si>
  <si>
    <t>GNPX</t>
  </si>
  <si>
    <t>Genprex Inc</t>
  </si>
  <si>
    <t>LABT</t>
  </si>
  <si>
    <t>Lakewood-Amedex Biotherapeutics Inc</t>
  </si>
  <si>
    <t>BBLG</t>
  </si>
  <si>
    <t>Bone Biologics Corp</t>
  </si>
  <si>
    <t>PPBT</t>
  </si>
  <si>
    <t>Purple Biotech Ltd</t>
  </si>
  <si>
    <t>BDRX</t>
  </si>
  <si>
    <t>Biodexa Pharmaceuticals PLC</t>
  </si>
  <si>
    <t>CMND</t>
  </si>
  <si>
    <t>Clearmind Medicine Inc</t>
  </si>
  <si>
    <t>SBFM</t>
  </si>
  <si>
    <t>Sunshine Biopharma Inc</t>
  </si>
  <si>
    <t>CRIS</t>
  </si>
  <si>
    <t>Curis Inc</t>
  </si>
  <si>
    <t>SLXN</t>
  </si>
  <si>
    <t>Silexion Therapeutics Corp</t>
  </si>
  <si>
    <t>DCOY</t>
  </si>
  <si>
    <t>Decoy Therapeutics Inc</t>
  </si>
  <si>
    <t>PRFX</t>
  </si>
  <si>
    <t>PRF Technologies Ltd</t>
  </si>
  <si>
    <t>SPRC</t>
  </si>
  <si>
    <t>Scisparc Ltd</t>
  </si>
  <si>
    <t>SXTC</t>
  </si>
  <si>
    <t>China SXT Pharmaceuticals Inc</t>
  </si>
  <si>
    <t>Recommendations: model-weighted long/short portfolio (100% gross)</t>
  </si>
  <si>
    <t>Summary</t>
  </si>
  <si>
    <t>How the weights are set</t>
  </si>
  <si>
    <t>Long book</t>
  </si>
  <si>
    <t>Universe: the 168 models with a valuation (DCF or rNPV). Net-cash and no-data tickers are left out.</t>
  </si>
  <si>
    <t>Short book</t>
  </si>
  <si>
    <t>Liquidity: price at least $5 and market cap at least $1B, so micro-caps and penny stocks can't drive the book.</t>
  </si>
  <si>
    <t>Gross exposure</t>
  </si>
  <si>
    <t>Signal: long if upside is +15% or more, short if -15% or less; upside clipped to +100% / -60%.</t>
  </si>
  <si>
    <t>Net exposure</t>
  </si>
  <si>
    <t>Score = upside × model confidence × size factor. Confidence: reviewed or full DCF 1.0, rNPV 0.7, basic DCF 0.5, basic DCF with an operating loss today 0.25.</t>
  </si>
  <si>
    <t>Long positions</t>
  </si>
  <si>
    <t>Size factor rises from 0.25 at $1B to 1.0 at $100B+ (log scale).</t>
  </si>
  <si>
    <t>Short positions</t>
  </si>
  <si>
    <t>Books: 60% long / 40% short. Caps: 8% for $50B+, 6% for $10–50B, 4% for $3–10B, 2% for $1–3B; positions under 0.5% are dropped.</t>
  </si>
  <si>
    <t>Weighted upside, longs</t>
  </si>
  <si>
    <t>Basic DCFs use GAAP margins and no pipeline, so they lean negative for acquisitive big pharma; that's why they get half weight.</t>
  </si>
  <si>
    <t>Weighted upside, shorts</t>
  </si>
  <si>
    <t>Valuation models in universe</t>
  </si>
  <si>
    <t>Positions after filters</t>
  </si>
  <si>
    <t>#</t>
  </si>
  <si>
    <t>Company</t>
  </si>
  <si>
    <t>Side</t>
  </si>
  <si>
    <t>Weight</t>
  </si>
  <si>
    <t>Value / share</t>
  </si>
  <si>
    <t>Mkt cap ($B)</t>
  </si>
  <si>
    <t>Confidence</t>
  </si>
  <si>
    <t>Size factor</t>
  </si>
  <si>
    <t>Cap</t>
  </si>
  <si>
    <t>Score</t>
  </si>
  <si>
    <t>Live upside</t>
  </si>
  <si>
    <t>Longs</t>
  </si>
  <si>
    <t>Long</t>
  </si>
  <si>
    <t>Reviewed DCF</t>
  </si>
  <si>
    <t>Basic DCF</t>
  </si>
  <si>
    <t>PDUFA rNPV</t>
  </si>
  <si>
    <t>Total longs</t>
  </si>
  <si>
    <t>Shorts</t>
  </si>
  <si>
    <t>Short</t>
  </si>
  <si>
    <t>Full DCF</t>
  </si>
  <si>
    <t>Total shorts</t>
  </si>
  <si>
    <t>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</si>
</sst>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(#,##0\);&quot;-&quot;"/>
    <numFmt numFmtId="165" formatCode="#,##0.0"/>
    <numFmt numFmtId="166" formatCode="0.0%"/>
    <numFmt numFmtId="167" formatCode="yyyy\-mm\-dd"/>
    <numFmt numFmtId="168" formatCode="0.0%;\-0.0%"/>
    <numFmt numFmtId="169" formatCode="\+0%;\-0%"/>
    <numFmt numFmtId="170" formatCode="\$#,##0.00"/>
    <numFmt numFmtId="171" formatCode="0.000"/>
  </numFmts>
  <fonts count="1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i/>
      <sz val="10"/>
      <name val="Aptos Narrow"/>
    </font>
    <font>
      <b/>
      <sz val="14"/>
      <color rgb="FF000000"/>
      <name val="Aptos Narrow"/>
    </font>
    <font>
      <i/>
      <sz val="12"/>
      <color rgb="FF595959"/>
      <name val="Aptos Narrow"/>
    </font>
    <font>
      <b/>
      <sz val="12"/>
      <color rgb="FF000000"/>
      <name val="Aptos Narrow"/>
    </font>
    <font>
      <sz val="12"/>
      <color rgb="FF000000"/>
      <name val="Aptos Narrow"/>
    </font>
    <font>
      <sz val="12"/>
      <color rgb="FF595959"/>
      <name val="Aptos Narrow"/>
    </font>
    <font>
      <sz val="12"/>
      <color rgb="FF006100"/>
      <name val="Aptos Narrow"/>
    </font>
    <font>
      <b/>
      <sz val="12"/>
      <color rgb="FF006100"/>
      <name val="Aptos Narrow"/>
    </font>
    <font>
      <sz val="12"/>
      <color rgb="FF9C0006"/>
      <name val="Aptos Narrow"/>
    </font>
    <font>
      <b/>
      <sz val="12"/>
      <color rgb="FF9C0006"/>
      <name val="Aptos Narrow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46">
    <xf numFmtId="0" fontId="0" fillId="0" borderId="0" xfId="0"/>
    <xf numFmtId="2" fontId="0" fillId="0" borderId="0" xfId="0" applyNumberFormat="1"/>
    <xf numFmtId="0" fontId="1" fillId="0" borderId="1" xfId="0" applyFont="1" applyBorder="1"/>
    <xf numFmtId="0" fontId="2" fillId="0" borderId="0" xfId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3" fillId="0" borderId="0" xfId="0" applyFont="1"/>
    <xf numFmtId="164" fontId="0" fillId="0" borderId="0" xfId="0" applyNumberFormat="1"/>
    <xf numFmtId="164" fontId="0" fillId="0" borderId="2" xfId="0" applyNumberFormat="1" applyBorder="1"/>
    <xf numFmtId="164" fontId="0" fillId="0" borderId="3" xfId="0" applyNumberFormat="1" applyBorder="1"/>
    <xf numFmtId="166" fontId="0" fillId="0" borderId="0" xfId="0" applyNumberFormat="1"/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2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/>
    </xf>
    <xf numFmtId="167" fontId="2" fillId="0" borderId="0" xfId="0" applyNumberFormat="1" applyFont="1" applyAlignment="1">
      <alignment horizontal="left"/>
    </xf>
    <xf numFmtId="0" fontId="4" fillId="0" borderId="0" xfId="0" applyFont="1"/>
    <xf numFmtId="0" fontId="5" fillId="0" borderId="0" xfId="0" applyFont="1"/>
    <xf numFmtId="0" fontId="6" fillId="0" borderId="0" xfId="0" applyFont="1"/>
    <xf numFmtId="166" fontId="6" fillId="0" borderId="0" xfId="0" applyNumberFormat="1" applyFont="1"/>
    <xf numFmtId="0" fontId="8" fillId="0" borderId="0" xfId="0" applyFont="1"/>
    <xf numFmtId="168" fontId="6" fillId="0" borderId="0" xfId="0" applyNumberFormat="1" applyFont="1"/>
    <xf numFmtId="1" fontId="7" fillId="0" borderId="0" xfId="0" applyNumberFormat="1" applyFont="1"/>
    <xf numFmtId="169" fontId="7" fillId="0" borderId="0" xfId="0" applyNumberFormat="1" applyFont="1"/>
    <xf numFmtId="0" fontId="6" fillId="0" borderId="4" xfId="0" applyFont="1" applyBorder="1" applyAlignment="1">
      <alignment horizontal="center"/>
    </xf>
    <xf numFmtId="0" fontId="6" fillId="0" borderId="4" xfId="0" applyFont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168" fontId="10" fillId="0" borderId="0" xfId="0" applyNumberFormat="1" applyFont="1" applyAlignment="1">
      <alignment horizontal="center"/>
    </xf>
    <xf numFmtId="170" fontId="7" fillId="0" borderId="0" xfId="0" applyNumberFormat="1" applyFont="1" applyAlignment="1">
      <alignment horizontal="center"/>
    </xf>
    <xf numFmtId="169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center"/>
    </xf>
    <xf numFmtId="9" fontId="7" fillId="0" borderId="0" xfId="0" applyNumberFormat="1" applyFont="1" applyAlignment="1">
      <alignment horizontal="center"/>
    </xf>
    <xf numFmtId="171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8" fontId="10" fillId="0" borderId="5" xfId="0" applyNumberFormat="1" applyFont="1" applyBorder="1" applyAlignment="1">
      <alignment horizontal="center"/>
    </xf>
    <xf numFmtId="0" fontId="11" fillId="0" borderId="0" xfId="0" applyFont="1" applyAlignment="1">
      <alignment horizontal="center"/>
    </xf>
    <xf numFmtId="168" fontId="12" fillId="0" borderId="0" xfId="0" applyNumberFormat="1" applyFont="1" applyAlignment="1">
      <alignment horizontal="center"/>
    </xf>
    <xf numFmtId="168" fontId="12" fillId="0" borderId="5" xfId="0" applyNumberFormat="1" applyFont="1" applyBorder="1" applyAlignment="1">
      <alignment horizontal="center"/>
    </xf>
    <xf numFmtId="0" fontId="7" fillId="0" borderId="0" xfId="0" applyFont="1"/>
    <xf numFmtId="0" fontId="0" fillId="0" borderId="0" xfId="0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4.xml"/><Relationship Id="rId671" Type="http://schemas.openxmlformats.org/officeDocument/2006/relationships/externalLink" Target="externalLinks/externalLink668.xml"/><Relationship Id="rId21" Type="http://schemas.openxmlformats.org/officeDocument/2006/relationships/externalLink" Target="externalLinks/externalLink18.xml"/><Relationship Id="rId324" Type="http://schemas.openxmlformats.org/officeDocument/2006/relationships/externalLink" Target="externalLinks/externalLink321.xml"/><Relationship Id="rId531" Type="http://schemas.openxmlformats.org/officeDocument/2006/relationships/externalLink" Target="externalLinks/externalLink528.xml"/><Relationship Id="rId629" Type="http://schemas.openxmlformats.org/officeDocument/2006/relationships/externalLink" Target="externalLinks/externalLink626.xml"/><Relationship Id="rId170" Type="http://schemas.openxmlformats.org/officeDocument/2006/relationships/externalLink" Target="externalLinks/externalLink167.xml"/><Relationship Id="rId268" Type="http://schemas.openxmlformats.org/officeDocument/2006/relationships/externalLink" Target="externalLinks/externalLink265.xml"/><Relationship Id="rId475" Type="http://schemas.openxmlformats.org/officeDocument/2006/relationships/externalLink" Target="externalLinks/externalLink472.xml"/><Relationship Id="rId682" Type="http://schemas.openxmlformats.org/officeDocument/2006/relationships/calcChain" Target="calcChain.xml"/><Relationship Id="rId32" Type="http://schemas.openxmlformats.org/officeDocument/2006/relationships/externalLink" Target="externalLinks/externalLink29.xml"/><Relationship Id="rId128" Type="http://schemas.openxmlformats.org/officeDocument/2006/relationships/externalLink" Target="externalLinks/externalLink125.xml"/><Relationship Id="rId335" Type="http://schemas.openxmlformats.org/officeDocument/2006/relationships/externalLink" Target="externalLinks/externalLink332.xml"/><Relationship Id="rId542" Type="http://schemas.openxmlformats.org/officeDocument/2006/relationships/externalLink" Target="externalLinks/externalLink539.xml"/><Relationship Id="rId181" Type="http://schemas.openxmlformats.org/officeDocument/2006/relationships/externalLink" Target="externalLinks/externalLink178.xml"/><Relationship Id="rId402" Type="http://schemas.openxmlformats.org/officeDocument/2006/relationships/externalLink" Target="externalLinks/externalLink399.xml"/><Relationship Id="rId279" Type="http://schemas.openxmlformats.org/officeDocument/2006/relationships/externalLink" Target="externalLinks/externalLink276.xml"/><Relationship Id="rId486" Type="http://schemas.openxmlformats.org/officeDocument/2006/relationships/externalLink" Target="externalLinks/externalLink483.xml"/><Relationship Id="rId43" Type="http://schemas.openxmlformats.org/officeDocument/2006/relationships/externalLink" Target="externalLinks/externalLink40.xml"/><Relationship Id="rId139" Type="http://schemas.openxmlformats.org/officeDocument/2006/relationships/externalLink" Target="externalLinks/externalLink136.xml"/><Relationship Id="rId346" Type="http://schemas.openxmlformats.org/officeDocument/2006/relationships/externalLink" Target="externalLinks/externalLink343.xml"/><Relationship Id="rId553" Type="http://schemas.openxmlformats.org/officeDocument/2006/relationships/externalLink" Target="externalLinks/externalLink550.xml"/><Relationship Id="rId192" Type="http://schemas.openxmlformats.org/officeDocument/2006/relationships/externalLink" Target="externalLinks/externalLink189.xml"/><Relationship Id="rId206" Type="http://schemas.openxmlformats.org/officeDocument/2006/relationships/externalLink" Target="externalLinks/externalLink203.xml"/><Relationship Id="rId413" Type="http://schemas.openxmlformats.org/officeDocument/2006/relationships/externalLink" Target="externalLinks/externalLink410.xml"/><Relationship Id="rId497" Type="http://schemas.openxmlformats.org/officeDocument/2006/relationships/externalLink" Target="externalLinks/externalLink494.xml"/><Relationship Id="rId620" Type="http://schemas.openxmlformats.org/officeDocument/2006/relationships/externalLink" Target="externalLinks/externalLink617.xml"/><Relationship Id="rId357" Type="http://schemas.openxmlformats.org/officeDocument/2006/relationships/externalLink" Target="externalLinks/externalLink354.xml"/><Relationship Id="rId54" Type="http://schemas.openxmlformats.org/officeDocument/2006/relationships/externalLink" Target="externalLinks/externalLink51.xml"/><Relationship Id="rId217" Type="http://schemas.openxmlformats.org/officeDocument/2006/relationships/externalLink" Target="externalLinks/externalLink214.xml"/><Relationship Id="rId564" Type="http://schemas.openxmlformats.org/officeDocument/2006/relationships/externalLink" Target="externalLinks/externalLink561.xml"/><Relationship Id="rId424" Type="http://schemas.openxmlformats.org/officeDocument/2006/relationships/externalLink" Target="externalLinks/externalLink421.xml"/><Relationship Id="rId631" Type="http://schemas.openxmlformats.org/officeDocument/2006/relationships/externalLink" Target="externalLinks/externalLink628.xml"/><Relationship Id="rId270" Type="http://schemas.openxmlformats.org/officeDocument/2006/relationships/externalLink" Target="externalLinks/externalLink267.xml"/><Relationship Id="rId65" Type="http://schemas.openxmlformats.org/officeDocument/2006/relationships/externalLink" Target="externalLinks/externalLink62.xml"/><Relationship Id="rId130" Type="http://schemas.openxmlformats.org/officeDocument/2006/relationships/externalLink" Target="externalLinks/externalLink127.xml"/><Relationship Id="rId368" Type="http://schemas.openxmlformats.org/officeDocument/2006/relationships/externalLink" Target="externalLinks/externalLink365.xml"/><Relationship Id="rId575" Type="http://schemas.openxmlformats.org/officeDocument/2006/relationships/externalLink" Target="externalLinks/externalLink572.xml"/><Relationship Id="rId228" Type="http://schemas.openxmlformats.org/officeDocument/2006/relationships/externalLink" Target="externalLinks/externalLink225.xml"/><Relationship Id="rId435" Type="http://schemas.openxmlformats.org/officeDocument/2006/relationships/externalLink" Target="externalLinks/externalLink432.xml"/><Relationship Id="rId642" Type="http://schemas.openxmlformats.org/officeDocument/2006/relationships/externalLink" Target="externalLinks/externalLink639.xml"/><Relationship Id="rId281" Type="http://schemas.openxmlformats.org/officeDocument/2006/relationships/externalLink" Target="externalLinks/externalLink278.xml"/><Relationship Id="rId502" Type="http://schemas.openxmlformats.org/officeDocument/2006/relationships/externalLink" Target="externalLinks/externalLink499.xml"/><Relationship Id="rId76" Type="http://schemas.openxmlformats.org/officeDocument/2006/relationships/externalLink" Target="externalLinks/externalLink73.xml"/><Relationship Id="rId141" Type="http://schemas.openxmlformats.org/officeDocument/2006/relationships/externalLink" Target="externalLinks/externalLink138.xml"/><Relationship Id="rId379" Type="http://schemas.openxmlformats.org/officeDocument/2006/relationships/externalLink" Target="externalLinks/externalLink376.xml"/><Relationship Id="rId586" Type="http://schemas.openxmlformats.org/officeDocument/2006/relationships/externalLink" Target="externalLinks/externalLink583.xml"/><Relationship Id="rId7" Type="http://schemas.openxmlformats.org/officeDocument/2006/relationships/externalLink" Target="externalLinks/externalLink4.xml"/><Relationship Id="rId239" Type="http://schemas.openxmlformats.org/officeDocument/2006/relationships/externalLink" Target="externalLinks/externalLink236.xml"/><Relationship Id="rId446" Type="http://schemas.openxmlformats.org/officeDocument/2006/relationships/externalLink" Target="externalLinks/externalLink443.xml"/><Relationship Id="rId653" Type="http://schemas.openxmlformats.org/officeDocument/2006/relationships/externalLink" Target="externalLinks/externalLink650.xml"/><Relationship Id="rId292" Type="http://schemas.openxmlformats.org/officeDocument/2006/relationships/externalLink" Target="externalLinks/externalLink289.xml"/><Relationship Id="rId306" Type="http://schemas.openxmlformats.org/officeDocument/2006/relationships/externalLink" Target="externalLinks/externalLink303.xml"/><Relationship Id="rId87" Type="http://schemas.openxmlformats.org/officeDocument/2006/relationships/externalLink" Target="externalLinks/externalLink84.xml"/><Relationship Id="rId513" Type="http://schemas.openxmlformats.org/officeDocument/2006/relationships/externalLink" Target="externalLinks/externalLink510.xml"/><Relationship Id="rId597" Type="http://schemas.openxmlformats.org/officeDocument/2006/relationships/externalLink" Target="externalLinks/externalLink594.xml"/><Relationship Id="rId152" Type="http://schemas.openxmlformats.org/officeDocument/2006/relationships/externalLink" Target="externalLinks/externalLink149.xml"/><Relationship Id="rId457" Type="http://schemas.openxmlformats.org/officeDocument/2006/relationships/externalLink" Target="externalLinks/externalLink454.xml"/><Relationship Id="rId664" Type="http://schemas.openxmlformats.org/officeDocument/2006/relationships/externalLink" Target="externalLinks/externalLink661.xml"/><Relationship Id="rId14" Type="http://schemas.openxmlformats.org/officeDocument/2006/relationships/externalLink" Target="externalLinks/externalLink11.xml"/><Relationship Id="rId317" Type="http://schemas.openxmlformats.org/officeDocument/2006/relationships/externalLink" Target="externalLinks/externalLink314.xml"/><Relationship Id="rId524" Type="http://schemas.openxmlformats.org/officeDocument/2006/relationships/externalLink" Target="externalLinks/externalLink521.xml"/><Relationship Id="rId98" Type="http://schemas.openxmlformats.org/officeDocument/2006/relationships/externalLink" Target="externalLinks/externalLink95.xml"/><Relationship Id="rId163" Type="http://schemas.openxmlformats.org/officeDocument/2006/relationships/externalLink" Target="externalLinks/externalLink160.xml"/><Relationship Id="rId370" Type="http://schemas.openxmlformats.org/officeDocument/2006/relationships/externalLink" Target="externalLinks/externalLink367.xml"/><Relationship Id="rId230" Type="http://schemas.openxmlformats.org/officeDocument/2006/relationships/externalLink" Target="externalLinks/externalLink227.xml"/><Relationship Id="rId468" Type="http://schemas.openxmlformats.org/officeDocument/2006/relationships/externalLink" Target="externalLinks/externalLink465.xml"/><Relationship Id="rId675" Type="http://schemas.openxmlformats.org/officeDocument/2006/relationships/externalLink" Target="externalLinks/externalLink672.xml"/><Relationship Id="rId25" Type="http://schemas.openxmlformats.org/officeDocument/2006/relationships/externalLink" Target="externalLinks/externalLink22.xml"/><Relationship Id="rId328" Type="http://schemas.openxmlformats.org/officeDocument/2006/relationships/externalLink" Target="externalLinks/externalLink325.xml"/><Relationship Id="rId535" Type="http://schemas.openxmlformats.org/officeDocument/2006/relationships/externalLink" Target="externalLinks/externalLink532.xml"/><Relationship Id="rId174" Type="http://schemas.openxmlformats.org/officeDocument/2006/relationships/externalLink" Target="externalLinks/externalLink171.xml"/><Relationship Id="rId381" Type="http://schemas.openxmlformats.org/officeDocument/2006/relationships/externalLink" Target="externalLinks/externalLink378.xml"/><Relationship Id="rId602" Type="http://schemas.openxmlformats.org/officeDocument/2006/relationships/externalLink" Target="externalLinks/externalLink599.xml"/><Relationship Id="rId241" Type="http://schemas.openxmlformats.org/officeDocument/2006/relationships/externalLink" Target="externalLinks/externalLink238.xml"/><Relationship Id="rId479" Type="http://schemas.openxmlformats.org/officeDocument/2006/relationships/externalLink" Target="externalLinks/externalLink476.xml"/><Relationship Id="rId36" Type="http://schemas.openxmlformats.org/officeDocument/2006/relationships/externalLink" Target="externalLinks/externalLink33.xml"/><Relationship Id="rId339" Type="http://schemas.openxmlformats.org/officeDocument/2006/relationships/externalLink" Target="externalLinks/externalLink336.xml"/><Relationship Id="rId546" Type="http://schemas.openxmlformats.org/officeDocument/2006/relationships/externalLink" Target="externalLinks/externalLink543.xml"/><Relationship Id="rId101" Type="http://schemas.openxmlformats.org/officeDocument/2006/relationships/externalLink" Target="externalLinks/externalLink98.xml"/><Relationship Id="rId185" Type="http://schemas.openxmlformats.org/officeDocument/2006/relationships/externalLink" Target="externalLinks/externalLink182.xml"/><Relationship Id="rId406" Type="http://schemas.openxmlformats.org/officeDocument/2006/relationships/externalLink" Target="externalLinks/externalLink403.xml"/><Relationship Id="rId392" Type="http://schemas.openxmlformats.org/officeDocument/2006/relationships/externalLink" Target="externalLinks/externalLink389.xml"/><Relationship Id="rId613" Type="http://schemas.openxmlformats.org/officeDocument/2006/relationships/externalLink" Target="externalLinks/externalLink610.xml"/><Relationship Id="rId252" Type="http://schemas.openxmlformats.org/officeDocument/2006/relationships/externalLink" Target="externalLinks/externalLink249.xml"/><Relationship Id="rId47" Type="http://schemas.openxmlformats.org/officeDocument/2006/relationships/externalLink" Target="externalLinks/externalLink44.xml"/><Relationship Id="rId112" Type="http://schemas.openxmlformats.org/officeDocument/2006/relationships/externalLink" Target="externalLinks/externalLink109.xml"/><Relationship Id="rId557" Type="http://schemas.openxmlformats.org/officeDocument/2006/relationships/externalLink" Target="externalLinks/externalLink554.xml"/><Relationship Id="rId196" Type="http://schemas.openxmlformats.org/officeDocument/2006/relationships/externalLink" Target="externalLinks/externalLink193.xml"/><Relationship Id="rId417" Type="http://schemas.openxmlformats.org/officeDocument/2006/relationships/externalLink" Target="externalLinks/externalLink414.xml"/><Relationship Id="rId624" Type="http://schemas.openxmlformats.org/officeDocument/2006/relationships/externalLink" Target="externalLinks/externalLink621.xml"/><Relationship Id="rId263" Type="http://schemas.openxmlformats.org/officeDocument/2006/relationships/externalLink" Target="externalLinks/externalLink260.xml"/><Relationship Id="rId470" Type="http://schemas.openxmlformats.org/officeDocument/2006/relationships/externalLink" Target="externalLinks/externalLink467.xml"/><Relationship Id="rId58" Type="http://schemas.openxmlformats.org/officeDocument/2006/relationships/externalLink" Target="externalLinks/externalLink55.xml"/><Relationship Id="rId123" Type="http://schemas.openxmlformats.org/officeDocument/2006/relationships/externalLink" Target="externalLinks/externalLink120.xml"/><Relationship Id="rId330" Type="http://schemas.openxmlformats.org/officeDocument/2006/relationships/externalLink" Target="externalLinks/externalLink327.xml"/><Relationship Id="rId568" Type="http://schemas.openxmlformats.org/officeDocument/2006/relationships/externalLink" Target="externalLinks/externalLink565.xml"/><Relationship Id="rId428" Type="http://schemas.openxmlformats.org/officeDocument/2006/relationships/externalLink" Target="externalLinks/externalLink425.xml"/><Relationship Id="rId635" Type="http://schemas.openxmlformats.org/officeDocument/2006/relationships/externalLink" Target="externalLinks/externalLink632.xml"/><Relationship Id="rId274" Type="http://schemas.openxmlformats.org/officeDocument/2006/relationships/externalLink" Target="externalLinks/externalLink271.xml"/><Relationship Id="rId481" Type="http://schemas.openxmlformats.org/officeDocument/2006/relationships/externalLink" Target="externalLinks/externalLink478.xml"/><Relationship Id="rId69" Type="http://schemas.openxmlformats.org/officeDocument/2006/relationships/externalLink" Target="externalLinks/externalLink66.xml"/><Relationship Id="rId134" Type="http://schemas.openxmlformats.org/officeDocument/2006/relationships/externalLink" Target="externalLinks/externalLink131.xml"/><Relationship Id="rId579" Type="http://schemas.openxmlformats.org/officeDocument/2006/relationships/externalLink" Target="externalLinks/externalLink576.xml"/><Relationship Id="rId341" Type="http://schemas.openxmlformats.org/officeDocument/2006/relationships/externalLink" Target="externalLinks/externalLink338.xml"/><Relationship Id="rId439" Type="http://schemas.openxmlformats.org/officeDocument/2006/relationships/externalLink" Target="externalLinks/externalLink436.xml"/><Relationship Id="rId646" Type="http://schemas.openxmlformats.org/officeDocument/2006/relationships/externalLink" Target="externalLinks/externalLink643.xml"/><Relationship Id="rId201" Type="http://schemas.openxmlformats.org/officeDocument/2006/relationships/externalLink" Target="externalLinks/externalLink198.xml"/><Relationship Id="rId285" Type="http://schemas.openxmlformats.org/officeDocument/2006/relationships/externalLink" Target="externalLinks/externalLink282.xml"/><Relationship Id="rId506" Type="http://schemas.openxmlformats.org/officeDocument/2006/relationships/externalLink" Target="externalLinks/externalLink503.xml"/><Relationship Id="rId492" Type="http://schemas.openxmlformats.org/officeDocument/2006/relationships/externalLink" Target="externalLinks/externalLink489.xml"/><Relationship Id="rId91" Type="http://schemas.openxmlformats.org/officeDocument/2006/relationships/externalLink" Target="externalLinks/externalLink88.xml"/><Relationship Id="rId145" Type="http://schemas.openxmlformats.org/officeDocument/2006/relationships/externalLink" Target="externalLinks/externalLink142.xml"/><Relationship Id="rId187" Type="http://schemas.openxmlformats.org/officeDocument/2006/relationships/externalLink" Target="externalLinks/externalLink184.xml"/><Relationship Id="rId352" Type="http://schemas.openxmlformats.org/officeDocument/2006/relationships/externalLink" Target="externalLinks/externalLink349.xml"/><Relationship Id="rId394" Type="http://schemas.openxmlformats.org/officeDocument/2006/relationships/externalLink" Target="externalLinks/externalLink391.xml"/><Relationship Id="rId408" Type="http://schemas.openxmlformats.org/officeDocument/2006/relationships/externalLink" Target="externalLinks/externalLink405.xml"/><Relationship Id="rId615" Type="http://schemas.openxmlformats.org/officeDocument/2006/relationships/externalLink" Target="externalLinks/externalLink612.xml"/><Relationship Id="rId212" Type="http://schemas.openxmlformats.org/officeDocument/2006/relationships/externalLink" Target="externalLinks/externalLink209.xml"/><Relationship Id="rId254" Type="http://schemas.openxmlformats.org/officeDocument/2006/relationships/externalLink" Target="externalLinks/externalLink251.xml"/><Relationship Id="rId657" Type="http://schemas.openxmlformats.org/officeDocument/2006/relationships/externalLink" Target="externalLinks/externalLink654.xml"/><Relationship Id="rId49" Type="http://schemas.openxmlformats.org/officeDocument/2006/relationships/externalLink" Target="externalLinks/externalLink46.xml"/><Relationship Id="rId114" Type="http://schemas.openxmlformats.org/officeDocument/2006/relationships/externalLink" Target="externalLinks/externalLink111.xml"/><Relationship Id="rId296" Type="http://schemas.openxmlformats.org/officeDocument/2006/relationships/externalLink" Target="externalLinks/externalLink293.xml"/><Relationship Id="rId461" Type="http://schemas.openxmlformats.org/officeDocument/2006/relationships/externalLink" Target="externalLinks/externalLink458.xml"/><Relationship Id="rId517" Type="http://schemas.openxmlformats.org/officeDocument/2006/relationships/externalLink" Target="externalLinks/externalLink514.xml"/><Relationship Id="rId559" Type="http://schemas.openxmlformats.org/officeDocument/2006/relationships/externalLink" Target="externalLinks/externalLink556.xml"/><Relationship Id="rId60" Type="http://schemas.openxmlformats.org/officeDocument/2006/relationships/externalLink" Target="externalLinks/externalLink57.xml"/><Relationship Id="rId156" Type="http://schemas.openxmlformats.org/officeDocument/2006/relationships/externalLink" Target="externalLinks/externalLink153.xml"/><Relationship Id="rId198" Type="http://schemas.openxmlformats.org/officeDocument/2006/relationships/externalLink" Target="externalLinks/externalLink195.xml"/><Relationship Id="rId321" Type="http://schemas.openxmlformats.org/officeDocument/2006/relationships/externalLink" Target="externalLinks/externalLink318.xml"/><Relationship Id="rId363" Type="http://schemas.openxmlformats.org/officeDocument/2006/relationships/externalLink" Target="externalLinks/externalLink360.xml"/><Relationship Id="rId419" Type="http://schemas.openxmlformats.org/officeDocument/2006/relationships/externalLink" Target="externalLinks/externalLink416.xml"/><Relationship Id="rId570" Type="http://schemas.openxmlformats.org/officeDocument/2006/relationships/externalLink" Target="externalLinks/externalLink567.xml"/><Relationship Id="rId626" Type="http://schemas.openxmlformats.org/officeDocument/2006/relationships/externalLink" Target="externalLinks/externalLink623.xml"/><Relationship Id="rId223" Type="http://schemas.openxmlformats.org/officeDocument/2006/relationships/externalLink" Target="externalLinks/externalLink220.xml"/><Relationship Id="rId430" Type="http://schemas.openxmlformats.org/officeDocument/2006/relationships/externalLink" Target="externalLinks/externalLink427.xml"/><Relationship Id="rId668" Type="http://schemas.openxmlformats.org/officeDocument/2006/relationships/externalLink" Target="externalLinks/externalLink665.xml"/><Relationship Id="rId18" Type="http://schemas.openxmlformats.org/officeDocument/2006/relationships/externalLink" Target="externalLinks/externalLink15.xml"/><Relationship Id="rId265" Type="http://schemas.openxmlformats.org/officeDocument/2006/relationships/externalLink" Target="externalLinks/externalLink262.xml"/><Relationship Id="rId472" Type="http://schemas.openxmlformats.org/officeDocument/2006/relationships/externalLink" Target="externalLinks/externalLink469.xml"/><Relationship Id="rId528" Type="http://schemas.openxmlformats.org/officeDocument/2006/relationships/externalLink" Target="externalLinks/externalLink525.xml"/><Relationship Id="rId125" Type="http://schemas.openxmlformats.org/officeDocument/2006/relationships/externalLink" Target="externalLinks/externalLink122.xml"/><Relationship Id="rId167" Type="http://schemas.openxmlformats.org/officeDocument/2006/relationships/externalLink" Target="externalLinks/externalLink164.xml"/><Relationship Id="rId332" Type="http://schemas.openxmlformats.org/officeDocument/2006/relationships/externalLink" Target="externalLinks/externalLink329.xml"/><Relationship Id="rId374" Type="http://schemas.openxmlformats.org/officeDocument/2006/relationships/externalLink" Target="externalLinks/externalLink371.xml"/><Relationship Id="rId581" Type="http://schemas.openxmlformats.org/officeDocument/2006/relationships/externalLink" Target="externalLinks/externalLink578.xml"/><Relationship Id="rId71" Type="http://schemas.openxmlformats.org/officeDocument/2006/relationships/externalLink" Target="externalLinks/externalLink68.xml"/><Relationship Id="rId234" Type="http://schemas.openxmlformats.org/officeDocument/2006/relationships/externalLink" Target="externalLinks/externalLink231.xml"/><Relationship Id="rId637" Type="http://schemas.openxmlformats.org/officeDocument/2006/relationships/externalLink" Target="externalLinks/externalLink634.xml"/><Relationship Id="rId679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6.xml"/><Relationship Id="rId276" Type="http://schemas.openxmlformats.org/officeDocument/2006/relationships/externalLink" Target="externalLinks/externalLink273.xml"/><Relationship Id="rId441" Type="http://schemas.openxmlformats.org/officeDocument/2006/relationships/externalLink" Target="externalLinks/externalLink438.xml"/><Relationship Id="rId483" Type="http://schemas.openxmlformats.org/officeDocument/2006/relationships/externalLink" Target="externalLinks/externalLink480.xml"/><Relationship Id="rId539" Type="http://schemas.openxmlformats.org/officeDocument/2006/relationships/externalLink" Target="externalLinks/externalLink536.xml"/><Relationship Id="rId40" Type="http://schemas.openxmlformats.org/officeDocument/2006/relationships/externalLink" Target="externalLinks/externalLink37.xml"/><Relationship Id="rId136" Type="http://schemas.openxmlformats.org/officeDocument/2006/relationships/externalLink" Target="externalLinks/externalLink133.xml"/><Relationship Id="rId178" Type="http://schemas.openxmlformats.org/officeDocument/2006/relationships/externalLink" Target="externalLinks/externalLink175.xml"/><Relationship Id="rId301" Type="http://schemas.openxmlformats.org/officeDocument/2006/relationships/externalLink" Target="externalLinks/externalLink298.xml"/><Relationship Id="rId343" Type="http://schemas.openxmlformats.org/officeDocument/2006/relationships/externalLink" Target="externalLinks/externalLink340.xml"/><Relationship Id="rId550" Type="http://schemas.openxmlformats.org/officeDocument/2006/relationships/externalLink" Target="externalLinks/externalLink547.xml"/><Relationship Id="rId82" Type="http://schemas.openxmlformats.org/officeDocument/2006/relationships/externalLink" Target="externalLinks/externalLink79.xml"/><Relationship Id="rId203" Type="http://schemas.openxmlformats.org/officeDocument/2006/relationships/externalLink" Target="externalLinks/externalLink200.xml"/><Relationship Id="rId385" Type="http://schemas.openxmlformats.org/officeDocument/2006/relationships/externalLink" Target="externalLinks/externalLink382.xml"/><Relationship Id="rId592" Type="http://schemas.openxmlformats.org/officeDocument/2006/relationships/externalLink" Target="externalLinks/externalLink589.xml"/><Relationship Id="rId606" Type="http://schemas.openxmlformats.org/officeDocument/2006/relationships/externalLink" Target="externalLinks/externalLink603.xml"/><Relationship Id="rId648" Type="http://schemas.openxmlformats.org/officeDocument/2006/relationships/externalLink" Target="externalLinks/externalLink645.xml"/><Relationship Id="rId245" Type="http://schemas.openxmlformats.org/officeDocument/2006/relationships/externalLink" Target="externalLinks/externalLink242.xml"/><Relationship Id="rId287" Type="http://schemas.openxmlformats.org/officeDocument/2006/relationships/externalLink" Target="externalLinks/externalLink284.xml"/><Relationship Id="rId410" Type="http://schemas.openxmlformats.org/officeDocument/2006/relationships/externalLink" Target="externalLinks/externalLink407.xml"/><Relationship Id="rId452" Type="http://schemas.openxmlformats.org/officeDocument/2006/relationships/externalLink" Target="externalLinks/externalLink449.xml"/><Relationship Id="rId494" Type="http://schemas.openxmlformats.org/officeDocument/2006/relationships/externalLink" Target="externalLinks/externalLink491.xml"/><Relationship Id="rId508" Type="http://schemas.openxmlformats.org/officeDocument/2006/relationships/externalLink" Target="externalLinks/externalLink505.xml"/><Relationship Id="rId105" Type="http://schemas.openxmlformats.org/officeDocument/2006/relationships/externalLink" Target="externalLinks/externalLink102.xml"/><Relationship Id="rId147" Type="http://schemas.openxmlformats.org/officeDocument/2006/relationships/externalLink" Target="externalLinks/externalLink144.xml"/><Relationship Id="rId312" Type="http://schemas.openxmlformats.org/officeDocument/2006/relationships/externalLink" Target="externalLinks/externalLink309.xml"/><Relationship Id="rId354" Type="http://schemas.openxmlformats.org/officeDocument/2006/relationships/externalLink" Target="externalLinks/externalLink351.xml"/><Relationship Id="rId51" Type="http://schemas.openxmlformats.org/officeDocument/2006/relationships/externalLink" Target="externalLinks/externalLink48.xml"/><Relationship Id="rId93" Type="http://schemas.openxmlformats.org/officeDocument/2006/relationships/externalLink" Target="externalLinks/externalLink90.xml"/><Relationship Id="rId189" Type="http://schemas.openxmlformats.org/officeDocument/2006/relationships/externalLink" Target="externalLinks/externalLink186.xml"/><Relationship Id="rId396" Type="http://schemas.openxmlformats.org/officeDocument/2006/relationships/externalLink" Target="externalLinks/externalLink393.xml"/><Relationship Id="rId561" Type="http://schemas.openxmlformats.org/officeDocument/2006/relationships/externalLink" Target="externalLinks/externalLink558.xml"/><Relationship Id="rId617" Type="http://schemas.openxmlformats.org/officeDocument/2006/relationships/externalLink" Target="externalLinks/externalLink614.xml"/><Relationship Id="rId659" Type="http://schemas.openxmlformats.org/officeDocument/2006/relationships/externalLink" Target="externalLinks/externalLink656.xml"/><Relationship Id="rId214" Type="http://schemas.openxmlformats.org/officeDocument/2006/relationships/externalLink" Target="externalLinks/externalLink211.xml"/><Relationship Id="rId256" Type="http://schemas.openxmlformats.org/officeDocument/2006/relationships/externalLink" Target="externalLinks/externalLink253.xml"/><Relationship Id="rId298" Type="http://schemas.openxmlformats.org/officeDocument/2006/relationships/externalLink" Target="externalLinks/externalLink295.xml"/><Relationship Id="rId421" Type="http://schemas.openxmlformats.org/officeDocument/2006/relationships/externalLink" Target="externalLinks/externalLink418.xml"/><Relationship Id="rId463" Type="http://schemas.openxmlformats.org/officeDocument/2006/relationships/externalLink" Target="externalLinks/externalLink460.xml"/><Relationship Id="rId519" Type="http://schemas.openxmlformats.org/officeDocument/2006/relationships/externalLink" Target="externalLinks/externalLink516.xml"/><Relationship Id="rId670" Type="http://schemas.openxmlformats.org/officeDocument/2006/relationships/externalLink" Target="externalLinks/externalLink667.xml"/><Relationship Id="rId116" Type="http://schemas.openxmlformats.org/officeDocument/2006/relationships/externalLink" Target="externalLinks/externalLink113.xml"/><Relationship Id="rId158" Type="http://schemas.openxmlformats.org/officeDocument/2006/relationships/externalLink" Target="externalLinks/externalLink155.xml"/><Relationship Id="rId323" Type="http://schemas.openxmlformats.org/officeDocument/2006/relationships/externalLink" Target="externalLinks/externalLink320.xml"/><Relationship Id="rId530" Type="http://schemas.openxmlformats.org/officeDocument/2006/relationships/externalLink" Target="externalLinks/externalLink527.xml"/><Relationship Id="rId20" Type="http://schemas.openxmlformats.org/officeDocument/2006/relationships/externalLink" Target="externalLinks/externalLink17.xml"/><Relationship Id="rId62" Type="http://schemas.openxmlformats.org/officeDocument/2006/relationships/externalLink" Target="externalLinks/externalLink59.xml"/><Relationship Id="rId365" Type="http://schemas.openxmlformats.org/officeDocument/2006/relationships/externalLink" Target="externalLinks/externalLink362.xml"/><Relationship Id="rId572" Type="http://schemas.openxmlformats.org/officeDocument/2006/relationships/externalLink" Target="externalLinks/externalLink569.xml"/><Relationship Id="rId628" Type="http://schemas.openxmlformats.org/officeDocument/2006/relationships/externalLink" Target="externalLinks/externalLink625.xml"/><Relationship Id="rId225" Type="http://schemas.openxmlformats.org/officeDocument/2006/relationships/externalLink" Target="externalLinks/externalLink222.xml"/><Relationship Id="rId267" Type="http://schemas.openxmlformats.org/officeDocument/2006/relationships/externalLink" Target="externalLinks/externalLink264.xml"/><Relationship Id="rId432" Type="http://schemas.openxmlformats.org/officeDocument/2006/relationships/externalLink" Target="externalLinks/externalLink429.xml"/><Relationship Id="rId474" Type="http://schemas.openxmlformats.org/officeDocument/2006/relationships/externalLink" Target="externalLinks/externalLink471.xml"/><Relationship Id="rId127" Type="http://schemas.openxmlformats.org/officeDocument/2006/relationships/externalLink" Target="externalLinks/externalLink124.xml"/><Relationship Id="rId681" Type="http://schemas.openxmlformats.org/officeDocument/2006/relationships/sharedStrings" Target="sharedStrings.xml"/><Relationship Id="rId31" Type="http://schemas.openxmlformats.org/officeDocument/2006/relationships/externalLink" Target="externalLinks/externalLink28.xml"/><Relationship Id="rId73" Type="http://schemas.openxmlformats.org/officeDocument/2006/relationships/externalLink" Target="externalLinks/externalLink70.xml"/><Relationship Id="rId169" Type="http://schemas.openxmlformats.org/officeDocument/2006/relationships/externalLink" Target="externalLinks/externalLink166.xml"/><Relationship Id="rId334" Type="http://schemas.openxmlformats.org/officeDocument/2006/relationships/externalLink" Target="externalLinks/externalLink331.xml"/><Relationship Id="rId376" Type="http://schemas.openxmlformats.org/officeDocument/2006/relationships/externalLink" Target="externalLinks/externalLink373.xml"/><Relationship Id="rId541" Type="http://schemas.openxmlformats.org/officeDocument/2006/relationships/externalLink" Target="externalLinks/externalLink538.xml"/><Relationship Id="rId583" Type="http://schemas.openxmlformats.org/officeDocument/2006/relationships/externalLink" Target="externalLinks/externalLink580.xml"/><Relationship Id="rId639" Type="http://schemas.openxmlformats.org/officeDocument/2006/relationships/externalLink" Target="externalLinks/externalLink636.xml"/><Relationship Id="rId4" Type="http://schemas.openxmlformats.org/officeDocument/2006/relationships/externalLink" Target="externalLinks/externalLink1.xml"/><Relationship Id="rId180" Type="http://schemas.openxmlformats.org/officeDocument/2006/relationships/externalLink" Target="externalLinks/externalLink177.xml"/><Relationship Id="rId236" Type="http://schemas.openxmlformats.org/officeDocument/2006/relationships/externalLink" Target="externalLinks/externalLink233.xml"/><Relationship Id="rId278" Type="http://schemas.openxmlformats.org/officeDocument/2006/relationships/externalLink" Target="externalLinks/externalLink275.xml"/><Relationship Id="rId401" Type="http://schemas.openxmlformats.org/officeDocument/2006/relationships/externalLink" Target="externalLinks/externalLink398.xml"/><Relationship Id="rId443" Type="http://schemas.openxmlformats.org/officeDocument/2006/relationships/externalLink" Target="externalLinks/externalLink440.xml"/><Relationship Id="rId650" Type="http://schemas.openxmlformats.org/officeDocument/2006/relationships/externalLink" Target="externalLinks/externalLink647.xml"/><Relationship Id="rId303" Type="http://schemas.openxmlformats.org/officeDocument/2006/relationships/externalLink" Target="externalLinks/externalLink300.xml"/><Relationship Id="rId485" Type="http://schemas.openxmlformats.org/officeDocument/2006/relationships/externalLink" Target="externalLinks/externalLink482.xml"/><Relationship Id="rId42" Type="http://schemas.openxmlformats.org/officeDocument/2006/relationships/externalLink" Target="externalLinks/externalLink39.xml"/><Relationship Id="rId84" Type="http://schemas.openxmlformats.org/officeDocument/2006/relationships/externalLink" Target="externalLinks/externalLink81.xml"/><Relationship Id="rId138" Type="http://schemas.openxmlformats.org/officeDocument/2006/relationships/externalLink" Target="externalLinks/externalLink135.xml"/><Relationship Id="rId345" Type="http://schemas.openxmlformats.org/officeDocument/2006/relationships/externalLink" Target="externalLinks/externalLink342.xml"/><Relationship Id="rId387" Type="http://schemas.openxmlformats.org/officeDocument/2006/relationships/externalLink" Target="externalLinks/externalLink384.xml"/><Relationship Id="rId510" Type="http://schemas.openxmlformats.org/officeDocument/2006/relationships/externalLink" Target="externalLinks/externalLink507.xml"/><Relationship Id="rId552" Type="http://schemas.openxmlformats.org/officeDocument/2006/relationships/externalLink" Target="externalLinks/externalLink549.xml"/><Relationship Id="rId594" Type="http://schemas.openxmlformats.org/officeDocument/2006/relationships/externalLink" Target="externalLinks/externalLink591.xml"/><Relationship Id="rId608" Type="http://schemas.openxmlformats.org/officeDocument/2006/relationships/externalLink" Target="externalLinks/externalLink605.xml"/><Relationship Id="rId191" Type="http://schemas.openxmlformats.org/officeDocument/2006/relationships/externalLink" Target="externalLinks/externalLink188.xml"/><Relationship Id="rId205" Type="http://schemas.openxmlformats.org/officeDocument/2006/relationships/externalLink" Target="externalLinks/externalLink202.xml"/><Relationship Id="rId247" Type="http://schemas.openxmlformats.org/officeDocument/2006/relationships/externalLink" Target="externalLinks/externalLink244.xml"/><Relationship Id="rId412" Type="http://schemas.openxmlformats.org/officeDocument/2006/relationships/externalLink" Target="externalLinks/externalLink409.xml"/><Relationship Id="rId107" Type="http://schemas.openxmlformats.org/officeDocument/2006/relationships/externalLink" Target="externalLinks/externalLink104.xml"/><Relationship Id="rId289" Type="http://schemas.openxmlformats.org/officeDocument/2006/relationships/externalLink" Target="externalLinks/externalLink286.xml"/><Relationship Id="rId454" Type="http://schemas.openxmlformats.org/officeDocument/2006/relationships/externalLink" Target="externalLinks/externalLink451.xml"/><Relationship Id="rId496" Type="http://schemas.openxmlformats.org/officeDocument/2006/relationships/externalLink" Target="externalLinks/externalLink493.xml"/><Relationship Id="rId661" Type="http://schemas.openxmlformats.org/officeDocument/2006/relationships/externalLink" Target="externalLinks/externalLink658.xml"/><Relationship Id="rId11" Type="http://schemas.openxmlformats.org/officeDocument/2006/relationships/externalLink" Target="externalLinks/externalLink8.xml"/><Relationship Id="rId53" Type="http://schemas.openxmlformats.org/officeDocument/2006/relationships/externalLink" Target="externalLinks/externalLink50.xml"/><Relationship Id="rId149" Type="http://schemas.openxmlformats.org/officeDocument/2006/relationships/externalLink" Target="externalLinks/externalLink146.xml"/><Relationship Id="rId314" Type="http://schemas.openxmlformats.org/officeDocument/2006/relationships/externalLink" Target="externalLinks/externalLink311.xml"/><Relationship Id="rId356" Type="http://schemas.openxmlformats.org/officeDocument/2006/relationships/externalLink" Target="externalLinks/externalLink353.xml"/><Relationship Id="rId398" Type="http://schemas.openxmlformats.org/officeDocument/2006/relationships/externalLink" Target="externalLinks/externalLink395.xml"/><Relationship Id="rId521" Type="http://schemas.openxmlformats.org/officeDocument/2006/relationships/externalLink" Target="externalLinks/externalLink518.xml"/><Relationship Id="rId563" Type="http://schemas.openxmlformats.org/officeDocument/2006/relationships/externalLink" Target="externalLinks/externalLink560.xml"/><Relationship Id="rId619" Type="http://schemas.openxmlformats.org/officeDocument/2006/relationships/externalLink" Target="externalLinks/externalLink616.xml"/><Relationship Id="rId95" Type="http://schemas.openxmlformats.org/officeDocument/2006/relationships/externalLink" Target="externalLinks/externalLink92.xml"/><Relationship Id="rId160" Type="http://schemas.openxmlformats.org/officeDocument/2006/relationships/externalLink" Target="externalLinks/externalLink157.xml"/><Relationship Id="rId216" Type="http://schemas.openxmlformats.org/officeDocument/2006/relationships/externalLink" Target="externalLinks/externalLink213.xml"/><Relationship Id="rId423" Type="http://schemas.openxmlformats.org/officeDocument/2006/relationships/externalLink" Target="externalLinks/externalLink420.xml"/><Relationship Id="rId258" Type="http://schemas.openxmlformats.org/officeDocument/2006/relationships/externalLink" Target="externalLinks/externalLink255.xml"/><Relationship Id="rId465" Type="http://schemas.openxmlformats.org/officeDocument/2006/relationships/externalLink" Target="externalLinks/externalLink462.xml"/><Relationship Id="rId630" Type="http://schemas.openxmlformats.org/officeDocument/2006/relationships/externalLink" Target="externalLinks/externalLink627.xml"/><Relationship Id="rId672" Type="http://schemas.openxmlformats.org/officeDocument/2006/relationships/externalLink" Target="externalLinks/externalLink669.xml"/><Relationship Id="rId22" Type="http://schemas.openxmlformats.org/officeDocument/2006/relationships/externalLink" Target="externalLinks/externalLink19.xml"/><Relationship Id="rId64" Type="http://schemas.openxmlformats.org/officeDocument/2006/relationships/externalLink" Target="externalLinks/externalLink61.xml"/><Relationship Id="rId118" Type="http://schemas.openxmlformats.org/officeDocument/2006/relationships/externalLink" Target="externalLinks/externalLink115.xml"/><Relationship Id="rId325" Type="http://schemas.openxmlformats.org/officeDocument/2006/relationships/externalLink" Target="externalLinks/externalLink322.xml"/><Relationship Id="rId367" Type="http://schemas.openxmlformats.org/officeDocument/2006/relationships/externalLink" Target="externalLinks/externalLink364.xml"/><Relationship Id="rId532" Type="http://schemas.openxmlformats.org/officeDocument/2006/relationships/externalLink" Target="externalLinks/externalLink529.xml"/><Relationship Id="rId574" Type="http://schemas.openxmlformats.org/officeDocument/2006/relationships/externalLink" Target="externalLinks/externalLink571.xml"/><Relationship Id="rId171" Type="http://schemas.openxmlformats.org/officeDocument/2006/relationships/externalLink" Target="externalLinks/externalLink168.xml"/><Relationship Id="rId227" Type="http://schemas.openxmlformats.org/officeDocument/2006/relationships/externalLink" Target="externalLinks/externalLink224.xml"/><Relationship Id="rId269" Type="http://schemas.openxmlformats.org/officeDocument/2006/relationships/externalLink" Target="externalLinks/externalLink266.xml"/><Relationship Id="rId434" Type="http://schemas.openxmlformats.org/officeDocument/2006/relationships/externalLink" Target="externalLinks/externalLink431.xml"/><Relationship Id="rId476" Type="http://schemas.openxmlformats.org/officeDocument/2006/relationships/externalLink" Target="externalLinks/externalLink473.xml"/><Relationship Id="rId641" Type="http://schemas.openxmlformats.org/officeDocument/2006/relationships/externalLink" Target="externalLinks/externalLink638.xml"/><Relationship Id="rId33" Type="http://schemas.openxmlformats.org/officeDocument/2006/relationships/externalLink" Target="externalLinks/externalLink30.xml"/><Relationship Id="rId129" Type="http://schemas.openxmlformats.org/officeDocument/2006/relationships/externalLink" Target="externalLinks/externalLink126.xml"/><Relationship Id="rId280" Type="http://schemas.openxmlformats.org/officeDocument/2006/relationships/externalLink" Target="externalLinks/externalLink277.xml"/><Relationship Id="rId336" Type="http://schemas.openxmlformats.org/officeDocument/2006/relationships/externalLink" Target="externalLinks/externalLink333.xml"/><Relationship Id="rId501" Type="http://schemas.openxmlformats.org/officeDocument/2006/relationships/externalLink" Target="externalLinks/externalLink498.xml"/><Relationship Id="rId543" Type="http://schemas.openxmlformats.org/officeDocument/2006/relationships/externalLink" Target="externalLinks/externalLink540.xml"/><Relationship Id="rId75" Type="http://schemas.openxmlformats.org/officeDocument/2006/relationships/externalLink" Target="externalLinks/externalLink72.xml"/><Relationship Id="rId140" Type="http://schemas.openxmlformats.org/officeDocument/2006/relationships/externalLink" Target="externalLinks/externalLink137.xml"/><Relationship Id="rId182" Type="http://schemas.openxmlformats.org/officeDocument/2006/relationships/externalLink" Target="externalLinks/externalLink179.xml"/><Relationship Id="rId378" Type="http://schemas.openxmlformats.org/officeDocument/2006/relationships/externalLink" Target="externalLinks/externalLink375.xml"/><Relationship Id="rId403" Type="http://schemas.openxmlformats.org/officeDocument/2006/relationships/externalLink" Target="externalLinks/externalLink400.xml"/><Relationship Id="rId585" Type="http://schemas.openxmlformats.org/officeDocument/2006/relationships/externalLink" Target="externalLinks/externalLink582.xml"/><Relationship Id="rId6" Type="http://schemas.openxmlformats.org/officeDocument/2006/relationships/externalLink" Target="externalLinks/externalLink3.xml"/><Relationship Id="rId238" Type="http://schemas.openxmlformats.org/officeDocument/2006/relationships/externalLink" Target="externalLinks/externalLink235.xml"/><Relationship Id="rId445" Type="http://schemas.openxmlformats.org/officeDocument/2006/relationships/externalLink" Target="externalLinks/externalLink442.xml"/><Relationship Id="rId487" Type="http://schemas.openxmlformats.org/officeDocument/2006/relationships/externalLink" Target="externalLinks/externalLink484.xml"/><Relationship Id="rId610" Type="http://schemas.openxmlformats.org/officeDocument/2006/relationships/externalLink" Target="externalLinks/externalLink607.xml"/><Relationship Id="rId652" Type="http://schemas.openxmlformats.org/officeDocument/2006/relationships/externalLink" Target="externalLinks/externalLink649.xml"/><Relationship Id="rId291" Type="http://schemas.openxmlformats.org/officeDocument/2006/relationships/externalLink" Target="externalLinks/externalLink288.xml"/><Relationship Id="rId305" Type="http://schemas.openxmlformats.org/officeDocument/2006/relationships/externalLink" Target="externalLinks/externalLink302.xml"/><Relationship Id="rId347" Type="http://schemas.openxmlformats.org/officeDocument/2006/relationships/externalLink" Target="externalLinks/externalLink344.xml"/><Relationship Id="rId512" Type="http://schemas.openxmlformats.org/officeDocument/2006/relationships/externalLink" Target="externalLinks/externalLink509.xml"/><Relationship Id="rId44" Type="http://schemas.openxmlformats.org/officeDocument/2006/relationships/externalLink" Target="externalLinks/externalLink41.xml"/><Relationship Id="rId86" Type="http://schemas.openxmlformats.org/officeDocument/2006/relationships/externalLink" Target="externalLinks/externalLink83.xml"/><Relationship Id="rId151" Type="http://schemas.openxmlformats.org/officeDocument/2006/relationships/externalLink" Target="externalLinks/externalLink148.xml"/><Relationship Id="rId389" Type="http://schemas.openxmlformats.org/officeDocument/2006/relationships/externalLink" Target="externalLinks/externalLink386.xml"/><Relationship Id="rId554" Type="http://schemas.openxmlformats.org/officeDocument/2006/relationships/externalLink" Target="externalLinks/externalLink551.xml"/><Relationship Id="rId596" Type="http://schemas.openxmlformats.org/officeDocument/2006/relationships/externalLink" Target="externalLinks/externalLink593.xml"/><Relationship Id="rId193" Type="http://schemas.openxmlformats.org/officeDocument/2006/relationships/externalLink" Target="externalLinks/externalLink190.xml"/><Relationship Id="rId207" Type="http://schemas.openxmlformats.org/officeDocument/2006/relationships/externalLink" Target="externalLinks/externalLink204.xml"/><Relationship Id="rId249" Type="http://schemas.openxmlformats.org/officeDocument/2006/relationships/externalLink" Target="externalLinks/externalLink246.xml"/><Relationship Id="rId414" Type="http://schemas.openxmlformats.org/officeDocument/2006/relationships/externalLink" Target="externalLinks/externalLink411.xml"/><Relationship Id="rId456" Type="http://schemas.openxmlformats.org/officeDocument/2006/relationships/externalLink" Target="externalLinks/externalLink453.xml"/><Relationship Id="rId498" Type="http://schemas.openxmlformats.org/officeDocument/2006/relationships/externalLink" Target="externalLinks/externalLink495.xml"/><Relationship Id="rId621" Type="http://schemas.openxmlformats.org/officeDocument/2006/relationships/externalLink" Target="externalLinks/externalLink618.xml"/><Relationship Id="rId663" Type="http://schemas.openxmlformats.org/officeDocument/2006/relationships/externalLink" Target="externalLinks/externalLink660.xml"/><Relationship Id="rId13" Type="http://schemas.openxmlformats.org/officeDocument/2006/relationships/externalLink" Target="externalLinks/externalLink10.xml"/><Relationship Id="rId109" Type="http://schemas.openxmlformats.org/officeDocument/2006/relationships/externalLink" Target="externalLinks/externalLink106.xml"/><Relationship Id="rId260" Type="http://schemas.openxmlformats.org/officeDocument/2006/relationships/externalLink" Target="externalLinks/externalLink257.xml"/><Relationship Id="rId316" Type="http://schemas.openxmlformats.org/officeDocument/2006/relationships/externalLink" Target="externalLinks/externalLink313.xml"/><Relationship Id="rId523" Type="http://schemas.openxmlformats.org/officeDocument/2006/relationships/externalLink" Target="externalLinks/externalLink520.xml"/><Relationship Id="rId55" Type="http://schemas.openxmlformats.org/officeDocument/2006/relationships/externalLink" Target="externalLinks/externalLink52.xml"/><Relationship Id="rId97" Type="http://schemas.openxmlformats.org/officeDocument/2006/relationships/externalLink" Target="externalLinks/externalLink94.xml"/><Relationship Id="rId120" Type="http://schemas.openxmlformats.org/officeDocument/2006/relationships/externalLink" Target="externalLinks/externalLink117.xml"/><Relationship Id="rId358" Type="http://schemas.openxmlformats.org/officeDocument/2006/relationships/externalLink" Target="externalLinks/externalLink355.xml"/><Relationship Id="rId565" Type="http://schemas.openxmlformats.org/officeDocument/2006/relationships/externalLink" Target="externalLinks/externalLink562.xml"/><Relationship Id="rId162" Type="http://schemas.openxmlformats.org/officeDocument/2006/relationships/externalLink" Target="externalLinks/externalLink159.xml"/><Relationship Id="rId218" Type="http://schemas.openxmlformats.org/officeDocument/2006/relationships/externalLink" Target="externalLinks/externalLink215.xml"/><Relationship Id="rId425" Type="http://schemas.openxmlformats.org/officeDocument/2006/relationships/externalLink" Target="externalLinks/externalLink422.xml"/><Relationship Id="rId467" Type="http://schemas.openxmlformats.org/officeDocument/2006/relationships/externalLink" Target="externalLinks/externalLink464.xml"/><Relationship Id="rId632" Type="http://schemas.openxmlformats.org/officeDocument/2006/relationships/externalLink" Target="externalLinks/externalLink629.xml"/><Relationship Id="rId271" Type="http://schemas.openxmlformats.org/officeDocument/2006/relationships/externalLink" Target="externalLinks/externalLink268.xml"/><Relationship Id="rId674" Type="http://schemas.openxmlformats.org/officeDocument/2006/relationships/externalLink" Target="externalLinks/externalLink671.xml"/><Relationship Id="rId24" Type="http://schemas.openxmlformats.org/officeDocument/2006/relationships/externalLink" Target="externalLinks/externalLink21.xml"/><Relationship Id="rId66" Type="http://schemas.openxmlformats.org/officeDocument/2006/relationships/externalLink" Target="externalLinks/externalLink63.xml"/><Relationship Id="rId131" Type="http://schemas.openxmlformats.org/officeDocument/2006/relationships/externalLink" Target="externalLinks/externalLink128.xml"/><Relationship Id="rId327" Type="http://schemas.openxmlformats.org/officeDocument/2006/relationships/externalLink" Target="externalLinks/externalLink324.xml"/><Relationship Id="rId369" Type="http://schemas.openxmlformats.org/officeDocument/2006/relationships/externalLink" Target="externalLinks/externalLink366.xml"/><Relationship Id="rId534" Type="http://schemas.openxmlformats.org/officeDocument/2006/relationships/externalLink" Target="externalLinks/externalLink531.xml"/><Relationship Id="rId576" Type="http://schemas.openxmlformats.org/officeDocument/2006/relationships/externalLink" Target="externalLinks/externalLink573.xml"/><Relationship Id="rId173" Type="http://schemas.openxmlformats.org/officeDocument/2006/relationships/externalLink" Target="externalLinks/externalLink170.xml"/><Relationship Id="rId229" Type="http://schemas.openxmlformats.org/officeDocument/2006/relationships/externalLink" Target="externalLinks/externalLink226.xml"/><Relationship Id="rId380" Type="http://schemas.openxmlformats.org/officeDocument/2006/relationships/externalLink" Target="externalLinks/externalLink377.xml"/><Relationship Id="rId436" Type="http://schemas.openxmlformats.org/officeDocument/2006/relationships/externalLink" Target="externalLinks/externalLink433.xml"/><Relationship Id="rId601" Type="http://schemas.openxmlformats.org/officeDocument/2006/relationships/externalLink" Target="externalLinks/externalLink598.xml"/><Relationship Id="rId643" Type="http://schemas.openxmlformats.org/officeDocument/2006/relationships/externalLink" Target="externalLinks/externalLink640.xml"/><Relationship Id="rId240" Type="http://schemas.openxmlformats.org/officeDocument/2006/relationships/externalLink" Target="externalLinks/externalLink237.xml"/><Relationship Id="rId478" Type="http://schemas.openxmlformats.org/officeDocument/2006/relationships/externalLink" Target="externalLinks/externalLink475.xml"/><Relationship Id="rId35" Type="http://schemas.openxmlformats.org/officeDocument/2006/relationships/externalLink" Target="externalLinks/externalLink32.xml"/><Relationship Id="rId77" Type="http://schemas.openxmlformats.org/officeDocument/2006/relationships/externalLink" Target="externalLinks/externalLink74.xml"/><Relationship Id="rId100" Type="http://schemas.openxmlformats.org/officeDocument/2006/relationships/externalLink" Target="externalLinks/externalLink97.xml"/><Relationship Id="rId282" Type="http://schemas.openxmlformats.org/officeDocument/2006/relationships/externalLink" Target="externalLinks/externalLink279.xml"/><Relationship Id="rId338" Type="http://schemas.openxmlformats.org/officeDocument/2006/relationships/externalLink" Target="externalLinks/externalLink335.xml"/><Relationship Id="rId503" Type="http://schemas.openxmlformats.org/officeDocument/2006/relationships/externalLink" Target="externalLinks/externalLink500.xml"/><Relationship Id="rId545" Type="http://schemas.openxmlformats.org/officeDocument/2006/relationships/externalLink" Target="externalLinks/externalLink542.xml"/><Relationship Id="rId587" Type="http://schemas.openxmlformats.org/officeDocument/2006/relationships/externalLink" Target="externalLinks/externalLink584.xml"/><Relationship Id="rId8" Type="http://schemas.openxmlformats.org/officeDocument/2006/relationships/externalLink" Target="externalLinks/externalLink5.xml"/><Relationship Id="rId142" Type="http://schemas.openxmlformats.org/officeDocument/2006/relationships/externalLink" Target="externalLinks/externalLink139.xml"/><Relationship Id="rId184" Type="http://schemas.openxmlformats.org/officeDocument/2006/relationships/externalLink" Target="externalLinks/externalLink181.xml"/><Relationship Id="rId391" Type="http://schemas.openxmlformats.org/officeDocument/2006/relationships/externalLink" Target="externalLinks/externalLink388.xml"/><Relationship Id="rId405" Type="http://schemas.openxmlformats.org/officeDocument/2006/relationships/externalLink" Target="externalLinks/externalLink402.xml"/><Relationship Id="rId447" Type="http://schemas.openxmlformats.org/officeDocument/2006/relationships/externalLink" Target="externalLinks/externalLink444.xml"/><Relationship Id="rId612" Type="http://schemas.openxmlformats.org/officeDocument/2006/relationships/externalLink" Target="externalLinks/externalLink609.xml"/><Relationship Id="rId251" Type="http://schemas.openxmlformats.org/officeDocument/2006/relationships/externalLink" Target="externalLinks/externalLink248.xml"/><Relationship Id="rId489" Type="http://schemas.openxmlformats.org/officeDocument/2006/relationships/externalLink" Target="externalLinks/externalLink486.xml"/><Relationship Id="rId654" Type="http://schemas.openxmlformats.org/officeDocument/2006/relationships/externalLink" Target="externalLinks/externalLink651.xml"/><Relationship Id="rId46" Type="http://schemas.openxmlformats.org/officeDocument/2006/relationships/externalLink" Target="externalLinks/externalLink43.xml"/><Relationship Id="rId293" Type="http://schemas.openxmlformats.org/officeDocument/2006/relationships/externalLink" Target="externalLinks/externalLink290.xml"/><Relationship Id="rId307" Type="http://schemas.openxmlformats.org/officeDocument/2006/relationships/externalLink" Target="externalLinks/externalLink304.xml"/><Relationship Id="rId349" Type="http://schemas.openxmlformats.org/officeDocument/2006/relationships/externalLink" Target="externalLinks/externalLink346.xml"/><Relationship Id="rId514" Type="http://schemas.openxmlformats.org/officeDocument/2006/relationships/externalLink" Target="externalLinks/externalLink511.xml"/><Relationship Id="rId556" Type="http://schemas.openxmlformats.org/officeDocument/2006/relationships/externalLink" Target="externalLinks/externalLink553.xml"/><Relationship Id="rId88" Type="http://schemas.openxmlformats.org/officeDocument/2006/relationships/externalLink" Target="externalLinks/externalLink85.xml"/><Relationship Id="rId111" Type="http://schemas.openxmlformats.org/officeDocument/2006/relationships/externalLink" Target="externalLinks/externalLink108.xml"/><Relationship Id="rId153" Type="http://schemas.openxmlformats.org/officeDocument/2006/relationships/externalLink" Target="externalLinks/externalLink150.xml"/><Relationship Id="rId195" Type="http://schemas.openxmlformats.org/officeDocument/2006/relationships/externalLink" Target="externalLinks/externalLink192.xml"/><Relationship Id="rId209" Type="http://schemas.openxmlformats.org/officeDocument/2006/relationships/externalLink" Target="externalLinks/externalLink206.xml"/><Relationship Id="rId360" Type="http://schemas.openxmlformats.org/officeDocument/2006/relationships/externalLink" Target="externalLinks/externalLink357.xml"/><Relationship Id="rId416" Type="http://schemas.openxmlformats.org/officeDocument/2006/relationships/externalLink" Target="externalLinks/externalLink413.xml"/><Relationship Id="rId598" Type="http://schemas.openxmlformats.org/officeDocument/2006/relationships/externalLink" Target="externalLinks/externalLink595.xml"/><Relationship Id="rId220" Type="http://schemas.openxmlformats.org/officeDocument/2006/relationships/externalLink" Target="externalLinks/externalLink217.xml"/><Relationship Id="rId458" Type="http://schemas.openxmlformats.org/officeDocument/2006/relationships/externalLink" Target="externalLinks/externalLink455.xml"/><Relationship Id="rId623" Type="http://schemas.openxmlformats.org/officeDocument/2006/relationships/externalLink" Target="externalLinks/externalLink620.xml"/><Relationship Id="rId665" Type="http://schemas.openxmlformats.org/officeDocument/2006/relationships/externalLink" Target="externalLinks/externalLink662.xml"/><Relationship Id="rId15" Type="http://schemas.openxmlformats.org/officeDocument/2006/relationships/externalLink" Target="externalLinks/externalLink12.xml"/><Relationship Id="rId57" Type="http://schemas.openxmlformats.org/officeDocument/2006/relationships/externalLink" Target="externalLinks/externalLink54.xml"/><Relationship Id="rId262" Type="http://schemas.openxmlformats.org/officeDocument/2006/relationships/externalLink" Target="externalLinks/externalLink259.xml"/><Relationship Id="rId318" Type="http://schemas.openxmlformats.org/officeDocument/2006/relationships/externalLink" Target="externalLinks/externalLink315.xml"/><Relationship Id="rId525" Type="http://schemas.openxmlformats.org/officeDocument/2006/relationships/externalLink" Target="externalLinks/externalLink522.xml"/><Relationship Id="rId567" Type="http://schemas.openxmlformats.org/officeDocument/2006/relationships/externalLink" Target="externalLinks/externalLink564.xml"/><Relationship Id="rId99" Type="http://schemas.openxmlformats.org/officeDocument/2006/relationships/externalLink" Target="externalLinks/externalLink96.xml"/><Relationship Id="rId122" Type="http://schemas.openxmlformats.org/officeDocument/2006/relationships/externalLink" Target="externalLinks/externalLink119.xml"/><Relationship Id="rId164" Type="http://schemas.openxmlformats.org/officeDocument/2006/relationships/externalLink" Target="externalLinks/externalLink161.xml"/><Relationship Id="rId371" Type="http://schemas.openxmlformats.org/officeDocument/2006/relationships/externalLink" Target="externalLinks/externalLink368.xml"/><Relationship Id="rId427" Type="http://schemas.openxmlformats.org/officeDocument/2006/relationships/externalLink" Target="externalLinks/externalLink424.xml"/><Relationship Id="rId469" Type="http://schemas.openxmlformats.org/officeDocument/2006/relationships/externalLink" Target="externalLinks/externalLink466.xml"/><Relationship Id="rId634" Type="http://schemas.openxmlformats.org/officeDocument/2006/relationships/externalLink" Target="externalLinks/externalLink631.xml"/><Relationship Id="rId676" Type="http://schemas.openxmlformats.org/officeDocument/2006/relationships/externalLink" Target="externalLinks/externalLink673.xml"/><Relationship Id="rId26" Type="http://schemas.openxmlformats.org/officeDocument/2006/relationships/externalLink" Target="externalLinks/externalLink23.xml"/><Relationship Id="rId231" Type="http://schemas.openxmlformats.org/officeDocument/2006/relationships/externalLink" Target="externalLinks/externalLink228.xml"/><Relationship Id="rId273" Type="http://schemas.openxmlformats.org/officeDocument/2006/relationships/externalLink" Target="externalLinks/externalLink270.xml"/><Relationship Id="rId329" Type="http://schemas.openxmlformats.org/officeDocument/2006/relationships/externalLink" Target="externalLinks/externalLink326.xml"/><Relationship Id="rId480" Type="http://schemas.openxmlformats.org/officeDocument/2006/relationships/externalLink" Target="externalLinks/externalLink477.xml"/><Relationship Id="rId536" Type="http://schemas.openxmlformats.org/officeDocument/2006/relationships/externalLink" Target="externalLinks/externalLink533.xml"/><Relationship Id="rId68" Type="http://schemas.openxmlformats.org/officeDocument/2006/relationships/externalLink" Target="externalLinks/externalLink65.xml"/><Relationship Id="rId133" Type="http://schemas.openxmlformats.org/officeDocument/2006/relationships/externalLink" Target="externalLinks/externalLink130.xml"/><Relationship Id="rId175" Type="http://schemas.openxmlformats.org/officeDocument/2006/relationships/externalLink" Target="externalLinks/externalLink172.xml"/><Relationship Id="rId340" Type="http://schemas.openxmlformats.org/officeDocument/2006/relationships/externalLink" Target="externalLinks/externalLink337.xml"/><Relationship Id="rId578" Type="http://schemas.openxmlformats.org/officeDocument/2006/relationships/externalLink" Target="externalLinks/externalLink575.xml"/><Relationship Id="rId200" Type="http://schemas.openxmlformats.org/officeDocument/2006/relationships/externalLink" Target="externalLinks/externalLink197.xml"/><Relationship Id="rId382" Type="http://schemas.openxmlformats.org/officeDocument/2006/relationships/externalLink" Target="externalLinks/externalLink379.xml"/><Relationship Id="rId438" Type="http://schemas.openxmlformats.org/officeDocument/2006/relationships/externalLink" Target="externalLinks/externalLink435.xml"/><Relationship Id="rId603" Type="http://schemas.openxmlformats.org/officeDocument/2006/relationships/externalLink" Target="externalLinks/externalLink600.xml"/><Relationship Id="rId645" Type="http://schemas.openxmlformats.org/officeDocument/2006/relationships/externalLink" Target="externalLinks/externalLink642.xml"/><Relationship Id="rId242" Type="http://schemas.openxmlformats.org/officeDocument/2006/relationships/externalLink" Target="externalLinks/externalLink239.xml"/><Relationship Id="rId284" Type="http://schemas.openxmlformats.org/officeDocument/2006/relationships/externalLink" Target="externalLinks/externalLink281.xml"/><Relationship Id="rId491" Type="http://schemas.openxmlformats.org/officeDocument/2006/relationships/externalLink" Target="externalLinks/externalLink488.xml"/><Relationship Id="rId505" Type="http://schemas.openxmlformats.org/officeDocument/2006/relationships/externalLink" Target="externalLinks/externalLink502.xml"/><Relationship Id="rId37" Type="http://schemas.openxmlformats.org/officeDocument/2006/relationships/externalLink" Target="externalLinks/externalLink34.xml"/><Relationship Id="rId79" Type="http://schemas.openxmlformats.org/officeDocument/2006/relationships/externalLink" Target="externalLinks/externalLink76.xml"/><Relationship Id="rId102" Type="http://schemas.openxmlformats.org/officeDocument/2006/relationships/externalLink" Target="externalLinks/externalLink99.xml"/><Relationship Id="rId144" Type="http://schemas.openxmlformats.org/officeDocument/2006/relationships/externalLink" Target="externalLinks/externalLink141.xml"/><Relationship Id="rId547" Type="http://schemas.openxmlformats.org/officeDocument/2006/relationships/externalLink" Target="externalLinks/externalLink544.xml"/><Relationship Id="rId589" Type="http://schemas.openxmlformats.org/officeDocument/2006/relationships/externalLink" Target="externalLinks/externalLink586.xml"/><Relationship Id="rId90" Type="http://schemas.openxmlformats.org/officeDocument/2006/relationships/externalLink" Target="externalLinks/externalLink87.xml"/><Relationship Id="rId186" Type="http://schemas.openxmlformats.org/officeDocument/2006/relationships/externalLink" Target="externalLinks/externalLink183.xml"/><Relationship Id="rId351" Type="http://schemas.openxmlformats.org/officeDocument/2006/relationships/externalLink" Target="externalLinks/externalLink348.xml"/><Relationship Id="rId393" Type="http://schemas.openxmlformats.org/officeDocument/2006/relationships/externalLink" Target="externalLinks/externalLink390.xml"/><Relationship Id="rId407" Type="http://schemas.openxmlformats.org/officeDocument/2006/relationships/externalLink" Target="externalLinks/externalLink404.xml"/><Relationship Id="rId449" Type="http://schemas.openxmlformats.org/officeDocument/2006/relationships/externalLink" Target="externalLinks/externalLink446.xml"/><Relationship Id="rId614" Type="http://schemas.openxmlformats.org/officeDocument/2006/relationships/externalLink" Target="externalLinks/externalLink611.xml"/><Relationship Id="rId656" Type="http://schemas.openxmlformats.org/officeDocument/2006/relationships/externalLink" Target="externalLinks/externalLink653.xml"/><Relationship Id="rId211" Type="http://schemas.openxmlformats.org/officeDocument/2006/relationships/externalLink" Target="externalLinks/externalLink208.xml"/><Relationship Id="rId253" Type="http://schemas.openxmlformats.org/officeDocument/2006/relationships/externalLink" Target="externalLinks/externalLink250.xml"/><Relationship Id="rId295" Type="http://schemas.openxmlformats.org/officeDocument/2006/relationships/externalLink" Target="externalLinks/externalLink292.xml"/><Relationship Id="rId309" Type="http://schemas.openxmlformats.org/officeDocument/2006/relationships/externalLink" Target="externalLinks/externalLink306.xml"/><Relationship Id="rId460" Type="http://schemas.openxmlformats.org/officeDocument/2006/relationships/externalLink" Target="externalLinks/externalLink457.xml"/><Relationship Id="rId516" Type="http://schemas.openxmlformats.org/officeDocument/2006/relationships/externalLink" Target="externalLinks/externalLink513.xml"/><Relationship Id="rId48" Type="http://schemas.openxmlformats.org/officeDocument/2006/relationships/externalLink" Target="externalLinks/externalLink45.xml"/><Relationship Id="rId113" Type="http://schemas.openxmlformats.org/officeDocument/2006/relationships/externalLink" Target="externalLinks/externalLink110.xml"/><Relationship Id="rId320" Type="http://schemas.openxmlformats.org/officeDocument/2006/relationships/externalLink" Target="externalLinks/externalLink317.xml"/><Relationship Id="rId558" Type="http://schemas.openxmlformats.org/officeDocument/2006/relationships/externalLink" Target="externalLinks/externalLink555.xml"/><Relationship Id="rId155" Type="http://schemas.openxmlformats.org/officeDocument/2006/relationships/externalLink" Target="externalLinks/externalLink152.xml"/><Relationship Id="rId197" Type="http://schemas.openxmlformats.org/officeDocument/2006/relationships/externalLink" Target="externalLinks/externalLink194.xml"/><Relationship Id="rId362" Type="http://schemas.openxmlformats.org/officeDocument/2006/relationships/externalLink" Target="externalLinks/externalLink359.xml"/><Relationship Id="rId418" Type="http://schemas.openxmlformats.org/officeDocument/2006/relationships/externalLink" Target="externalLinks/externalLink415.xml"/><Relationship Id="rId625" Type="http://schemas.openxmlformats.org/officeDocument/2006/relationships/externalLink" Target="externalLinks/externalLink622.xml"/><Relationship Id="rId222" Type="http://schemas.openxmlformats.org/officeDocument/2006/relationships/externalLink" Target="externalLinks/externalLink219.xml"/><Relationship Id="rId264" Type="http://schemas.openxmlformats.org/officeDocument/2006/relationships/externalLink" Target="externalLinks/externalLink261.xml"/><Relationship Id="rId471" Type="http://schemas.openxmlformats.org/officeDocument/2006/relationships/externalLink" Target="externalLinks/externalLink468.xml"/><Relationship Id="rId667" Type="http://schemas.openxmlformats.org/officeDocument/2006/relationships/externalLink" Target="externalLinks/externalLink664.xml"/><Relationship Id="rId17" Type="http://schemas.openxmlformats.org/officeDocument/2006/relationships/externalLink" Target="externalLinks/externalLink14.xml"/><Relationship Id="rId59" Type="http://schemas.openxmlformats.org/officeDocument/2006/relationships/externalLink" Target="externalLinks/externalLink56.xml"/><Relationship Id="rId124" Type="http://schemas.openxmlformats.org/officeDocument/2006/relationships/externalLink" Target="externalLinks/externalLink121.xml"/><Relationship Id="rId527" Type="http://schemas.openxmlformats.org/officeDocument/2006/relationships/externalLink" Target="externalLinks/externalLink524.xml"/><Relationship Id="rId569" Type="http://schemas.openxmlformats.org/officeDocument/2006/relationships/externalLink" Target="externalLinks/externalLink566.xml"/><Relationship Id="rId70" Type="http://schemas.openxmlformats.org/officeDocument/2006/relationships/externalLink" Target="externalLinks/externalLink67.xml"/><Relationship Id="rId166" Type="http://schemas.openxmlformats.org/officeDocument/2006/relationships/externalLink" Target="externalLinks/externalLink163.xml"/><Relationship Id="rId331" Type="http://schemas.openxmlformats.org/officeDocument/2006/relationships/externalLink" Target="externalLinks/externalLink328.xml"/><Relationship Id="rId373" Type="http://schemas.openxmlformats.org/officeDocument/2006/relationships/externalLink" Target="externalLinks/externalLink370.xml"/><Relationship Id="rId429" Type="http://schemas.openxmlformats.org/officeDocument/2006/relationships/externalLink" Target="externalLinks/externalLink426.xml"/><Relationship Id="rId580" Type="http://schemas.openxmlformats.org/officeDocument/2006/relationships/externalLink" Target="externalLinks/externalLink577.xml"/><Relationship Id="rId636" Type="http://schemas.openxmlformats.org/officeDocument/2006/relationships/externalLink" Target="externalLinks/externalLink633.xml"/><Relationship Id="rId1" Type="http://schemas.openxmlformats.org/officeDocument/2006/relationships/worksheet" Target="worksheets/sheet1.xml"/><Relationship Id="rId233" Type="http://schemas.openxmlformats.org/officeDocument/2006/relationships/externalLink" Target="externalLinks/externalLink230.xml"/><Relationship Id="rId440" Type="http://schemas.openxmlformats.org/officeDocument/2006/relationships/externalLink" Target="externalLinks/externalLink437.xml"/><Relationship Id="rId678" Type="http://schemas.openxmlformats.org/officeDocument/2006/relationships/externalLink" Target="externalLinks/externalLink675.xml"/><Relationship Id="rId28" Type="http://schemas.openxmlformats.org/officeDocument/2006/relationships/externalLink" Target="externalLinks/externalLink25.xml"/><Relationship Id="rId275" Type="http://schemas.openxmlformats.org/officeDocument/2006/relationships/externalLink" Target="externalLinks/externalLink272.xml"/><Relationship Id="rId300" Type="http://schemas.openxmlformats.org/officeDocument/2006/relationships/externalLink" Target="externalLinks/externalLink297.xml"/><Relationship Id="rId482" Type="http://schemas.openxmlformats.org/officeDocument/2006/relationships/externalLink" Target="externalLinks/externalLink479.xml"/><Relationship Id="rId538" Type="http://schemas.openxmlformats.org/officeDocument/2006/relationships/externalLink" Target="externalLinks/externalLink535.xml"/><Relationship Id="rId81" Type="http://schemas.openxmlformats.org/officeDocument/2006/relationships/externalLink" Target="externalLinks/externalLink78.xml"/><Relationship Id="rId135" Type="http://schemas.openxmlformats.org/officeDocument/2006/relationships/externalLink" Target="externalLinks/externalLink132.xml"/><Relationship Id="rId177" Type="http://schemas.openxmlformats.org/officeDocument/2006/relationships/externalLink" Target="externalLinks/externalLink174.xml"/><Relationship Id="rId342" Type="http://schemas.openxmlformats.org/officeDocument/2006/relationships/externalLink" Target="externalLinks/externalLink339.xml"/><Relationship Id="rId384" Type="http://schemas.openxmlformats.org/officeDocument/2006/relationships/externalLink" Target="externalLinks/externalLink381.xml"/><Relationship Id="rId591" Type="http://schemas.openxmlformats.org/officeDocument/2006/relationships/externalLink" Target="externalLinks/externalLink588.xml"/><Relationship Id="rId605" Type="http://schemas.openxmlformats.org/officeDocument/2006/relationships/externalLink" Target="externalLinks/externalLink602.xml"/><Relationship Id="rId202" Type="http://schemas.openxmlformats.org/officeDocument/2006/relationships/externalLink" Target="externalLinks/externalLink199.xml"/><Relationship Id="rId244" Type="http://schemas.openxmlformats.org/officeDocument/2006/relationships/externalLink" Target="externalLinks/externalLink241.xml"/><Relationship Id="rId647" Type="http://schemas.openxmlformats.org/officeDocument/2006/relationships/externalLink" Target="externalLinks/externalLink644.xml"/><Relationship Id="rId39" Type="http://schemas.openxmlformats.org/officeDocument/2006/relationships/externalLink" Target="externalLinks/externalLink36.xml"/><Relationship Id="rId286" Type="http://schemas.openxmlformats.org/officeDocument/2006/relationships/externalLink" Target="externalLinks/externalLink283.xml"/><Relationship Id="rId451" Type="http://schemas.openxmlformats.org/officeDocument/2006/relationships/externalLink" Target="externalLinks/externalLink448.xml"/><Relationship Id="rId493" Type="http://schemas.openxmlformats.org/officeDocument/2006/relationships/externalLink" Target="externalLinks/externalLink490.xml"/><Relationship Id="rId507" Type="http://schemas.openxmlformats.org/officeDocument/2006/relationships/externalLink" Target="externalLinks/externalLink504.xml"/><Relationship Id="rId549" Type="http://schemas.openxmlformats.org/officeDocument/2006/relationships/externalLink" Target="externalLinks/externalLink546.xml"/><Relationship Id="rId50" Type="http://schemas.openxmlformats.org/officeDocument/2006/relationships/externalLink" Target="externalLinks/externalLink47.xml"/><Relationship Id="rId104" Type="http://schemas.openxmlformats.org/officeDocument/2006/relationships/externalLink" Target="externalLinks/externalLink101.xml"/><Relationship Id="rId146" Type="http://schemas.openxmlformats.org/officeDocument/2006/relationships/externalLink" Target="externalLinks/externalLink143.xml"/><Relationship Id="rId188" Type="http://schemas.openxmlformats.org/officeDocument/2006/relationships/externalLink" Target="externalLinks/externalLink185.xml"/><Relationship Id="rId311" Type="http://schemas.openxmlformats.org/officeDocument/2006/relationships/externalLink" Target="externalLinks/externalLink308.xml"/><Relationship Id="rId353" Type="http://schemas.openxmlformats.org/officeDocument/2006/relationships/externalLink" Target="externalLinks/externalLink350.xml"/><Relationship Id="rId395" Type="http://schemas.openxmlformats.org/officeDocument/2006/relationships/externalLink" Target="externalLinks/externalLink392.xml"/><Relationship Id="rId409" Type="http://schemas.openxmlformats.org/officeDocument/2006/relationships/externalLink" Target="externalLinks/externalLink406.xml"/><Relationship Id="rId560" Type="http://schemas.openxmlformats.org/officeDocument/2006/relationships/externalLink" Target="externalLinks/externalLink557.xml"/><Relationship Id="rId92" Type="http://schemas.openxmlformats.org/officeDocument/2006/relationships/externalLink" Target="externalLinks/externalLink89.xml"/><Relationship Id="rId213" Type="http://schemas.openxmlformats.org/officeDocument/2006/relationships/externalLink" Target="externalLinks/externalLink210.xml"/><Relationship Id="rId420" Type="http://schemas.openxmlformats.org/officeDocument/2006/relationships/externalLink" Target="externalLinks/externalLink417.xml"/><Relationship Id="rId616" Type="http://schemas.openxmlformats.org/officeDocument/2006/relationships/externalLink" Target="externalLinks/externalLink613.xml"/><Relationship Id="rId658" Type="http://schemas.openxmlformats.org/officeDocument/2006/relationships/externalLink" Target="externalLinks/externalLink655.xml"/><Relationship Id="rId255" Type="http://schemas.openxmlformats.org/officeDocument/2006/relationships/externalLink" Target="externalLinks/externalLink252.xml"/><Relationship Id="rId297" Type="http://schemas.openxmlformats.org/officeDocument/2006/relationships/externalLink" Target="externalLinks/externalLink294.xml"/><Relationship Id="rId462" Type="http://schemas.openxmlformats.org/officeDocument/2006/relationships/externalLink" Target="externalLinks/externalLink459.xml"/><Relationship Id="rId518" Type="http://schemas.openxmlformats.org/officeDocument/2006/relationships/externalLink" Target="externalLinks/externalLink515.xml"/><Relationship Id="rId115" Type="http://schemas.openxmlformats.org/officeDocument/2006/relationships/externalLink" Target="externalLinks/externalLink112.xml"/><Relationship Id="rId157" Type="http://schemas.openxmlformats.org/officeDocument/2006/relationships/externalLink" Target="externalLinks/externalLink154.xml"/><Relationship Id="rId322" Type="http://schemas.openxmlformats.org/officeDocument/2006/relationships/externalLink" Target="externalLinks/externalLink319.xml"/><Relationship Id="rId364" Type="http://schemas.openxmlformats.org/officeDocument/2006/relationships/externalLink" Target="externalLinks/externalLink361.xml"/><Relationship Id="rId61" Type="http://schemas.openxmlformats.org/officeDocument/2006/relationships/externalLink" Target="externalLinks/externalLink58.xml"/><Relationship Id="rId199" Type="http://schemas.openxmlformats.org/officeDocument/2006/relationships/externalLink" Target="externalLinks/externalLink196.xml"/><Relationship Id="rId571" Type="http://schemas.openxmlformats.org/officeDocument/2006/relationships/externalLink" Target="externalLinks/externalLink568.xml"/><Relationship Id="rId627" Type="http://schemas.openxmlformats.org/officeDocument/2006/relationships/externalLink" Target="externalLinks/externalLink624.xml"/><Relationship Id="rId669" Type="http://schemas.openxmlformats.org/officeDocument/2006/relationships/externalLink" Target="externalLinks/externalLink666.xml"/><Relationship Id="rId19" Type="http://schemas.openxmlformats.org/officeDocument/2006/relationships/externalLink" Target="externalLinks/externalLink16.xml"/><Relationship Id="rId224" Type="http://schemas.openxmlformats.org/officeDocument/2006/relationships/externalLink" Target="externalLinks/externalLink221.xml"/><Relationship Id="rId266" Type="http://schemas.openxmlformats.org/officeDocument/2006/relationships/externalLink" Target="externalLinks/externalLink263.xml"/><Relationship Id="rId431" Type="http://schemas.openxmlformats.org/officeDocument/2006/relationships/externalLink" Target="externalLinks/externalLink428.xml"/><Relationship Id="rId473" Type="http://schemas.openxmlformats.org/officeDocument/2006/relationships/externalLink" Target="externalLinks/externalLink470.xml"/><Relationship Id="rId529" Type="http://schemas.openxmlformats.org/officeDocument/2006/relationships/externalLink" Target="externalLinks/externalLink526.xml"/><Relationship Id="rId680" Type="http://schemas.openxmlformats.org/officeDocument/2006/relationships/styles" Target="styles.xml"/><Relationship Id="rId30" Type="http://schemas.openxmlformats.org/officeDocument/2006/relationships/externalLink" Target="externalLinks/externalLink27.xml"/><Relationship Id="rId126" Type="http://schemas.openxmlformats.org/officeDocument/2006/relationships/externalLink" Target="externalLinks/externalLink123.xml"/><Relationship Id="rId168" Type="http://schemas.openxmlformats.org/officeDocument/2006/relationships/externalLink" Target="externalLinks/externalLink165.xml"/><Relationship Id="rId333" Type="http://schemas.openxmlformats.org/officeDocument/2006/relationships/externalLink" Target="externalLinks/externalLink330.xml"/><Relationship Id="rId540" Type="http://schemas.openxmlformats.org/officeDocument/2006/relationships/externalLink" Target="externalLinks/externalLink537.xml"/><Relationship Id="rId72" Type="http://schemas.openxmlformats.org/officeDocument/2006/relationships/externalLink" Target="externalLinks/externalLink69.xml"/><Relationship Id="rId375" Type="http://schemas.openxmlformats.org/officeDocument/2006/relationships/externalLink" Target="externalLinks/externalLink372.xml"/><Relationship Id="rId582" Type="http://schemas.openxmlformats.org/officeDocument/2006/relationships/externalLink" Target="externalLinks/externalLink579.xml"/><Relationship Id="rId638" Type="http://schemas.openxmlformats.org/officeDocument/2006/relationships/externalLink" Target="externalLinks/externalLink635.xml"/><Relationship Id="rId3" Type="http://schemas.openxmlformats.org/officeDocument/2006/relationships/worksheet" Target="worksheets/sheet3.xml"/><Relationship Id="rId235" Type="http://schemas.openxmlformats.org/officeDocument/2006/relationships/externalLink" Target="externalLinks/externalLink232.xml"/><Relationship Id="rId277" Type="http://schemas.openxmlformats.org/officeDocument/2006/relationships/externalLink" Target="externalLinks/externalLink274.xml"/><Relationship Id="rId400" Type="http://schemas.openxmlformats.org/officeDocument/2006/relationships/externalLink" Target="externalLinks/externalLink397.xml"/><Relationship Id="rId442" Type="http://schemas.openxmlformats.org/officeDocument/2006/relationships/externalLink" Target="externalLinks/externalLink439.xml"/><Relationship Id="rId484" Type="http://schemas.openxmlformats.org/officeDocument/2006/relationships/externalLink" Target="externalLinks/externalLink481.xml"/><Relationship Id="rId137" Type="http://schemas.openxmlformats.org/officeDocument/2006/relationships/externalLink" Target="externalLinks/externalLink134.xml"/><Relationship Id="rId302" Type="http://schemas.openxmlformats.org/officeDocument/2006/relationships/externalLink" Target="externalLinks/externalLink299.xml"/><Relationship Id="rId344" Type="http://schemas.openxmlformats.org/officeDocument/2006/relationships/externalLink" Target="externalLinks/externalLink341.xml"/><Relationship Id="rId41" Type="http://schemas.openxmlformats.org/officeDocument/2006/relationships/externalLink" Target="externalLinks/externalLink38.xml"/><Relationship Id="rId83" Type="http://schemas.openxmlformats.org/officeDocument/2006/relationships/externalLink" Target="externalLinks/externalLink80.xml"/><Relationship Id="rId179" Type="http://schemas.openxmlformats.org/officeDocument/2006/relationships/externalLink" Target="externalLinks/externalLink176.xml"/><Relationship Id="rId386" Type="http://schemas.openxmlformats.org/officeDocument/2006/relationships/externalLink" Target="externalLinks/externalLink383.xml"/><Relationship Id="rId551" Type="http://schemas.openxmlformats.org/officeDocument/2006/relationships/externalLink" Target="externalLinks/externalLink548.xml"/><Relationship Id="rId593" Type="http://schemas.openxmlformats.org/officeDocument/2006/relationships/externalLink" Target="externalLinks/externalLink590.xml"/><Relationship Id="rId607" Type="http://schemas.openxmlformats.org/officeDocument/2006/relationships/externalLink" Target="externalLinks/externalLink604.xml"/><Relationship Id="rId649" Type="http://schemas.openxmlformats.org/officeDocument/2006/relationships/externalLink" Target="externalLinks/externalLink646.xml"/><Relationship Id="rId190" Type="http://schemas.openxmlformats.org/officeDocument/2006/relationships/externalLink" Target="externalLinks/externalLink187.xml"/><Relationship Id="rId204" Type="http://schemas.openxmlformats.org/officeDocument/2006/relationships/externalLink" Target="externalLinks/externalLink201.xml"/><Relationship Id="rId246" Type="http://schemas.openxmlformats.org/officeDocument/2006/relationships/externalLink" Target="externalLinks/externalLink243.xml"/><Relationship Id="rId288" Type="http://schemas.openxmlformats.org/officeDocument/2006/relationships/externalLink" Target="externalLinks/externalLink285.xml"/><Relationship Id="rId411" Type="http://schemas.openxmlformats.org/officeDocument/2006/relationships/externalLink" Target="externalLinks/externalLink408.xml"/><Relationship Id="rId453" Type="http://schemas.openxmlformats.org/officeDocument/2006/relationships/externalLink" Target="externalLinks/externalLink450.xml"/><Relationship Id="rId509" Type="http://schemas.openxmlformats.org/officeDocument/2006/relationships/externalLink" Target="externalLinks/externalLink506.xml"/><Relationship Id="rId660" Type="http://schemas.openxmlformats.org/officeDocument/2006/relationships/externalLink" Target="externalLinks/externalLink657.xml"/><Relationship Id="rId106" Type="http://schemas.openxmlformats.org/officeDocument/2006/relationships/externalLink" Target="externalLinks/externalLink103.xml"/><Relationship Id="rId313" Type="http://schemas.openxmlformats.org/officeDocument/2006/relationships/externalLink" Target="externalLinks/externalLink310.xml"/><Relationship Id="rId495" Type="http://schemas.openxmlformats.org/officeDocument/2006/relationships/externalLink" Target="externalLinks/externalLink492.xml"/><Relationship Id="rId10" Type="http://schemas.openxmlformats.org/officeDocument/2006/relationships/externalLink" Target="externalLinks/externalLink7.xml"/><Relationship Id="rId52" Type="http://schemas.openxmlformats.org/officeDocument/2006/relationships/externalLink" Target="externalLinks/externalLink49.xml"/><Relationship Id="rId94" Type="http://schemas.openxmlformats.org/officeDocument/2006/relationships/externalLink" Target="externalLinks/externalLink91.xml"/><Relationship Id="rId148" Type="http://schemas.openxmlformats.org/officeDocument/2006/relationships/externalLink" Target="externalLinks/externalLink145.xml"/><Relationship Id="rId355" Type="http://schemas.openxmlformats.org/officeDocument/2006/relationships/externalLink" Target="externalLinks/externalLink352.xml"/><Relationship Id="rId397" Type="http://schemas.openxmlformats.org/officeDocument/2006/relationships/externalLink" Target="externalLinks/externalLink394.xml"/><Relationship Id="rId520" Type="http://schemas.openxmlformats.org/officeDocument/2006/relationships/externalLink" Target="externalLinks/externalLink517.xml"/><Relationship Id="rId562" Type="http://schemas.openxmlformats.org/officeDocument/2006/relationships/externalLink" Target="externalLinks/externalLink559.xml"/><Relationship Id="rId618" Type="http://schemas.openxmlformats.org/officeDocument/2006/relationships/externalLink" Target="externalLinks/externalLink615.xml"/><Relationship Id="rId215" Type="http://schemas.openxmlformats.org/officeDocument/2006/relationships/externalLink" Target="externalLinks/externalLink212.xml"/><Relationship Id="rId257" Type="http://schemas.openxmlformats.org/officeDocument/2006/relationships/externalLink" Target="externalLinks/externalLink254.xml"/><Relationship Id="rId422" Type="http://schemas.openxmlformats.org/officeDocument/2006/relationships/externalLink" Target="externalLinks/externalLink419.xml"/><Relationship Id="rId464" Type="http://schemas.openxmlformats.org/officeDocument/2006/relationships/externalLink" Target="externalLinks/externalLink461.xml"/><Relationship Id="rId299" Type="http://schemas.openxmlformats.org/officeDocument/2006/relationships/externalLink" Target="externalLinks/externalLink296.xml"/><Relationship Id="rId63" Type="http://schemas.openxmlformats.org/officeDocument/2006/relationships/externalLink" Target="externalLinks/externalLink60.xml"/><Relationship Id="rId159" Type="http://schemas.openxmlformats.org/officeDocument/2006/relationships/externalLink" Target="externalLinks/externalLink156.xml"/><Relationship Id="rId366" Type="http://schemas.openxmlformats.org/officeDocument/2006/relationships/externalLink" Target="externalLinks/externalLink363.xml"/><Relationship Id="rId573" Type="http://schemas.openxmlformats.org/officeDocument/2006/relationships/externalLink" Target="externalLinks/externalLink570.xml"/><Relationship Id="rId226" Type="http://schemas.openxmlformats.org/officeDocument/2006/relationships/externalLink" Target="externalLinks/externalLink223.xml"/><Relationship Id="rId433" Type="http://schemas.openxmlformats.org/officeDocument/2006/relationships/externalLink" Target="externalLinks/externalLink430.xml"/><Relationship Id="rId640" Type="http://schemas.openxmlformats.org/officeDocument/2006/relationships/externalLink" Target="externalLinks/externalLink637.xml"/><Relationship Id="rId74" Type="http://schemas.openxmlformats.org/officeDocument/2006/relationships/externalLink" Target="externalLinks/externalLink71.xml"/><Relationship Id="rId377" Type="http://schemas.openxmlformats.org/officeDocument/2006/relationships/externalLink" Target="externalLinks/externalLink374.xml"/><Relationship Id="rId500" Type="http://schemas.openxmlformats.org/officeDocument/2006/relationships/externalLink" Target="externalLinks/externalLink497.xml"/><Relationship Id="rId584" Type="http://schemas.openxmlformats.org/officeDocument/2006/relationships/externalLink" Target="externalLinks/externalLink581.xml"/><Relationship Id="rId5" Type="http://schemas.openxmlformats.org/officeDocument/2006/relationships/externalLink" Target="externalLinks/externalLink2.xml"/><Relationship Id="rId237" Type="http://schemas.openxmlformats.org/officeDocument/2006/relationships/externalLink" Target="externalLinks/externalLink234.xml"/><Relationship Id="rId444" Type="http://schemas.openxmlformats.org/officeDocument/2006/relationships/externalLink" Target="externalLinks/externalLink441.xml"/><Relationship Id="rId651" Type="http://schemas.openxmlformats.org/officeDocument/2006/relationships/externalLink" Target="externalLinks/externalLink648.xml"/><Relationship Id="rId290" Type="http://schemas.openxmlformats.org/officeDocument/2006/relationships/externalLink" Target="externalLinks/externalLink287.xml"/><Relationship Id="rId304" Type="http://schemas.openxmlformats.org/officeDocument/2006/relationships/externalLink" Target="externalLinks/externalLink301.xml"/><Relationship Id="rId388" Type="http://schemas.openxmlformats.org/officeDocument/2006/relationships/externalLink" Target="externalLinks/externalLink385.xml"/><Relationship Id="rId511" Type="http://schemas.openxmlformats.org/officeDocument/2006/relationships/externalLink" Target="externalLinks/externalLink508.xml"/><Relationship Id="rId609" Type="http://schemas.openxmlformats.org/officeDocument/2006/relationships/externalLink" Target="externalLinks/externalLink606.xml"/><Relationship Id="rId85" Type="http://schemas.openxmlformats.org/officeDocument/2006/relationships/externalLink" Target="externalLinks/externalLink82.xml"/><Relationship Id="rId150" Type="http://schemas.openxmlformats.org/officeDocument/2006/relationships/externalLink" Target="externalLinks/externalLink147.xml"/><Relationship Id="rId595" Type="http://schemas.openxmlformats.org/officeDocument/2006/relationships/externalLink" Target="externalLinks/externalLink592.xml"/><Relationship Id="rId248" Type="http://schemas.openxmlformats.org/officeDocument/2006/relationships/externalLink" Target="externalLinks/externalLink245.xml"/><Relationship Id="rId455" Type="http://schemas.openxmlformats.org/officeDocument/2006/relationships/externalLink" Target="externalLinks/externalLink452.xml"/><Relationship Id="rId662" Type="http://schemas.openxmlformats.org/officeDocument/2006/relationships/externalLink" Target="externalLinks/externalLink659.xml"/><Relationship Id="rId12" Type="http://schemas.openxmlformats.org/officeDocument/2006/relationships/externalLink" Target="externalLinks/externalLink9.xml"/><Relationship Id="rId108" Type="http://schemas.openxmlformats.org/officeDocument/2006/relationships/externalLink" Target="externalLinks/externalLink105.xml"/><Relationship Id="rId315" Type="http://schemas.openxmlformats.org/officeDocument/2006/relationships/externalLink" Target="externalLinks/externalLink312.xml"/><Relationship Id="rId522" Type="http://schemas.openxmlformats.org/officeDocument/2006/relationships/externalLink" Target="externalLinks/externalLink519.xml"/><Relationship Id="rId96" Type="http://schemas.openxmlformats.org/officeDocument/2006/relationships/externalLink" Target="externalLinks/externalLink93.xml"/><Relationship Id="rId161" Type="http://schemas.openxmlformats.org/officeDocument/2006/relationships/externalLink" Target="externalLinks/externalLink158.xml"/><Relationship Id="rId399" Type="http://schemas.openxmlformats.org/officeDocument/2006/relationships/externalLink" Target="externalLinks/externalLink396.xml"/><Relationship Id="rId259" Type="http://schemas.openxmlformats.org/officeDocument/2006/relationships/externalLink" Target="externalLinks/externalLink256.xml"/><Relationship Id="rId466" Type="http://schemas.openxmlformats.org/officeDocument/2006/relationships/externalLink" Target="externalLinks/externalLink463.xml"/><Relationship Id="rId673" Type="http://schemas.openxmlformats.org/officeDocument/2006/relationships/externalLink" Target="externalLinks/externalLink670.xml"/><Relationship Id="rId23" Type="http://schemas.openxmlformats.org/officeDocument/2006/relationships/externalLink" Target="externalLinks/externalLink20.xml"/><Relationship Id="rId119" Type="http://schemas.openxmlformats.org/officeDocument/2006/relationships/externalLink" Target="externalLinks/externalLink116.xml"/><Relationship Id="rId326" Type="http://schemas.openxmlformats.org/officeDocument/2006/relationships/externalLink" Target="externalLinks/externalLink323.xml"/><Relationship Id="rId533" Type="http://schemas.openxmlformats.org/officeDocument/2006/relationships/externalLink" Target="externalLinks/externalLink530.xml"/><Relationship Id="rId172" Type="http://schemas.openxmlformats.org/officeDocument/2006/relationships/externalLink" Target="externalLinks/externalLink169.xml"/><Relationship Id="rId477" Type="http://schemas.openxmlformats.org/officeDocument/2006/relationships/externalLink" Target="externalLinks/externalLink474.xml"/><Relationship Id="rId600" Type="http://schemas.openxmlformats.org/officeDocument/2006/relationships/externalLink" Target="externalLinks/externalLink597.xml"/><Relationship Id="rId337" Type="http://schemas.openxmlformats.org/officeDocument/2006/relationships/externalLink" Target="externalLinks/externalLink334.xml"/><Relationship Id="rId34" Type="http://schemas.openxmlformats.org/officeDocument/2006/relationships/externalLink" Target="externalLinks/externalLink31.xml"/><Relationship Id="rId544" Type="http://schemas.openxmlformats.org/officeDocument/2006/relationships/externalLink" Target="externalLinks/externalLink541.xml"/><Relationship Id="rId183" Type="http://schemas.openxmlformats.org/officeDocument/2006/relationships/externalLink" Target="externalLinks/externalLink180.xml"/><Relationship Id="rId390" Type="http://schemas.openxmlformats.org/officeDocument/2006/relationships/externalLink" Target="externalLinks/externalLink387.xml"/><Relationship Id="rId404" Type="http://schemas.openxmlformats.org/officeDocument/2006/relationships/externalLink" Target="externalLinks/externalLink401.xml"/><Relationship Id="rId611" Type="http://schemas.openxmlformats.org/officeDocument/2006/relationships/externalLink" Target="externalLinks/externalLink608.xml"/><Relationship Id="rId250" Type="http://schemas.openxmlformats.org/officeDocument/2006/relationships/externalLink" Target="externalLinks/externalLink247.xml"/><Relationship Id="rId488" Type="http://schemas.openxmlformats.org/officeDocument/2006/relationships/externalLink" Target="externalLinks/externalLink485.xml"/><Relationship Id="rId45" Type="http://schemas.openxmlformats.org/officeDocument/2006/relationships/externalLink" Target="externalLinks/externalLink42.xml"/><Relationship Id="rId110" Type="http://schemas.openxmlformats.org/officeDocument/2006/relationships/externalLink" Target="externalLinks/externalLink107.xml"/><Relationship Id="rId348" Type="http://schemas.openxmlformats.org/officeDocument/2006/relationships/externalLink" Target="externalLinks/externalLink345.xml"/><Relationship Id="rId555" Type="http://schemas.openxmlformats.org/officeDocument/2006/relationships/externalLink" Target="externalLinks/externalLink552.xml"/><Relationship Id="rId194" Type="http://schemas.openxmlformats.org/officeDocument/2006/relationships/externalLink" Target="externalLinks/externalLink191.xml"/><Relationship Id="rId208" Type="http://schemas.openxmlformats.org/officeDocument/2006/relationships/externalLink" Target="externalLinks/externalLink205.xml"/><Relationship Id="rId415" Type="http://schemas.openxmlformats.org/officeDocument/2006/relationships/externalLink" Target="externalLinks/externalLink412.xml"/><Relationship Id="rId622" Type="http://schemas.openxmlformats.org/officeDocument/2006/relationships/externalLink" Target="externalLinks/externalLink619.xml"/><Relationship Id="rId261" Type="http://schemas.openxmlformats.org/officeDocument/2006/relationships/externalLink" Target="externalLinks/externalLink258.xml"/><Relationship Id="rId499" Type="http://schemas.openxmlformats.org/officeDocument/2006/relationships/externalLink" Target="externalLinks/externalLink496.xml"/><Relationship Id="rId56" Type="http://schemas.openxmlformats.org/officeDocument/2006/relationships/externalLink" Target="externalLinks/externalLink53.xml"/><Relationship Id="rId359" Type="http://schemas.openxmlformats.org/officeDocument/2006/relationships/externalLink" Target="externalLinks/externalLink356.xml"/><Relationship Id="rId566" Type="http://schemas.openxmlformats.org/officeDocument/2006/relationships/externalLink" Target="externalLinks/externalLink563.xml"/><Relationship Id="rId121" Type="http://schemas.openxmlformats.org/officeDocument/2006/relationships/externalLink" Target="externalLinks/externalLink118.xml"/><Relationship Id="rId219" Type="http://schemas.openxmlformats.org/officeDocument/2006/relationships/externalLink" Target="externalLinks/externalLink216.xml"/><Relationship Id="rId426" Type="http://schemas.openxmlformats.org/officeDocument/2006/relationships/externalLink" Target="externalLinks/externalLink423.xml"/><Relationship Id="rId633" Type="http://schemas.openxmlformats.org/officeDocument/2006/relationships/externalLink" Target="externalLinks/externalLink630.xml"/><Relationship Id="rId67" Type="http://schemas.openxmlformats.org/officeDocument/2006/relationships/externalLink" Target="externalLinks/externalLink64.xml"/><Relationship Id="rId272" Type="http://schemas.openxmlformats.org/officeDocument/2006/relationships/externalLink" Target="externalLinks/externalLink269.xml"/><Relationship Id="rId577" Type="http://schemas.openxmlformats.org/officeDocument/2006/relationships/externalLink" Target="externalLinks/externalLink574.xml"/><Relationship Id="rId132" Type="http://schemas.openxmlformats.org/officeDocument/2006/relationships/externalLink" Target="externalLinks/externalLink129.xml"/><Relationship Id="rId437" Type="http://schemas.openxmlformats.org/officeDocument/2006/relationships/externalLink" Target="externalLinks/externalLink434.xml"/><Relationship Id="rId644" Type="http://schemas.openxmlformats.org/officeDocument/2006/relationships/externalLink" Target="externalLinks/externalLink641.xml"/><Relationship Id="rId283" Type="http://schemas.openxmlformats.org/officeDocument/2006/relationships/externalLink" Target="externalLinks/externalLink280.xml"/><Relationship Id="rId490" Type="http://schemas.openxmlformats.org/officeDocument/2006/relationships/externalLink" Target="externalLinks/externalLink487.xml"/><Relationship Id="rId504" Type="http://schemas.openxmlformats.org/officeDocument/2006/relationships/externalLink" Target="externalLinks/externalLink501.xml"/><Relationship Id="rId78" Type="http://schemas.openxmlformats.org/officeDocument/2006/relationships/externalLink" Target="externalLinks/externalLink75.xml"/><Relationship Id="rId143" Type="http://schemas.openxmlformats.org/officeDocument/2006/relationships/externalLink" Target="externalLinks/externalLink140.xml"/><Relationship Id="rId350" Type="http://schemas.openxmlformats.org/officeDocument/2006/relationships/externalLink" Target="externalLinks/externalLink347.xml"/><Relationship Id="rId588" Type="http://schemas.openxmlformats.org/officeDocument/2006/relationships/externalLink" Target="externalLinks/externalLink585.xml"/><Relationship Id="rId9" Type="http://schemas.openxmlformats.org/officeDocument/2006/relationships/externalLink" Target="externalLinks/externalLink6.xml"/><Relationship Id="rId210" Type="http://schemas.openxmlformats.org/officeDocument/2006/relationships/externalLink" Target="externalLinks/externalLink207.xml"/><Relationship Id="rId448" Type="http://schemas.openxmlformats.org/officeDocument/2006/relationships/externalLink" Target="externalLinks/externalLink445.xml"/><Relationship Id="rId655" Type="http://schemas.openxmlformats.org/officeDocument/2006/relationships/externalLink" Target="externalLinks/externalLink652.xml"/><Relationship Id="rId294" Type="http://schemas.openxmlformats.org/officeDocument/2006/relationships/externalLink" Target="externalLinks/externalLink291.xml"/><Relationship Id="rId308" Type="http://schemas.openxmlformats.org/officeDocument/2006/relationships/externalLink" Target="externalLinks/externalLink305.xml"/><Relationship Id="rId515" Type="http://schemas.openxmlformats.org/officeDocument/2006/relationships/externalLink" Target="externalLinks/externalLink512.xml"/><Relationship Id="rId89" Type="http://schemas.openxmlformats.org/officeDocument/2006/relationships/externalLink" Target="externalLinks/externalLink86.xml"/><Relationship Id="rId154" Type="http://schemas.openxmlformats.org/officeDocument/2006/relationships/externalLink" Target="externalLinks/externalLink151.xml"/><Relationship Id="rId361" Type="http://schemas.openxmlformats.org/officeDocument/2006/relationships/externalLink" Target="externalLinks/externalLink358.xml"/><Relationship Id="rId599" Type="http://schemas.openxmlformats.org/officeDocument/2006/relationships/externalLink" Target="externalLinks/externalLink596.xml"/><Relationship Id="rId459" Type="http://schemas.openxmlformats.org/officeDocument/2006/relationships/externalLink" Target="externalLinks/externalLink456.xml"/><Relationship Id="rId666" Type="http://schemas.openxmlformats.org/officeDocument/2006/relationships/externalLink" Target="externalLinks/externalLink663.xml"/><Relationship Id="rId16" Type="http://schemas.openxmlformats.org/officeDocument/2006/relationships/externalLink" Target="externalLinks/externalLink13.xml"/><Relationship Id="rId221" Type="http://schemas.openxmlformats.org/officeDocument/2006/relationships/externalLink" Target="externalLinks/externalLink218.xml"/><Relationship Id="rId319" Type="http://schemas.openxmlformats.org/officeDocument/2006/relationships/externalLink" Target="externalLinks/externalLink316.xml"/><Relationship Id="rId526" Type="http://schemas.openxmlformats.org/officeDocument/2006/relationships/externalLink" Target="externalLinks/externalLink523.xml"/><Relationship Id="rId165" Type="http://schemas.openxmlformats.org/officeDocument/2006/relationships/externalLink" Target="externalLinks/externalLink162.xml"/><Relationship Id="rId372" Type="http://schemas.openxmlformats.org/officeDocument/2006/relationships/externalLink" Target="externalLinks/externalLink369.xml"/><Relationship Id="rId677" Type="http://schemas.openxmlformats.org/officeDocument/2006/relationships/externalLink" Target="externalLinks/externalLink674.xml"/><Relationship Id="rId232" Type="http://schemas.openxmlformats.org/officeDocument/2006/relationships/externalLink" Target="externalLinks/externalLink229.xml"/><Relationship Id="rId27" Type="http://schemas.openxmlformats.org/officeDocument/2006/relationships/externalLink" Target="externalLinks/externalLink24.xml"/><Relationship Id="rId537" Type="http://schemas.openxmlformats.org/officeDocument/2006/relationships/externalLink" Target="externalLinks/externalLink534.xml"/><Relationship Id="rId80" Type="http://schemas.openxmlformats.org/officeDocument/2006/relationships/externalLink" Target="externalLinks/externalLink77.xml"/><Relationship Id="rId176" Type="http://schemas.openxmlformats.org/officeDocument/2006/relationships/externalLink" Target="externalLinks/externalLink173.xml"/><Relationship Id="rId383" Type="http://schemas.openxmlformats.org/officeDocument/2006/relationships/externalLink" Target="externalLinks/externalLink380.xml"/><Relationship Id="rId590" Type="http://schemas.openxmlformats.org/officeDocument/2006/relationships/externalLink" Target="externalLinks/externalLink587.xml"/><Relationship Id="rId604" Type="http://schemas.openxmlformats.org/officeDocument/2006/relationships/externalLink" Target="externalLinks/externalLink601.xml"/><Relationship Id="rId243" Type="http://schemas.openxmlformats.org/officeDocument/2006/relationships/externalLink" Target="externalLinks/externalLink240.xml"/><Relationship Id="rId450" Type="http://schemas.openxmlformats.org/officeDocument/2006/relationships/externalLink" Target="externalLinks/externalLink447.xml"/><Relationship Id="rId38" Type="http://schemas.openxmlformats.org/officeDocument/2006/relationships/externalLink" Target="externalLinks/externalLink35.xml"/><Relationship Id="rId103" Type="http://schemas.openxmlformats.org/officeDocument/2006/relationships/externalLink" Target="externalLinks/externalLink100.xml"/><Relationship Id="rId310" Type="http://schemas.openxmlformats.org/officeDocument/2006/relationships/externalLink" Target="externalLinks/externalLink307.xml"/><Relationship Id="rId548" Type="http://schemas.openxmlformats.org/officeDocument/2006/relationships/externalLink" Target="externalLinks/externalLink54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LY.xlsx" TargetMode="External"/><Relationship Id="rId1" Type="http://schemas.openxmlformats.org/officeDocument/2006/relationships/externalLinkPath" Target="Pharma/LL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JNJ.xlsx" TargetMode="External"/><Relationship Id="rId1" Type="http://schemas.openxmlformats.org/officeDocument/2006/relationships/externalLinkPath" Target="Pharma/JNJ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BBV.xlsx" TargetMode="External"/><Relationship Id="rId1" Type="http://schemas.openxmlformats.org/officeDocument/2006/relationships/externalLinkPath" Target="Pharma/ABBV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RK.xlsx" TargetMode="External"/><Relationship Id="rId1" Type="http://schemas.openxmlformats.org/officeDocument/2006/relationships/externalLinkPath" Target="Pharma/MR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VS.xlsx" TargetMode="External"/><Relationship Id="rId1" Type="http://schemas.openxmlformats.org/officeDocument/2006/relationships/externalLinkPath" Target="Pharma/NVS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ZN.xlsx" TargetMode="External"/><Relationship Id="rId1" Type="http://schemas.openxmlformats.org/officeDocument/2006/relationships/externalLinkPath" Target="Pharma/AZN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MGN.xlsx" TargetMode="External"/><Relationship Id="rId1" Type="http://schemas.openxmlformats.org/officeDocument/2006/relationships/externalLinkPath" Target="Pharma/AMGN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ILD.xlsx" TargetMode="External"/><Relationship Id="rId1" Type="http://schemas.openxmlformats.org/officeDocument/2006/relationships/externalLinkPath" Target="Pharma/GILD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VO.xlsx" TargetMode="External"/><Relationship Id="rId1" Type="http://schemas.openxmlformats.org/officeDocument/2006/relationships/externalLinkPath" Target="Pharma/NVO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FE.xlsx" TargetMode="External"/><Relationship Id="rId1" Type="http://schemas.openxmlformats.org/officeDocument/2006/relationships/externalLinkPath" Target="Pharma/PFE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RTX.xlsx" TargetMode="External"/><Relationship Id="rId1" Type="http://schemas.openxmlformats.org/officeDocument/2006/relationships/externalLinkPath" Target="Pharma/VRTX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MY.xlsx" TargetMode="External"/><Relationship Id="rId1" Type="http://schemas.openxmlformats.org/officeDocument/2006/relationships/externalLinkPath" Target="Pharma/BMY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SK.xlsx" TargetMode="External"/><Relationship Id="rId1" Type="http://schemas.openxmlformats.org/officeDocument/2006/relationships/externalLinkPath" Target="Pharma/GS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NY.xlsx" TargetMode="External"/><Relationship Id="rId1" Type="http://schemas.openxmlformats.org/officeDocument/2006/relationships/externalLinkPath" Target="Pharma/SNY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RNA.xlsx" TargetMode="External"/><Relationship Id="rId1" Type="http://schemas.openxmlformats.org/officeDocument/2006/relationships/externalLinkPath" Target="Pharma/MRNA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EGN.xlsx" TargetMode="External"/><Relationship Id="rId1" Type="http://schemas.openxmlformats.org/officeDocument/2006/relationships/externalLinkPath" Target="Pharma/REGN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AK.xlsx" TargetMode="External"/><Relationship Id="rId1" Type="http://schemas.openxmlformats.org/officeDocument/2006/relationships/externalLinkPath" Target="Pharma/TAK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TRA.xlsx" TargetMode="External"/><Relationship Id="rId1" Type="http://schemas.openxmlformats.org/officeDocument/2006/relationships/externalLinkPath" Target="Pharma/NTRA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RGX.xlsx" TargetMode="External"/><Relationship Id="rId1" Type="http://schemas.openxmlformats.org/officeDocument/2006/relationships/externalLinkPath" Target="Pharma/ARGX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EVA.xlsx" TargetMode="External"/><Relationship Id="rId1" Type="http://schemas.openxmlformats.org/officeDocument/2006/relationships/externalLinkPath" Target="Pharma/TEVA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HLN.xlsx" TargetMode="External"/><Relationship Id="rId1" Type="http://schemas.openxmlformats.org/officeDocument/2006/relationships/externalLinkPath" Target="Pharma/HLN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NC.xlsx" TargetMode="External"/><Relationship Id="rId1" Type="http://schemas.openxmlformats.org/officeDocument/2006/relationships/externalLinkPath" Target="Pharma/ONC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VMD.xlsx" TargetMode="External"/><Relationship Id="rId1" Type="http://schemas.openxmlformats.org/officeDocument/2006/relationships/externalLinkPath" Target="Pharma/RVMD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PRX.xlsx" TargetMode="External"/><Relationship Id="rId1" Type="http://schemas.openxmlformats.org/officeDocument/2006/relationships/externalLinkPath" Target="Pharma/RPRX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IIB.xlsx" TargetMode="External"/><Relationship Id="rId1" Type="http://schemas.openxmlformats.org/officeDocument/2006/relationships/externalLinkPath" Target="Pharma/BIIB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ZTS.xlsx" TargetMode="External"/><Relationship Id="rId1" Type="http://schemas.openxmlformats.org/officeDocument/2006/relationships/externalLinkPath" Target="Pharma/ZTS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LNY.xlsx" TargetMode="External"/><Relationship Id="rId1" Type="http://schemas.openxmlformats.org/officeDocument/2006/relationships/externalLinkPath" Target="Pharma/ALNY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OIV.xlsx" TargetMode="External"/><Relationship Id="rId1" Type="http://schemas.openxmlformats.org/officeDocument/2006/relationships/externalLinkPath" Target="Pharma/ROIV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MAB.xlsx" TargetMode="External"/><Relationship Id="rId1" Type="http://schemas.openxmlformats.org/officeDocument/2006/relationships/externalLinkPath" Target="Pharma/GMAB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UTHR.xlsx" TargetMode="External"/><Relationship Id="rId1" Type="http://schemas.openxmlformats.org/officeDocument/2006/relationships/externalLinkPath" Target="Pharma/UTHR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NCY.xlsx" TargetMode="External"/><Relationship Id="rId1" Type="http://schemas.openxmlformats.org/officeDocument/2006/relationships/externalLinkPath" Target="Pharma/INCY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NTX.xlsx" TargetMode="External"/><Relationship Id="rId1" Type="http://schemas.openxmlformats.org/officeDocument/2006/relationships/externalLinkPath" Target="Pharma/BNT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TRS.xlsx" TargetMode="External"/><Relationship Id="rId1" Type="http://schemas.openxmlformats.org/officeDocument/2006/relationships/externalLinkPath" Target="Pharma/VTRS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NSM.xlsx" TargetMode="External"/><Relationship Id="rId1" Type="http://schemas.openxmlformats.org/officeDocument/2006/relationships/externalLinkPath" Target="Pharma/INSM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XEL.xlsx" TargetMode="External"/><Relationship Id="rId1" Type="http://schemas.openxmlformats.org/officeDocument/2006/relationships/externalLinkPath" Target="Pharma/EXEL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SND.xlsx" TargetMode="External"/><Relationship Id="rId1" Type="http://schemas.openxmlformats.org/officeDocument/2006/relationships/externalLinkPath" Target="Pharma/ASND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HALO.xlsx" TargetMode="External"/><Relationship Id="rId1" Type="http://schemas.openxmlformats.org/officeDocument/2006/relationships/externalLinkPath" Target="Pharma/HALO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BIX.xlsx" TargetMode="External"/><Relationship Id="rId1" Type="http://schemas.openxmlformats.org/officeDocument/2006/relationships/externalLinkPath" Target="Pharma/NBIX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JAZZ.xlsx" TargetMode="External"/><Relationship Id="rId1" Type="http://schemas.openxmlformats.org/officeDocument/2006/relationships/externalLinkPath" Target="Pharma/JAZZ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MMT.xlsx" TargetMode="External"/><Relationship Id="rId1" Type="http://schemas.openxmlformats.org/officeDocument/2006/relationships/externalLinkPath" Target="Pharma/SMMT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BIO.xlsx" TargetMode="External"/><Relationship Id="rId1" Type="http://schemas.openxmlformats.org/officeDocument/2006/relationships/externalLinkPath" Target="Pharma/BBIO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NSA.xlsx" TargetMode="External"/><Relationship Id="rId1" Type="http://schemas.openxmlformats.org/officeDocument/2006/relationships/externalLinkPath" Target="Pharma/KNSA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ORT.xlsx" TargetMode="External"/><Relationship Id="rId1" Type="http://schemas.openxmlformats.org/officeDocument/2006/relationships/externalLinkPath" Target="Pharma/CORT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LAN.xlsx" TargetMode="External"/><Relationship Id="rId1" Type="http://schemas.openxmlformats.org/officeDocument/2006/relationships/externalLinkPath" Target="Pharma/ELAN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DY.xlsx" TargetMode="External"/><Relationship Id="rId1" Type="http://schemas.openxmlformats.org/officeDocument/2006/relationships/externalLinkPath" Target="Pharma/RDY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MRN.xlsx" TargetMode="External"/><Relationship Id="rId1" Type="http://schemas.openxmlformats.org/officeDocument/2006/relationships/externalLinkPath" Target="Pharma/BMRN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DGL.xlsx" TargetMode="External"/><Relationship Id="rId1" Type="http://schemas.openxmlformats.org/officeDocument/2006/relationships/externalLinkPath" Target="Pharma/MDGL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BRX.xlsx" TargetMode="External"/><Relationship Id="rId1" Type="http://schemas.openxmlformats.org/officeDocument/2006/relationships/externalLinkPath" Target="Pharma/IBRX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CVX.xlsx" TargetMode="External"/><Relationship Id="rId1" Type="http://schemas.openxmlformats.org/officeDocument/2006/relationships/externalLinkPath" Target="Pharma/PCVX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RYS.xlsx" TargetMode="External"/><Relationship Id="rId1" Type="http://schemas.openxmlformats.org/officeDocument/2006/relationships/externalLinkPath" Target="Pharma/KRYS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YMR.xlsx" TargetMode="External"/><Relationship Id="rId1" Type="http://schemas.openxmlformats.org/officeDocument/2006/relationships/externalLinkPath" Target="Pharma/KYMR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AI.xlsx" TargetMode="External"/><Relationship Id="rId1" Type="http://schemas.openxmlformats.org/officeDocument/2006/relationships/externalLinkPath" Target="Pharma/CAI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YTK.xlsx" TargetMode="External"/><Relationship Id="rId1" Type="http://schemas.openxmlformats.org/officeDocument/2006/relationships/externalLinkPath" Target="Pharma/CYTK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XSM.xlsx" TargetMode="External"/><Relationship Id="rId1" Type="http://schemas.openxmlformats.org/officeDocument/2006/relationships/externalLinkPath" Target="Pharma/AXSM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TGX.xlsx" TargetMode="External"/><Relationship Id="rId1" Type="http://schemas.openxmlformats.org/officeDocument/2006/relationships/externalLinkPath" Target="Pharma/PTGX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WST.xlsx" TargetMode="External"/><Relationship Id="rId1" Type="http://schemas.openxmlformats.org/officeDocument/2006/relationships/externalLinkPath" Target="Pharma/TWST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GTX.xlsx" TargetMode="External"/><Relationship Id="rId1" Type="http://schemas.openxmlformats.org/officeDocument/2006/relationships/externalLinkPath" Target="Pharma/TGTX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RWR.xlsx" TargetMode="External"/><Relationship Id="rId1" Type="http://schemas.openxmlformats.org/officeDocument/2006/relationships/externalLinkPath" Target="Pharma/ARWR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ONS.xlsx" TargetMode="External"/><Relationship Id="rId1" Type="http://schemas.openxmlformats.org/officeDocument/2006/relationships/externalLinkPath" Target="Pharma/IONS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RAX.xlsx" TargetMode="External"/><Relationship Id="rId1" Type="http://schemas.openxmlformats.org/officeDocument/2006/relationships/externalLinkPath" Target="Pharma/PRAX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YRE.xlsx" TargetMode="External"/><Relationship Id="rId1" Type="http://schemas.openxmlformats.org/officeDocument/2006/relationships/externalLinkPath" Target="Pharma/SYRE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BVX.xlsx" TargetMode="External"/><Relationship Id="rId1" Type="http://schemas.openxmlformats.org/officeDocument/2006/relationships/externalLinkPath" Target="Pharma/ABVX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LKS.xlsx" TargetMode="External"/><Relationship Id="rId1" Type="http://schemas.openxmlformats.org/officeDocument/2006/relationships/externalLinkPath" Target="Pharma/ALKS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OVA.xlsx" TargetMode="External"/><Relationship Id="rId1" Type="http://schemas.openxmlformats.org/officeDocument/2006/relationships/externalLinkPath" Target="Pharma/IOVA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MRX.xlsx" TargetMode="External"/><Relationship Id="rId1" Type="http://schemas.openxmlformats.org/officeDocument/2006/relationships/externalLinkPath" Target="Pharma/AMRX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YTM.xlsx" TargetMode="External"/><Relationship Id="rId1" Type="http://schemas.openxmlformats.org/officeDocument/2006/relationships/externalLinkPath" Target="Pharma/RYTM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GND.xlsx" TargetMode="External"/><Relationship Id="rId1" Type="http://schemas.openxmlformats.org/officeDocument/2006/relationships/externalLinkPath" Target="Pharma/LGND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LTE.xlsx" TargetMode="External"/><Relationship Id="rId1" Type="http://schemas.openxmlformats.org/officeDocument/2006/relationships/externalLinkPath" Target="Pharma/BLT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OGT.xlsx" TargetMode="External"/><Relationship Id="rId1" Type="http://schemas.openxmlformats.org/officeDocument/2006/relationships/externalLinkPath" Target="Pharma/COGT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MVT.xlsx" TargetMode="External"/><Relationship Id="rId1" Type="http://schemas.openxmlformats.org/officeDocument/2006/relationships/externalLinkPath" Target="Pharma/IMV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OD.xlsx" TargetMode="External"/><Relationship Id="rId1" Type="http://schemas.openxmlformats.org/officeDocument/2006/relationships/externalLinkPath" Target="Pharma/KOD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GON.xlsx" TargetMode="External"/><Relationship Id="rId1" Type="http://schemas.openxmlformats.org/officeDocument/2006/relationships/externalLinkPath" Target="Pharma/CGON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RAL.xlsx" TargetMode="External"/><Relationship Id="rId1" Type="http://schemas.openxmlformats.org/officeDocument/2006/relationships/externalLinkPath" Target="Pharma/GRAL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LRX.xlsx" TargetMode="External"/><Relationship Id="rId1" Type="http://schemas.openxmlformats.org/officeDocument/2006/relationships/externalLinkPath" Target="Pharma/BLRX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IRM.xlsx" TargetMode="External"/><Relationship Id="rId1" Type="http://schemas.openxmlformats.org/officeDocument/2006/relationships/externalLinkPath" Target="Pharma/MIRM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TCT.xlsx" TargetMode="External"/><Relationship Id="rId1" Type="http://schemas.openxmlformats.org/officeDocument/2006/relationships/externalLinkPath" Target="Pharma/PTCT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RRK.xlsx" TargetMode="External"/><Relationship Id="rId1" Type="http://schemas.openxmlformats.org/officeDocument/2006/relationships/externalLinkPath" Target="Pharma/SRRK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RKA.xlsx" TargetMode="External"/><Relationship Id="rId1" Type="http://schemas.openxmlformats.org/officeDocument/2006/relationships/externalLinkPath" Target="Pharma/ORKA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RSP.xlsx" TargetMode="External"/><Relationship Id="rId1" Type="http://schemas.openxmlformats.org/officeDocument/2006/relationships/externalLinkPath" Target="Pharma/CRSP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GC.xlsx" TargetMode="External"/><Relationship Id="rId1" Type="http://schemas.openxmlformats.org/officeDocument/2006/relationships/externalLinkPath" Target="Pharma/RGC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RAS.xlsx" TargetMode="External"/><Relationship Id="rId1" Type="http://schemas.openxmlformats.org/officeDocument/2006/relationships/externalLinkPath" Target="Pharma/ERAS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VTX.xlsx" TargetMode="External"/><Relationship Id="rId1" Type="http://schemas.openxmlformats.org/officeDocument/2006/relationships/externalLinkPath" Target="Pharma/TVTX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ANE.xlsx" TargetMode="External"/><Relationship Id="rId1" Type="http://schemas.openxmlformats.org/officeDocument/2006/relationships/externalLinkPath" Target="Pharma/MANE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DFTX.xlsx" TargetMode="External"/><Relationship Id="rId1" Type="http://schemas.openxmlformats.org/officeDocument/2006/relationships/externalLinkPath" Target="Pharma/DFTX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OSS.xlsx" TargetMode="External"/><Relationship Id="rId1" Type="http://schemas.openxmlformats.org/officeDocument/2006/relationships/externalLinkPath" Target="Pharma/GOSS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WTX.xlsx" TargetMode="External"/><Relationship Id="rId1" Type="http://schemas.openxmlformats.org/officeDocument/2006/relationships/externalLinkPath" Target="Pharma/EWTX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DNTH.xlsx" TargetMode="External"/><Relationship Id="rId1" Type="http://schemas.openxmlformats.org/officeDocument/2006/relationships/externalLinkPath" Target="Pharma/DNTH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NDV.xlsx" TargetMode="External"/><Relationship Id="rId1" Type="http://schemas.openxmlformats.org/officeDocument/2006/relationships/externalLinkPath" Target="Pharma/INDV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NGX.xlsx" TargetMode="External"/><Relationship Id="rId1" Type="http://schemas.openxmlformats.org/officeDocument/2006/relationships/externalLinkPath" Target="Pharma/TNGX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RQT.xlsx" TargetMode="External"/><Relationship Id="rId1" Type="http://schemas.openxmlformats.org/officeDocument/2006/relationships/externalLinkPath" Target="Pharma/ARQT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LX.xlsx" TargetMode="External"/><Relationship Id="rId1" Type="http://schemas.openxmlformats.org/officeDocument/2006/relationships/externalLinkPath" Target="Pharma/TLX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GN.xlsx" TargetMode="External"/><Relationship Id="rId1" Type="http://schemas.openxmlformats.org/officeDocument/2006/relationships/externalLinkPath" Target="Pharma/OGN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LAY.xlsx" TargetMode="External"/><Relationship Id="rId1" Type="http://schemas.openxmlformats.org/officeDocument/2006/relationships/externalLinkPath" Target="Pharma/RLAY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CYT.xlsx" TargetMode="External"/><Relationship Id="rId1" Type="http://schemas.openxmlformats.org/officeDocument/2006/relationships/externalLinkPath" Target="Pharma/VCYT.xlsx" TargetMode="External"/></Relationships>
</file>

<file path=xl/externalLinks/_rels/externalLink9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EGN.xlsx" TargetMode="External"/><Relationship Id="rId1" Type="http://schemas.openxmlformats.org/officeDocument/2006/relationships/externalLinkPath" Target="Pharma/LEGN.xlsx" TargetMode="External"/></Relationships>
</file>

<file path=xl/externalLinks/_rels/externalLink9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DNA.xlsx" TargetMode="External"/><Relationship Id="rId1" Type="http://schemas.openxmlformats.org/officeDocument/2006/relationships/externalLinkPath" Target="Pharma/CDNA.xlsx" TargetMode="External"/></Relationships>
</file>

<file path=xl/externalLinks/_rels/externalLink9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CAD.xlsx" TargetMode="External"/><Relationship Id="rId1" Type="http://schemas.openxmlformats.org/officeDocument/2006/relationships/externalLinkPath" Target="Pharma/ACAD.xlsx" TargetMode="External"/></Relationships>
</file>

<file path=xl/externalLinks/_rels/externalLink9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XENE.xlsx" TargetMode="External"/><Relationship Id="rId1" Type="http://schemas.openxmlformats.org/officeDocument/2006/relationships/externalLinkPath" Target="Pharma/XENE.xlsx" TargetMode="External"/></Relationships>
</file>

<file path=xl/externalLinks/_rels/externalLink9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DYA.xlsx" TargetMode="External"/><Relationship Id="rId1" Type="http://schemas.openxmlformats.org/officeDocument/2006/relationships/externalLinkPath" Target="Pharma/IDYA.xlsx" TargetMode="External"/></Relationships>
</file>

<file path=xl/externalLinks/_rels/externalLink10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QDA.xlsx" TargetMode="External"/><Relationship Id="rId1" Type="http://schemas.openxmlformats.org/officeDocument/2006/relationships/externalLinkPath" Target="Pharma/LQDA.xlsx" TargetMode="External"/></Relationships>
</file>

<file path=xl/externalLinks/_rels/externalLink10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ARS.xlsx" TargetMode="External"/><Relationship Id="rId1" Type="http://schemas.openxmlformats.org/officeDocument/2006/relationships/externalLinkPath" Target="Pharma/TARS.xlsx" TargetMode="External"/></Relationships>
</file>

<file path=xl/externalLinks/_rels/externalLink10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KTX.xlsx" TargetMode="External"/><Relationship Id="rId1" Type="http://schemas.openxmlformats.org/officeDocument/2006/relationships/externalLinkPath" Target="Pharma/VKTX.xlsx" TargetMode="External"/></Relationships>
</file>

<file path=xl/externalLinks/_rels/externalLink10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MLX.xlsx" TargetMode="External"/><Relationship Id="rId1" Type="http://schemas.openxmlformats.org/officeDocument/2006/relationships/externalLinkPath" Target="Pharma/AMLX.xlsx" TargetMode="External"/></Relationships>
</file>

<file path=xl/externalLinks/_rels/externalLink10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CUS.xlsx" TargetMode="External"/><Relationship Id="rId1" Type="http://schemas.openxmlformats.org/officeDocument/2006/relationships/externalLinkPath" Target="Pharma/RCUS.xlsx" TargetMode="External"/></Relationships>
</file>

<file path=xl/externalLinks/_rels/externalLink10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DNLI.xlsx" TargetMode="External"/><Relationship Id="rId1" Type="http://schemas.openxmlformats.org/officeDocument/2006/relationships/externalLinkPath" Target="Pharma/DNLI.xlsx" TargetMode="External"/></Relationships>
</file>

<file path=xl/externalLinks/_rels/externalLink10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BLS.xlsx" TargetMode="External"/><Relationship Id="rId1" Type="http://schemas.openxmlformats.org/officeDocument/2006/relationships/externalLinkPath" Target="Pharma/PBLS.xlsx" TargetMode="External"/></Relationships>
</file>

<file path=xl/externalLinks/_rels/externalLink10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ELC.xlsx" TargetMode="External"/><Relationship Id="rId1" Type="http://schemas.openxmlformats.org/officeDocument/2006/relationships/externalLinkPath" Target="Pharma/CELC.xlsx" TargetMode="External"/></Relationships>
</file>

<file path=xl/externalLinks/_rels/externalLink10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LVN.xlsx" TargetMode="External"/><Relationship Id="rId1" Type="http://schemas.openxmlformats.org/officeDocument/2006/relationships/externalLinkPath" Target="Pharma/ELVN.xlsx" TargetMode="External"/></Relationships>
</file>

<file path=xl/externalLinks/_rels/externalLink10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DYN.xlsx" TargetMode="External"/><Relationship Id="rId1" Type="http://schemas.openxmlformats.org/officeDocument/2006/relationships/externalLinkPath" Target="Pharma/DYN.xlsx" TargetMode="External"/></Relationships>
</file>

<file path=xl/externalLinks/_rels/externalLink11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ZLAB.xlsx" TargetMode="External"/><Relationship Id="rId1" Type="http://schemas.openxmlformats.org/officeDocument/2006/relationships/externalLinkPath" Target="Pharma/ZLAB.xlsx" TargetMode="External"/></Relationships>
</file>

<file path=xl/externalLinks/_rels/externalLink11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RIX.xlsx" TargetMode="External"/><Relationship Id="rId1" Type="http://schemas.openxmlformats.org/officeDocument/2006/relationships/externalLinkPath" Target="Pharma/NRIX.xlsx" TargetMode="External"/></Relationships>
</file>

<file path=xl/externalLinks/_rels/externalLink11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HCM.xlsx" TargetMode="External"/><Relationship Id="rId1" Type="http://schemas.openxmlformats.org/officeDocument/2006/relationships/externalLinkPath" Target="Pharma/HCM.xlsx" TargetMode="External"/></Relationships>
</file>

<file path=xl/externalLinks/_rels/externalLink11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EAM.xlsx" TargetMode="External"/><Relationship Id="rId1" Type="http://schemas.openxmlformats.org/officeDocument/2006/relationships/externalLinkPath" Target="Pharma/BEAM.xlsx" TargetMode="External"/></Relationships>
</file>

<file path=xl/externalLinks/_rels/externalLink11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DMA.xlsx" TargetMode="External"/><Relationship Id="rId1" Type="http://schemas.openxmlformats.org/officeDocument/2006/relationships/externalLinkPath" Target="Pharma/ADMA.xlsx" TargetMode="External"/></Relationships>
</file>

<file path=xl/externalLinks/_rels/externalLink11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BX.xlsx" TargetMode="External"/><Relationship Id="rId1" Type="http://schemas.openxmlformats.org/officeDocument/2006/relationships/externalLinkPath" Target="Pharma/MBX.xlsx" TargetMode="External"/></Relationships>
</file>

<file path=xl/externalLinks/_rels/externalLink11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AMS.xlsx" TargetMode="External"/><Relationship Id="rId1" Type="http://schemas.openxmlformats.org/officeDocument/2006/relationships/externalLinkPath" Target="Pharma/NAMS.xlsx" TargetMode="External"/></Relationships>
</file>

<file path=xl/externalLinks/_rels/externalLink11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BH.xlsx" TargetMode="External"/><Relationship Id="rId1" Type="http://schemas.openxmlformats.org/officeDocument/2006/relationships/externalLinkPath" Target="Pharma/PBH.xlsx" TargetMode="External"/></Relationships>
</file>

<file path=xl/externalLinks/_rels/externalLink11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HC.xlsx" TargetMode="External"/><Relationship Id="rId1" Type="http://schemas.openxmlformats.org/officeDocument/2006/relationships/externalLinkPath" Target="Pharma/BHC.xlsx" TargetMode="External"/></Relationships>
</file>

<file path=xl/externalLinks/_rels/externalLink11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RGO.xlsx" TargetMode="External"/><Relationship Id="rId1" Type="http://schemas.openxmlformats.org/officeDocument/2006/relationships/externalLinkPath" Target="Pharma/PRGO.xlsx" TargetMode="External"/></Relationships>
</file>

<file path=xl/externalLinks/_rels/externalLink1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GEN.xlsx" TargetMode="External"/><Relationship Id="rId1" Type="http://schemas.openxmlformats.org/officeDocument/2006/relationships/externalLinkPath" Target="Pharma/PGEN.xlsx" TargetMode="External"/></Relationships>
</file>

<file path=xl/externalLinks/_rels/externalLink12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HRMY.xlsx" TargetMode="External"/><Relationship Id="rId1" Type="http://schemas.openxmlformats.org/officeDocument/2006/relationships/externalLinkPath" Target="Pharma/HRMY.xlsx" TargetMode="External"/></Relationships>
</file>

<file path=xl/externalLinks/_rels/externalLink12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UPN.xlsx" TargetMode="External"/><Relationship Id="rId1" Type="http://schemas.openxmlformats.org/officeDocument/2006/relationships/externalLinkPath" Target="Pharma/SUPN.xlsx" TargetMode="External"/></Relationships>
</file>

<file path=xl/externalLinks/_rels/externalLink12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UPH.xlsx" TargetMode="External"/><Relationship Id="rId1" Type="http://schemas.openxmlformats.org/officeDocument/2006/relationships/externalLinkPath" Target="Pharma/AUPH.xlsx" TargetMode="External"/></Relationships>
</file>

<file path=xl/externalLinks/_rels/externalLink12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RON.xlsx" TargetMode="External"/><Relationship Id="rId1" Type="http://schemas.openxmlformats.org/officeDocument/2006/relationships/externalLinkPath" Target="Pharma/IRON.xlsx" TargetMode="External"/></Relationships>
</file>

<file path=xl/externalLinks/_rels/externalLink12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LDX.xlsx" TargetMode="External"/><Relationship Id="rId1" Type="http://schemas.openxmlformats.org/officeDocument/2006/relationships/externalLinkPath" Target="Pharma/CLDX.xlsx" TargetMode="External"/></Relationships>
</file>

<file path=xl/externalLinks/_rels/externalLink12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RDN.xlsx" TargetMode="External"/><Relationship Id="rId1" Type="http://schemas.openxmlformats.org/officeDocument/2006/relationships/externalLinkPath" Target="Pharma/VRDN.xlsx" TargetMode="External"/></Relationships>
</file>

<file path=xl/externalLinks/_rels/externalLink12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CEL.xlsx" TargetMode="External"/><Relationship Id="rId1" Type="http://schemas.openxmlformats.org/officeDocument/2006/relationships/externalLinkPath" Target="Pharma/VCEL.xlsx" TargetMode="External"/></Relationships>
</file>

<file path=xl/externalLinks/_rels/externalLink12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LS.xlsx" TargetMode="External"/><Relationship Id="rId1" Type="http://schemas.openxmlformats.org/officeDocument/2006/relationships/externalLinkPath" Target="Pharma/SLS.xlsx" TargetMode="External"/></Relationships>
</file>

<file path=xl/externalLinks/_rels/externalLink12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ERA.xlsx" TargetMode="External"/><Relationship Id="rId1" Type="http://schemas.openxmlformats.org/officeDocument/2006/relationships/externalLinkPath" Target="Pharma/VERA.xlsx" TargetMode="External"/></Relationships>
</file>

<file path=xl/externalLinks/_rels/externalLink13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CRX.xlsx" TargetMode="External"/><Relationship Id="rId1" Type="http://schemas.openxmlformats.org/officeDocument/2006/relationships/externalLinkPath" Target="Pharma/BCRX.xlsx" TargetMode="External"/></Relationships>
</file>

<file path=xl/externalLinks/_rels/externalLink13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KFT.xlsx" TargetMode="External"/><Relationship Id="rId1" Type="http://schemas.openxmlformats.org/officeDocument/2006/relationships/externalLinkPath" Target="Pharma/LKFT.xlsx" TargetMode="External"/></Relationships>
</file>

<file path=xl/externalLinks/_rels/externalLink13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RLV.xlsx" TargetMode="External"/><Relationship Id="rId1" Type="http://schemas.openxmlformats.org/officeDocument/2006/relationships/externalLinkPath" Target="Pharma/TRLV.xlsx" TargetMode="External"/></Relationships>
</file>

<file path=xl/externalLinks/_rels/externalLink13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XERS.xlsx" TargetMode="External"/><Relationship Id="rId1" Type="http://schemas.openxmlformats.org/officeDocument/2006/relationships/externalLinkPath" Target="Pharma/XERS.xlsx" TargetMode="External"/></Relationships>
</file>

<file path=xl/externalLinks/_rels/externalLink13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MNM.xlsx" TargetMode="External"/><Relationship Id="rId1" Type="http://schemas.openxmlformats.org/officeDocument/2006/relationships/externalLinkPath" Target="Pharma/IMNM.xlsx" TargetMode="External"/></Relationships>
</file>

<file path=xl/externalLinks/_rels/externalLink13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GIO.xlsx" TargetMode="External"/><Relationship Id="rId1" Type="http://schemas.openxmlformats.org/officeDocument/2006/relationships/externalLinkPath" Target="Pharma/AGIO.xlsx" TargetMode="External"/></Relationships>
</file>

<file path=xl/externalLinks/_rels/externalLink13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GM.xlsx" TargetMode="External"/><Relationship Id="rId1" Type="http://schemas.openxmlformats.org/officeDocument/2006/relationships/externalLinkPath" Target="Pharma/BGM.xlsx" TargetMode="External"/></Relationships>
</file>

<file path=xl/externalLinks/_rels/externalLink13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VAX.xlsx" TargetMode="External"/><Relationship Id="rId1" Type="http://schemas.openxmlformats.org/officeDocument/2006/relationships/externalLinkPath" Target="Pharma/NVAX.xlsx" TargetMode="External"/></Relationships>
</file>

<file path=xl/externalLinks/_rels/externalLink13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XRX.xlsx" TargetMode="External"/><Relationship Id="rId1" Type="http://schemas.openxmlformats.org/officeDocument/2006/relationships/externalLinkPath" Target="Pharma/RXRX.xlsx" TargetMode="External"/></Relationships>
</file>

<file path=xl/externalLinks/_rels/externalLink13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HVS.xlsx" TargetMode="External"/><Relationship Id="rId1" Type="http://schemas.openxmlformats.org/officeDocument/2006/relationships/externalLinkPath" Target="Pharma/PHVS.xlsx" TargetMode="External"/></Relationships>
</file>

<file path=xl/externalLinks/_rels/externalLink14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RPT.xlsx" TargetMode="External"/><Relationship Id="rId1" Type="http://schemas.openxmlformats.org/officeDocument/2006/relationships/externalLinkPath" Target="Pharma/SRPT.xlsx" TargetMode="External"/></Relationships>
</file>

<file path=xl/externalLinks/_rels/externalLink14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LYS.xlsx" TargetMode="External"/><Relationship Id="rId1" Type="http://schemas.openxmlformats.org/officeDocument/2006/relationships/externalLinkPath" Target="Pharma/MLYS.xlsx" TargetMode="External"/></Relationships>
</file>

<file path=xl/externalLinks/_rels/externalLink14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URR.xlsx" TargetMode="External"/><Relationship Id="rId1" Type="http://schemas.openxmlformats.org/officeDocument/2006/relationships/externalLinkPath" Target="Pharma/PURR.xlsx" TargetMode="External"/></Relationships>
</file>

<file path=xl/externalLinks/_rels/externalLink14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ZYME.xlsx" TargetMode="External"/><Relationship Id="rId1" Type="http://schemas.openxmlformats.org/officeDocument/2006/relationships/externalLinkPath" Target="Pharma/ZYME.xlsx" TargetMode="External"/></Relationships>
</file>

<file path=xl/externalLinks/_rels/externalLink14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EPN.xlsx" TargetMode="External"/><Relationship Id="rId1" Type="http://schemas.openxmlformats.org/officeDocument/2006/relationships/externalLinkPath" Target="Pharma/SEPN.xlsx" TargetMode="External"/></Relationships>
</file>

<file path=xl/externalLinks/_rels/externalLink14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VLA.xlsx" TargetMode="External"/><Relationship Id="rId1" Type="http://schemas.openxmlformats.org/officeDocument/2006/relationships/externalLinkPath" Target="Pharma/PVLA.xlsx" TargetMode="External"/></Relationships>
</file>

<file path=xl/externalLinks/_rels/externalLink14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ESO.xlsx" TargetMode="External"/><Relationship Id="rId1" Type="http://schemas.openxmlformats.org/officeDocument/2006/relationships/externalLinkPath" Target="Pharma/MESO.xlsx" TargetMode="External"/></Relationships>
</file>

<file path=xl/externalLinks/_rels/externalLink14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XNCR.xlsx" TargetMode="External"/><Relationship Id="rId1" Type="http://schemas.openxmlformats.org/officeDocument/2006/relationships/externalLinkPath" Target="Pharma/XNCR.xlsx" TargetMode="External"/></Relationships>
</file>

<file path=xl/externalLinks/_rels/externalLink14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RVI.xlsx" TargetMode="External"/><Relationship Id="rId1" Type="http://schemas.openxmlformats.org/officeDocument/2006/relationships/externalLinkPath" Target="Pharma/TRVI.xlsx" TargetMode="External"/></Relationships>
</file>

<file path=xl/externalLinks/_rels/externalLink14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URGN.xlsx" TargetMode="External"/><Relationship Id="rId1" Type="http://schemas.openxmlformats.org/officeDocument/2006/relationships/externalLinkPath" Target="Pharma/URGN.xlsx" TargetMode="External"/></Relationships>
</file>

<file path=xl/externalLinks/_rels/externalLink15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IR.xlsx" TargetMode="External"/><Relationship Id="rId1" Type="http://schemas.openxmlformats.org/officeDocument/2006/relationships/externalLinkPath" Target="Pharma/VIR.xlsx" TargetMode="External"/></Relationships>
</file>

<file path=xl/externalLinks/_rels/externalLink15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RVE.xlsx" TargetMode="External"/><Relationship Id="rId1" Type="http://schemas.openxmlformats.org/officeDocument/2006/relationships/externalLinkPath" Target="Pharma/BRVE.xlsx" TargetMode="External"/></Relationships>
</file>

<file path=xl/externalLinks/_rels/externalLink15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NIP.xlsx" TargetMode="External"/><Relationship Id="rId1" Type="http://schemas.openxmlformats.org/officeDocument/2006/relationships/externalLinkPath" Target="Pharma/ANIP.xlsx" TargetMode="External"/></Relationships>
</file>

<file path=xl/externalLinks/_rels/externalLink15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HVN.xlsx" TargetMode="External"/><Relationship Id="rId1" Type="http://schemas.openxmlformats.org/officeDocument/2006/relationships/externalLinkPath" Target="Pharma/BHVN.xlsx" TargetMode="External"/></Relationships>
</file>

<file path=xl/externalLinks/_rels/externalLink15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ZBIO.xlsx" TargetMode="External"/><Relationship Id="rId1" Type="http://schemas.openxmlformats.org/officeDocument/2006/relationships/externalLinkPath" Target="Pharma/ZBIO.xlsx" TargetMode="External"/></Relationships>
</file>

<file path=xl/externalLinks/_rels/externalLink15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TLA.xlsx" TargetMode="External"/><Relationship Id="rId1" Type="http://schemas.openxmlformats.org/officeDocument/2006/relationships/externalLinkPath" Target="Pharma/NTLA.xlsx" TargetMode="External"/></Relationships>
</file>

<file path=xl/externalLinks/_rels/externalLink15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AHC.xlsx" TargetMode="External"/><Relationship Id="rId1" Type="http://schemas.openxmlformats.org/officeDocument/2006/relationships/externalLinkPath" Target="Pharma/PAHC.xlsx" TargetMode="External"/></Relationships>
</file>

<file path=xl/externalLinks/_rels/externalLink15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LVO.xlsx" TargetMode="External"/><Relationship Id="rId1" Type="http://schemas.openxmlformats.org/officeDocument/2006/relationships/externalLinkPath" Target="Pharma/ALVO.xlsx" TargetMode="External"/></Relationships>
</file>

<file path=xl/externalLinks/_rels/externalLink15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TOK.xlsx" TargetMode="External"/><Relationship Id="rId1" Type="http://schemas.openxmlformats.org/officeDocument/2006/relationships/externalLinkPath" Target="Pharma/STOK.xlsx" TargetMode="External"/></Relationships>
</file>

<file path=xl/externalLinks/_rels/externalLink15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UVB.xlsx" TargetMode="External"/><Relationship Id="rId1" Type="http://schemas.openxmlformats.org/officeDocument/2006/relationships/externalLinkPath" Target="Pharma/NUVB.xlsx" TargetMode="External"/></Relationships>
</file>

<file path=xl/externalLinks/_rels/externalLink16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ENB.xlsx" TargetMode="External"/><Relationship Id="rId1" Type="http://schemas.openxmlformats.org/officeDocument/2006/relationships/externalLinkPath" Target="Pharma/GENB.xlsx" TargetMode="External"/></Relationships>
</file>

<file path=xl/externalLinks/_rels/externalLink16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AZE.xlsx" TargetMode="External"/><Relationship Id="rId1" Type="http://schemas.openxmlformats.org/officeDocument/2006/relationships/externalLinkPath" Target="Pharma/MAZE.xlsx" TargetMode="External"/></Relationships>
</file>

<file path=xl/externalLinks/_rels/externalLink16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MCR.xlsx" TargetMode="External"/><Relationship Id="rId1" Type="http://schemas.openxmlformats.org/officeDocument/2006/relationships/externalLinkPath" Target="Pharma/IMCR.xlsx" TargetMode="External"/></Relationships>
</file>

<file path=xl/externalLinks/_rels/externalLink16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CUL.xlsx" TargetMode="External"/><Relationship Id="rId1" Type="http://schemas.openxmlformats.org/officeDocument/2006/relationships/externalLinkPath" Target="Pharma/OCUL.xlsx" TargetMode="External"/></Relationships>
</file>

<file path=xl/externalLinks/_rels/externalLink16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PCR.xlsx" TargetMode="External"/><Relationship Id="rId1" Type="http://schemas.openxmlformats.org/officeDocument/2006/relationships/externalLinkPath" Target="Pharma/GPCR.xlsx" TargetMode="External"/></Relationships>
</file>

<file path=xl/externalLinks/_rels/externalLink16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NVA.xlsx" TargetMode="External"/><Relationship Id="rId1" Type="http://schemas.openxmlformats.org/officeDocument/2006/relationships/externalLinkPath" Target="Pharma/INVA.xlsx" TargetMode="External"/></Relationships>
</file>

<file path=xl/externalLinks/_rels/externalLink16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MPS.xlsx" TargetMode="External"/><Relationship Id="rId1" Type="http://schemas.openxmlformats.org/officeDocument/2006/relationships/externalLinkPath" Target="Pharma/CMPS.xlsx" TargetMode="External"/></Relationships>
</file>

<file path=xl/externalLinks/_rels/externalLink16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LRA.xlsx" TargetMode="External"/><Relationship Id="rId1" Type="http://schemas.openxmlformats.org/officeDocument/2006/relationships/externalLinkPath" Target="Pharma/KLRA.xlsx" TargetMode="External"/></Relationships>
</file>

<file path=xl/externalLinks/_rels/externalLink16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CRX.xlsx" TargetMode="External"/><Relationship Id="rId1" Type="http://schemas.openxmlformats.org/officeDocument/2006/relationships/externalLinkPath" Target="Pharma/PCRX.xlsx" TargetMode="External"/></Relationships>
</file>

<file path=xl/externalLinks/_rels/externalLink16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TON.xlsx" TargetMode="External"/><Relationship Id="rId1" Type="http://schemas.openxmlformats.org/officeDocument/2006/relationships/externalLinkPath" Target="Pharma/ETON.xlsx" TargetMode="External"/></Relationships>
</file>

<file path=xl/externalLinks/_rels/externalLink17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ARE.xlsx" TargetMode="External"/><Relationship Id="rId1" Type="http://schemas.openxmlformats.org/officeDocument/2006/relationships/externalLinkPath" Target="Pharma/RARE.xlsx" TargetMode="External"/></Relationships>
</file>

<file path=xl/externalLinks/_rels/externalLink17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BSI.xlsx" TargetMode="External"/><Relationship Id="rId1" Type="http://schemas.openxmlformats.org/officeDocument/2006/relationships/externalLinkPath" Target="Pharma/ABSI.xlsx" TargetMode="External"/></Relationships>
</file>

<file path=xl/externalLinks/_rels/externalLink17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OAG.xlsx" TargetMode="External"/><Relationship Id="rId1" Type="http://schemas.openxmlformats.org/officeDocument/2006/relationships/externalLinkPath" Target="Pharma/COAG.xlsx" TargetMode="External"/></Relationships>
</file>

<file path=xl/externalLinks/_rels/externalLink17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NAB.xlsx" TargetMode="External"/><Relationship Id="rId1" Type="http://schemas.openxmlformats.org/officeDocument/2006/relationships/externalLinkPath" Target="Pharma/ANAB.xlsx" TargetMode="External"/></Relationships>
</file>

<file path=xl/externalLinks/_rels/externalLink17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QURE.xlsx" TargetMode="External"/><Relationship Id="rId1" Type="http://schemas.openxmlformats.org/officeDocument/2006/relationships/externalLinkPath" Target="Pharma/QURE.xlsx" TargetMode="External"/></Relationships>
</file>

<file path=xl/externalLinks/_rels/externalLink17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APP.xlsx" TargetMode="External"/><Relationship Id="rId1" Type="http://schemas.openxmlformats.org/officeDocument/2006/relationships/externalLinkPath" Target="Pharma/RAPP.xlsx" TargetMode="External"/></Relationships>
</file>

<file path=xl/externalLinks/_rels/externalLink17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NBX.xlsx" TargetMode="External"/><Relationship Id="rId1" Type="http://schemas.openxmlformats.org/officeDocument/2006/relationships/externalLinkPath" Target="Pharma/INBX.xlsx" TargetMode="External"/></Relationships>
</file>

<file path=xl/externalLinks/_rels/externalLink17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RIC.xlsx" TargetMode="External"/><Relationship Id="rId1" Type="http://schemas.openxmlformats.org/officeDocument/2006/relationships/externalLinkPath" Target="Pharma/ORIC.xlsx" TargetMode="External"/></Relationships>
</file>

<file path=xl/externalLinks/_rels/externalLink17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RAX.xlsx" TargetMode="External"/><Relationship Id="rId1" Type="http://schemas.openxmlformats.org/officeDocument/2006/relationships/externalLinkPath" Target="Pharma/TRAX.xlsx" TargetMode="External"/></Relationships>
</file>

<file path=xl/externalLinks/_rels/externalLink17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KTR.xlsx" TargetMode="External"/><Relationship Id="rId1" Type="http://schemas.openxmlformats.org/officeDocument/2006/relationships/externalLinkPath" Target="Pharma/NKTR.xlsx" TargetMode="External"/></Relationships>
</file>

<file path=xl/externalLinks/_rels/externalLink18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ARD.xlsx" TargetMode="External"/><Relationship Id="rId1" Type="http://schemas.openxmlformats.org/officeDocument/2006/relationships/externalLinkPath" Target="Pharma/KARD.xlsx" TargetMode="External"/></Relationships>
</file>

<file path=xl/externalLinks/_rels/externalLink18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BRX.xlsx" TargetMode="External"/><Relationship Id="rId1" Type="http://schemas.openxmlformats.org/officeDocument/2006/relationships/externalLinkPath" Target="Pharma/LBRX.xlsx" TargetMode="External"/></Relationships>
</file>

<file path=xl/externalLinks/_rels/externalLink18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RON.xlsx" TargetMode="External"/><Relationship Id="rId1" Type="http://schemas.openxmlformats.org/officeDocument/2006/relationships/externalLinkPath" Target="Pharma/CRON.xlsx" TargetMode="External"/></Relationships>
</file>

<file path=xl/externalLinks/_rels/externalLink18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SHA.xlsx" TargetMode="External"/><Relationship Id="rId1" Type="http://schemas.openxmlformats.org/officeDocument/2006/relationships/externalLinkPath" Target="Pharma/TSHA.xlsx" TargetMode="External"/></Relationships>
</file>

<file path=xl/externalLinks/_rels/externalLink18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MER.xlsx" TargetMode="External"/><Relationship Id="rId1" Type="http://schemas.openxmlformats.org/officeDocument/2006/relationships/externalLinkPath" Target="Pharma/OMER.xlsx" TargetMode="External"/></Relationships>
</file>

<file path=xl/externalLinks/_rels/externalLink18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CAX.xlsx" TargetMode="External"/><Relationship Id="rId1" Type="http://schemas.openxmlformats.org/officeDocument/2006/relationships/externalLinkPath" Target="Pharma/BCAX.xlsx" TargetMode="External"/></Relationships>
</file>

<file path=xl/externalLinks/_rels/externalLink18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NDX.xlsx" TargetMode="External"/><Relationship Id="rId1" Type="http://schemas.openxmlformats.org/officeDocument/2006/relationships/externalLinkPath" Target="Pharma/SNDX.xlsx" TargetMode="External"/></Relationships>
</file>

<file path=xl/externalLinks/_rels/externalLink18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OR.xlsx" TargetMode="External"/><Relationship Id="rId1" Type="http://schemas.openxmlformats.org/officeDocument/2006/relationships/externalLinkPath" Target="Pharma/VOR.xlsx" TargetMode="External"/></Relationships>
</file>

<file path=xl/externalLinks/_rels/externalLink18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DMRA.xlsx" TargetMode="External"/><Relationship Id="rId1" Type="http://schemas.openxmlformats.org/officeDocument/2006/relationships/externalLinkPath" Target="Pharma/DMRA.xlsx" TargetMode="External"/></Relationships>
</file>

<file path=xl/externalLinks/_rels/externalLink18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VRA.xlsx" TargetMode="External"/><Relationship Id="rId1" Type="http://schemas.openxmlformats.org/officeDocument/2006/relationships/externalLinkPath" Target="Pharma/SVRA.xlsx" TargetMode="External"/></Relationships>
</file>

<file path=xl/externalLinks/_rels/externalLink19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HRS.xlsx" TargetMode="External"/><Relationship Id="rId1" Type="http://schemas.openxmlformats.org/officeDocument/2006/relationships/externalLinkPath" Target="Pharma/GHRS.xlsx" TargetMode="External"/></Relationships>
</file>

<file path=xl/externalLinks/_rels/externalLink19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YRA.xlsx" TargetMode="External"/><Relationship Id="rId1" Type="http://schemas.openxmlformats.org/officeDocument/2006/relationships/externalLinkPath" Target="Pharma/TYRA.xlsx" TargetMode="External"/></Relationships>
</file>

<file path=xl/externalLinks/_rels/externalLink19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MPH.xlsx" TargetMode="External"/><Relationship Id="rId1" Type="http://schemas.openxmlformats.org/officeDocument/2006/relationships/externalLinkPath" Target="Pharma/AMPH.xlsx" TargetMode="External"/></Relationships>
</file>

<file path=xl/externalLinks/_rels/externalLink19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VLN.xlsx" TargetMode="External"/><Relationship Id="rId1" Type="http://schemas.openxmlformats.org/officeDocument/2006/relationships/externalLinkPath" Target="Pharma/AVLN.xlsx" TargetMode="External"/></Relationships>
</file>

<file path=xl/externalLinks/_rels/externalLink19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BTX.xlsx" TargetMode="External"/><Relationship Id="rId1" Type="http://schemas.openxmlformats.org/officeDocument/2006/relationships/externalLinkPath" Target="Pharma/NBTX.xlsx" TargetMode="External"/></Relationships>
</file>

<file path=xl/externalLinks/_rels/externalLink19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EPL.xlsx" TargetMode="External"/><Relationship Id="rId1" Type="http://schemas.openxmlformats.org/officeDocument/2006/relationships/externalLinkPath" Target="Pharma/REPL.xlsx" TargetMode="External"/></Relationships>
</file>

<file path=xl/externalLinks/_rels/externalLink19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HROW.xlsx" TargetMode="External"/><Relationship Id="rId1" Type="http://schemas.openxmlformats.org/officeDocument/2006/relationships/externalLinkPath" Target="Pharma/HROW.xlsx" TargetMode="External"/></Relationships>
</file>

<file path=xl/externalLinks/_rels/externalLink19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JANX.xlsx" TargetMode="External"/><Relationship Id="rId1" Type="http://schemas.openxmlformats.org/officeDocument/2006/relationships/externalLinkPath" Target="Pharma/JANX.xlsx" TargetMode="External"/></Relationships>
</file>

<file path=xl/externalLinks/_rels/externalLink19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NKD.xlsx" TargetMode="External"/><Relationship Id="rId1" Type="http://schemas.openxmlformats.org/officeDocument/2006/relationships/externalLinkPath" Target="Pharma/MNKD.xlsx" TargetMode="External"/></Relationships>
</file>

<file path=xl/externalLinks/_rels/externalLink19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PTX.xlsx" TargetMode="External"/><Relationship Id="rId1" Type="http://schemas.openxmlformats.org/officeDocument/2006/relationships/externalLinkPath" Target="Pharma/SPTX.xlsx" TargetMode="External"/></Relationships>
</file>

<file path=xl/externalLinks/_rels/externalLink20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RML.xlsx" TargetMode="External"/><Relationship Id="rId1" Type="http://schemas.openxmlformats.org/officeDocument/2006/relationships/externalLinkPath" Target="Pharma/GRML.xlsx" TargetMode="External"/></Relationships>
</file>

<file path=xl/externalLinks/_rels/externalLink20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TGO.xlsx" TargetMode="External"/><Relationship Id="rId1" Type="http://schemas.openxmlformats.org/officeDocument/2006/relationships/externalLinkPath" Target="Pharma/LTGO.xlsx" TargetMode="External"/></Relationships>
</file>

<file path=xl/externalLinks/_rels/externalLink20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MTX.xlsx" TargetMode="External"/><Relationship Id="rId1" Type="http://schemas.openxmlformats.org/officeDocument/2006/relationships/externalLinkPath" Target="Pharma/IMTX.xlsx" TargetMode="External"/></Relationships>
</file>

<file path=xl/externalLinks/_rels/externalLink20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GTX.xlsx" TargetMode="External"/><Relationship Id="rId1" Type="http://schemas.openxmlformats.org/officeDocument/2006/relationships/externalLinkPath" Target="Pharma/MGTX.xlsx" TargetMode="External"/></Relationships>
</file>

<file path=xl/externalLinks/_rels/externalLink20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IGL.xlsx" TargetMode="External"/><Relationship Id="rId1" Type="http://schemas.openxmlformats.org/officeDocument/2006/relationships/externalLinkPath" Target="Pharma/RIGL.xlsx" TargetMode="External"/></Relationships>
</file>

<file path=xl/externalLinks/_rels/externalLink20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NRO.xlsx" TargetMode="External"/><Relationship Id="rId1" Type="http://schemas.openxmlformats.org/officeDocument/2006/relationships/externalLinkPath" Target="Pharma/ANRO.xlsx" TargetMode="External"/></Relationships>
</file>

<file path=xl/externalLinks/_rels/externalLink20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JBIO.xlsx" TargetMode="External"/><Relationship Id="rId1" Type="http://schemas.openxmlformats.org/officeDocument/2006/relationships/externalLinkPath" Target="Pharma/JBIO.xlsx" TargetMode="External"/></Relationships>
</file>

<file path=xl/externalLinks/_rels/externalLink20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DTX.xlsx" TargetMode="External"/><Relationship Id="rId1" Type="http://schemas.openxmlformats.org/officeDocument/2006/relationships/externalLinkPath" Target="Pharma/ODTX.xlsx" TargetMode="External"/></Relationships>
</file>

<file path=xl/externalLinks/_rels/externalLink20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BUS.xlsx" TargetMode="External"/><Relationship Id="rId1" Type="http://schemas.openxmlformats.org/officeDocument/2006/relationships/externalLinkPath" Target="Pharma/ABUS.xlsx" TargetMode="External"/></Relationships>
</file>

<file path=xl/externalLinks/_rels/externalLink20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GEM.xlsx" TargetMode="External"/><Relationship Id="rId1" Type="http://schemas.openxmlformats.org/officeDocument/2006/relationships/externalLinkPath" Target="Pharma/CGEM.xlsx" TargetMode="External"/></Relationships>
</file>

<file path=xl/externalLinks/_rels/externalLink21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LUE.xlsx" TargetMode="External"/><Relationship Id="rId1" Type="http://schemas.openxmlformats.org/officeDocument/2006/relationships/externalLinkPath" Target="Pharma/GLUE.xlsx" TargetMode="External"/></Relationships>
</file>

<file path=xl/externalLinks/_rels/externalLink21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GP.xlsx" TargetMode="External"/><Relationship Id="rId1" Type="http://schemas.openxmlformats.org/officeDocument/2006/relationships/externalLinkPath" Target="Pharma/SGP.xlsx" TargetMode="External"/></Relationships>
</file>

<file path=xl/externalLinks/_rels/externalLink21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VBP.xlsx" TargetMode="External"/><Relationship Id="rId1" Type="http://schemas.openxmlformats.org/officeDocument/2006/relationships/externalLinkPath" Target="Pharma/AVBP.xlsx" TargetMode="External"/></Relationships>
</file>

<file path=xl/externalLinks/_rels/externalLink21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RDX.xlsx" TargetMode="External"/><Relationship Id="rId1" Type="http://schemas.openxmlformats.org/officeDocument/2006/relationships/externalLinkPath" Target="Pharma/ARDX.xlsx" TargetMode="External"/></Relationships>
</file>

<file path=xl/externalLinks/_rels/externalLink21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LTX.xlsx" TargetMode="External"/><Relationship Id="rId1" Type="http://schemas.openxmlformats.org/officeDocument/2006/relationships/externalLinkPath" Target="Pharma/MLTX.xlsx" TargetMode="External"/></Relationships>
</file>

<file path=xl/externalLinks/_rels/externalLink21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URA.xlsx" TargetMode="External"/><Relationship Id="rId1" Type="http://schemas.openxmlformats.org/officeDocument/2006/relationships/externalLinkPath" Target="Pharma/KURA.xlsx" TargetMode="External"/></Relationships>
</file>

<file path=xl/externalLinks/_rels/externalLink21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KTS.xlsx" TargetMode="External"/><Relationship Id="rId1" Type="http://schemas.openxmlformats.org/officeDocument/2006/relationships/externalLinkPath" Target="Pharma/AKTS.xlsx" TargetMode="External"/></Relationships>
</file>

<file path=xl/externalLinks/_rels/externalLink21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RVS.xlsx" TargetMode="External"/><Relationship Id="rId1" Type="http://schemas.openxmlformats.org/officeDocument/2006/relationships/externalLinkPath" Target="Pharma/CRVS.xlsx" TargetMode="External"/></Relationships>
</file>

<file path=xl/externalLinks/_rels/externalLink21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LMS.xlsx" TargetMode="External"/><Relationship Id="rId1" Type="http://schemas.openxmlformats.org/officeDocument/2006/relationships/externalLinkPath" Target="Pharma/ALMS.xlsx" TargetMode="External"/></Relationships>
</file>

<file path=xl/externalLinks/_rels/externalLink21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STM.xlsx" TargetMode="External"/><Relationship Id="rId1" Type="http://schemas.openxmlformats.org/officeDocument/2006/relationships/externalLinkPath" Target="Pharma/VSTM.xlsx" TargetMode="External"/></Relationships>
</file>

<file path=xl/externalLinks/_rels/externalLink2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PMD.xlsx" TargetMode="External"/><Relationship Id="rId1" Type="http://schemas.openxmlformats.org/officeDocument/2006/relationships/externalLinkPath" Target="Pharma/APMD.xlsx" TargetMode="External"/></Relationships>
</file>

<file path=xl/externalLinks/_rels/externalLink22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OLL.xlsx" TargetMode="External"/><Relationship Id="rId1" Type="http://schemas.openxmlformats.org/officeDocument/2006/relationships/externalLinkPath" Target="Pharma/COLL.xlsx" TargetMode="External"/></Relationships>
</file>

<file path=xl/externalLinks/_rels/externalLink22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BX.xlsx" TargetMode="External"/><Relationship Id="rId1" Type="http://schemas.openxmlformats.org/officeDocument/2006/relationships/externalLinkPath" Target="Pharma/OBX.xlsx" TargetMode="External"/></Relationships>
</file>

<file path=xl/externalLinks/_rels/externalLink22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ERN.xlsx" TargetMode="External"/><Relationship Id="rId1" Type="http://schemas.openxmlformats.org/officeDocument/2006/relationships/externalLinkPath" Target="Pharma/GERN.xlsx" TargetMode="External"/></Relationships>
</file>

<file path=xl/externalLinks/_rels/externalLink22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ANA.xlsx" TargetMode="External"/><Relationship Id="rId1" Type="http://schemas.openxmlformats.org/officeDocument/2006/relationships/externalLinkPath" Target="Pharma/SANA.xlsx" TargetMode="External"/></Relationships>
</file>

<file path=xl/externalLinks/_rels/externalLink22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FDMT.xlsx" TargetMode="External"/><Relationship Id="rId1" Type="http://schemas.openxmlformats.org/officeDocument/2006/relationships/externalLinkPath" Target="Pharma/FDMT.xlsx" TargetMode="External"/></Relationships>
</file>

<file path=xl/externalLinks/_rels/externalLink22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NNX.xlsx" TargetMode="External"/><Relationship Id="rId1" Type="http://schemas.openxmlformats.org/officeDocument/2006/relationships/externalLinkPath" Target="Pharma/ANNX.xlsx" TargetMode="External"/></Relationships>
</file>

<file path=xl/externalLinks/_rels/externalLink22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YRE.xlsx" TargetMode="External"/><Relationship Id="rId1" Type="http://schemas.openxmlformats.org/officeDocument/2006/relationships/externalLinkPath" Target="Pharma/GYRE.xlsx" TargetMode="External"/></Relationships>
</file>

<file path=xl/externalLinks/_rels/externalLink22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XRX.xlsx" TargetMode="External"/><Relationship Id="rId1" Type="http://schemas.openxmlformats.org/officeDocument/2006/relationships/externalLinkPath" Target="Pharma/LXRX.xlsx" TargetMode="External"/></Relationships>
</file>

<file path=xl/externalLinks/_rels/externalLink22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TTO.xlsx" TargetMode="External"/><Relationship Id="rId1" Type="http://schemas.openxmlformats.org/officeDocument/2006/relationships/externalLinkPath" Target="Pharma/ATTO.xlsx" TargetMode="External"/></Relationships>
</file>

<file path=xl/externalLinks/_rels/externalLink23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HAR.xlsx" TargetMode="External"/><Relationship Id="rId1" Type="http://schemas.openxmlformats.org/officeDocument/2006/relationships/externalLinkPath" Target="Pharma/PHAR.xlsx" TargetMode="External"/></Relationships>
</file>

<file path=xl/externalLinks/_rels/externalLink23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CHV.xlsx" TargetMode="External"/><Relationship Id="rId1" Type="http://schemas.openxmlformats.org/officeDocument/2006/relationships/externalLinkPath" Target="Pharma/ACHV.xlsx" TargetMode="External"/></Relationships>
</file>

<file path=xl/externalLinks/_rels/externalLink23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DXG.xlsx" TargetMode="External"/><Relationship Id="rId1" Type="http://schemas.openxmlformats.org/officeDocument/2006/relationships/externalLinkPath" Target="Pharma/MDXG.xlsx" TargetMode="External"/></Relationships>
</file>

<file path=xl/externalLinks/_rels/externalLink23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DSGN.xlsx" TargetMode="External"/><Relationship Id="rId1" Type="http://schemas.openxmlformats.org/officeDocument/2006/relationships/externalLinkPath" Target="Pharma/DSGN.xlsx" TargetMode="External"/></Relationships>
</file>

<file path=xl/externalLinks/_rels/externalLink23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VTX.xlsx" TargetMode="External"/><Relationship Id="rId1" Type="http://schemas.openxmlformats.org/officeDocument/2006/relationships/externalLinkPath" Target="Pharma/AVTX.xlsx" TargetMode="External"/></Relationships>
</file>

<file path=xl/externalLinks/_rels/externalLink23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URA.xlsx" TargetMode="External"/><Relationship Id="rId1" Type="http://schemas.openxmlformats.org/officeDocument/2006/relationships/externalLinkPath" Target="Pharma/AURA.xlsx" TargetMode="External"/></Relationships>
</file>

<file path=xl/externalLinks/_rels/externalLink23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RME.xlsx" TargetMode="External"/><Relationship Id="rId1" Type="http://schemas.openxmlformats.org/officeDocument/2006/relationships/externalLinkPath" Target="Pharma/PRME.xlsx" TargetMode="External"/></Relationships>
</file>

<file path=xl/externalLinks/_rels/externalLink23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ADL.xlsx" TargetMode="External"/><Relationship Id="rId1" Type="http://schemas.openxmlformats.org/officeDocument/2006/relationships/externalLinkPath" Target="Pharma/CADL.xlsx" TargetMode="External"/></Relationships>
</file>

<file path=xl/externalLinks/_rels/externalLink23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LYM.xlsx" TargetMode="External"/><Relationship Id="rId1" Type="http://schemas.openxmlformats.org/officeDocument/2006/relationships/externalLinkPath" Target="Pharma/CLYM.xlsx" TargetMode="External"/></Relationships>
</file>

<file path=xl/externalLinks/_rels/externalLink23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RWD.xlsx" TargetMode="External"/><Relationship Id="rId1" Type="http://schemas.openxmlformats.org/officeDocument/2006/relationships/externalLinkPath" Target="Pharma/IRWD.xlsx" TargetMode="External"/></Relationships>
</file>

<file path=xl/externalLinks/_rels/externalLink24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MMX.xlsx" TargetMode="External"/><Relationship Id="rId1" Type="http://schemas.openxmlformats.org/officeDocument/2006/relationships/externalLinkPath" Target="Pharma/IMMX.xlsx" TargetMode="External"/></Relationships>
</file>

<file path=xl/externalLinks/_rels/externalLink24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VCT.xlsx" TargetMode="External"/><Relationship Id="rId1" Type="http://schemas.openxmlformats.org/officeDocument/2006/relationships/externalLinkPath" Target="Pharma/NVCT.xlsx" TargetMode="External"/></Relationships>
</file>

<file path=xl/externalLinks/_rels/externalLink24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WVE.xlsx" TargetMode="External"/><Relationship Id="rId1" Type="http://schemas.openxmlformats.org/officeDocument/2006/relationships/externalLinkPath" Target="Pharma/WVE.xlsx" TargetMode="External"/></Relationships>
</file>

<file path=xl/externalLinks/_rels/externalLink24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ZVRA.xlsx" TargetMode="External"/><Relationship Id="rId1" Type="http://schemas.openxmlformats.org/officeDocument/2006/relationships/externalLinkPath" Target="Pharma/ZVRA.xlsx" TargetMode="External"/></Relationships>
</file>

<file path=xl/externalLinks/_rels/externalLink24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LDB.xlsx" TargetMode="External"/><Relationship Id="rId1" Type="http://schemas.openxmlformats.org/officeDocument/2006/relationships/externalLinkPath" Target="Pharma/SLDB.xlsx" TargetMode="External"/></Relationships>
</file>

<file path=xl/externalLinks/_rels/externalLink24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LMA.xlsx" TargetMode="External"/><Relationship Id="rId1" Type="http://schemas.openxmlformats.org/officeDocument/2006/relationships/externalLinkPath" Target="Pharma/OLMA.xlsx" TargetMode="External"/></Relationships>
</file>

<file path=xl/externalLinks/_rels/externalLink24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VA.xlsx" TargetMode="External"/><Relationship Id="rId1" Type="http://schemas.openxmlformats.org/officeDocument/2006/relationships/externalLinkPath" Target="Pharma/IVA.xlsx" TargetMode="External"/></Relationships>
</file>

<file path=xl/externalLinks/_rels/externalLink24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RMD.xlsx" TargetMode="External"/><Relationship Id="rId1" Type="http://schemas.openxmlformats.org/officeDocument/2006/relationships/externalLinkPath" Target="Pharma/CRMD.xlsx" TargetMode="External"/></Relationships>
</file>

<file path=xl/externalLinks/_rels/externalLink24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HAT.xlsx" TargetMode="External"/><Relationship Id="rId1" Type="http://schemas.openxmlformats.org/officeDocument/2006/relationships/externalLinkPath" Target="Pharma/PHAT.xlsx" TargetMode="External"/></Relationships>
</file>

<file path=xl/externalLinks/_rels/externalLink24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TTK.xlsx" TargetMode="External"/><Relationship Id="rId1" Type="http://schemas.openxmlformats.org/officeDocument/2006/relationships/externalLinkPath" Target="Pharma/STTK.xlsx" TargetMode="External"/></Relationships>
</file>

<file path=xl/externalLinks/_rels/externalLink25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DBVT.xlsx" TargetMode="External"/><Relationship Id="rId1" Type="http://schemas.openxmlformats.org/officeDocument/2006/relationships/externalLinkPath" Target="Pharma/DBVT.xlsx" TargetMode="External"/></Relationships>
</file>

<file path=xl/externalLinks/_rels/externalLink25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ALN.xlsx" TargetMode="External"/><Relationship Id="rId1" Type="http://schemas.openxmlformats.org/officeDocument/2006/relationships/externalLinkPath" Target="Pharma/VALN.xlsx" TargetMode="External"/></Relationships>
</file>

<file path=xl/externalLinks/_rels/externalLink25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QST.xlsx" TargetMode="External"/><Relationship Id="rId1" Type="http://schemas.openxmlformats.org/officeDocument/2006/relationships/externalLinkPath" Target="Pharma/AQST.xlsx" TargetMode="External"/></Relationships>
</file>

<file path=xl/externalLinks/_rels/externalLink25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GMT.xlsx" TargetMode="External"/><Relationship Id="rId1" Type="http://schemas.openxmlformats.org/officeDocument/2006/relationships/externalLinkPath" Target="Pharma/SGMT.xlsx" TargetMode="External"/></Relationships>
</file>

<file path=xl/externalLinks/_rels/externalLink25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BYI.xlsx" TargetMode="External"/><Relationship Id="rId1" Type="http://schemas.openxmlformats.org/officeDocument/2006/relationships/externalLinkPath" Target="Pharma/PBYI.xlsx" TargetMode="External"/></Relationships>
</file>

<file path=xl/externalLinks/_rels/externalLink25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TMX.xlsx" TargetMode="External"/><Relationship Id="rId1" Type="http://schemas.openxmlformats.org/officeDocument/2006/relationships/externalLinkPath" Target="Pharma/CTMX.xlsx" TargetMode="External"/></Relationships>
</file>

<file path=xl/externalLinks/_rels/externalLink25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FTH.xlsx" TargetMode="External"/><Relationship Id="rId1" Type="http://schemas.openxmlformats.org/officeDocument/2006/relationships/externalLinkPath" Target="Pharma/FTH.xlsx" TargetMode="External"/></Relationships>
</file>

<file path=xl/externalLinks/_rels/externalLink25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CRS.xlsx" TargetMode="External"/><Relationship Id="rId1" Type="http://schemas.openxmlformats.org/officeDocument/2006/relationships/externalLinkPath" Target="Pharma/ACRS.xlsx" TargetMode="External"/></Relationships>
</file>

<file path=xl/externalLinks/_rels/externalLink25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LSM.xlsx" TargetMode="External"/><Relationship Id="rId1" Type="http://schemas.openxmlformats.org/officeDocument/2006/relationships/externalLinkPath" Target="Pharma/BLSM.xlsx" TargetMode="External"/></Relationships>
</file>

<file path=xl/externalLinks/_rels/externalLink25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OLS.xlsx" TargetMode="External"/><Relationship Id="rId1" Type="http://schemas.openxmlformats.org/officeDocument/2006/relationships/externalLinkPath" Target="Pharma/EOLS.xlsx" TargetMode="External"/></Relationships>
</file>

<file path=xl/externalLinks/_rels/externalLink26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MMP.xlsx" TargetMode="External"/><Relationship Id="rId1" Type="http://schemas.openxmlformats.org/officeDocument/2006/relationships/externalLinkPath" Target="Pharma/IMMP.xlsx" TargetMode="External"/></Relationships>
</file>

<file path=xl/externalLinks/_rels/externalLink26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GNE.xlsx" TargetMode="External"/><Relationship Id="rId1" Type="http://schemas.openxmlformats.org/officeDocument/2006/relationships/externalLinkPath" Target="Pharma/NGNE.xlsx" TargetMode="External"/></Relationships>
</file>

<file path=xl/externalLinks/_rels/externalLink26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NPR.xlsx" TargetMode="External"/><Relationship Id="rId1" Type="http://schemas.openxmlformats.org/officeDocument/2006/relationships/externalLinkPath" Target="Pharma/MNPR.xlsx" TargetMode="External"/></Relationships>
</file>

<file path=xl/externalLinks/_rels/externalLink26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NTX.xlsx" TargetMode="External"/><Relationship Id="rId1" Type="http://schemas.openxmlformats.org/officeDocument/2006/relationships/externalLinkPath" Target="Pharma/ENTX.xlsx" TargetMode="External"/></Relationships>
</file>

<file path=xl/externalLinks/_rels/externalLink26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GNX.xlsx" TargetMode="External"/><Relationship Id="rId1" Type="http://schemas.openxmlformats.org/officeDocument/2006/relationships/externalLinkPath" Target="Pharma/RGNX.xlsx" TargetMode="External"/></Relationships>
</file>

<file path=xl/externalLinks/_rels/externalLink26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RVN.xlsx" TargetMode="External"/><Relationship Id="rId1" Type="http://schemas.openxmlformats.org/officeDocument/2006/relationships/externalLinkPath" Target="Pharma/ARVN.xlsx" TargetMode="External"/></Relationships>
</file>

<file path=xl/externalLinks/_rels/externalLink26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LLO.xlsx" TargetMode="External"/><Relationship Id="rId1" Type="http://schemas.openxmlformats.org/officeDocument/2006/relationships/externalLinkPath" Target="Pharma/ALLO.xlsx" TargetMode="External"/></Relationships>
</file>

<file path=xl/externalLinks/_rels/externalLink26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NNN.xlsx" TargetMode="External"/><Relationship Id="rId1" Type="http://schemas.openxmlformats.org/officeDocument/2006/relationships/externalLinkPath" Target="Pharma/NNNN.xlsx" TargetMode="External"/></Relationships>
</file>

<file path=xl/externalLinks/_rels/externalLink26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LRY.xlsx" TargetMode="External"/><Relationship Id="rId1" Type="http://schemas.openxmlformats.org/officeDocument/2006/relationships/externalLinkPath" Target="Pharma/TLRY.xlsx" TargetMode="External"/></Relationships>
</file>

<file path=xl/externalLinks/_rels/externalLink26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MDA.xlsx" TargetMode="External"/><Relationship Id="rId1" Type="http://schemas.openxmlformats.org/officeDocument/2006/relationships/externalLinkPath" Target="Pharma/KMDA.xlsx" TargetMode="External"/></Relationships>
</file>

<file path=xl/externalLinks/_rels/externalLink27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LN.xlsx" TargetMode="External"/><Relationship Id="rId1" Type="http://schemas.openxmlformats.org/officeDocument/2006/relationships/externalLinkPath" Target="Pharma/SLN.xlsx" TargetMode="External"/></Relationships>
</file>

<file path=xl/externalLinks/_rels/externalLink27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BIO.xlsx" TargetMode="External"/><Relationship Id="rId1" Type="http://schemas.openxmlformats.org/officeDocument/2006/relationships/externalLinkPath" Target="Pharma/CBIO.xlsx" TargetMode="External"/></Relationships>
</file>

<file path=xl/externalLinks/_rels/externalLink27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CS.xlsx" TargetMode="External"/><Relationship Id="rId1" Type="http://schemas.openxmlformats.org/officeDocument/2006/relationships/externalLinkPath" Target="Pharma/OCS.xlsx" TargetMode="External"/></Relationships>
</file>

<file path=xl/externalLinks/_rels/externalLink27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RTA.xlsx" TargetMode="External"/><Relationship Id="rId1" Type="http://schemas.openxmlformats.org/officeDocument/2006/relationships/externalLinkPath" Target="Pharma/PRTA.xlsx" TargetMode="External"/></Relationships>
</file>

<file path=xl/externalLinks/_rels/externalLink27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LT.xlsx" TargetMode="External"/><Relationship Id="rId1" Type="http://schemas.openxmlformats.org/officeDocument/2006/relationships/externalLinkPath" Target="Pharma/ALT.xlsx" TargetMode="External"/></Relationships>
</file>

<file path=xl/externalLinks/_rels/externalLink27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UTL.xlsx" TargetMode="External"/><Relationship Id="rId1" Type="http://schemas.openxmlformats.org/officeDocument/2006/relationships/externalLinkPath" Target="Pharma/AUTL.xlsx" TargetMode="External"/></Relationships>
</file>

<file path=xl/externalLinks/_rels/externalLink27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VID.xlsx" TargetMode="External"/><Relationship Id="rId1" Type="http://schemas.openxmlformats.org/officeDocument/2006/relationships/externalLinkPath" Target="Pharma/OVID.xlsx" TargetMode="External"/></Relationships>
</file>

<file path=xl/externalLinks/_rels/externalLink27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YDES.xlsx" TargetMode="External"/><Relationship Id="rId1" Type="http://schemas.openxmlformats.org/officeDocument/2006/relationships/externalLinkPath" Target="Pharma/YDES.xlsx" TargetMode="External"/></Relationships>
</file>

<file path=xl/externalLinks/_rels/externalLink27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SMB.xlsx" TargetMode="External"/><Relationship Id="rId1" Type="http://schemas.openxmlformats.org/officeDocument/2006/relationships/externalLinkPath" Target="Pharma/ASMB.xlsx" TargetMode="External"/></Relationships>
</file>

<file path=xl/externalLinks/_rels/externalLink27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IKN.xlsx" TargetMode="External"/><Relationship Id="rId1" Type="http://schemas.openxmlformats.org/officeDocument/2006/relationships/externalLinkPath" Target="Pharma/EIKN.xlsx" TargetMode="External"/></Relationships>
</file>

<file path=xl/externalLinks/_rels/externalLink28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DMAC.xlsx" TargetMode="External"/><Relationship Id="rId1" Type="http://schemas.openxmlformats.org/officeDocument/2006/relationships/externalLinkPath" Target="Pharma/DMAC.xlsx" TargetMode="External"/></Relationships>
</file>

<file path=xl/externalLinks/_rels/externalLink28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PRY.xlsx" TargetMode="External"/><Relationship Id="rId1" Type="http://schemas.openxmlformats.org/officeDocument/2006/relationships/externalLinkPath" Target="Pharma/SPRY.xlsx" TargetMode="External"/></Relationships>
</file>

<file path=xl/externalLinks/_rels/externalLink28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ECX.xlsx" TargetMode="External"/><Relationship Id="rId1" Type="http://schemas.openxmlformats.org/officeDocument/2006/relationships/externalLinkPath" Target="Pharma/TECX.xlsx" TargetMode="External"/></Relationships>
</file>

<file path=xl/externalLinks/_rels/externalLink28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CEL.xlsx" TargetMode="External"/><Relationship Id="rId1" Type="http://schemas.openxmlformats.org/officeDocument/2006/relationships/externalLinkPath" Target="Pharma/RCEL.xlsx" TargetMode="External"/></Relationships>
</file>

<file path=xl/externalLinks/_rels/externalLink28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ROK.xlsx" TargetMode="External"/><Relationship Id="rId1" Type="http://schemas.openxmlformats.org/officeDocument/2006/relationships/externalLinkPath" Target="Pharma/PROK.xlsx" TargetMode="External"/></Relationships>
</file>

<file path=xl/externalLinks/_rels/externalLink28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CTX.xlsx" TargetMode="External"/><Relationship Id="rId1" Type="http://schemas.openxmlformats.org/officeDocument/2006/relationships/externalLinkPath" Target="Pharma/SCTX.xlsx" TargetMode="External"/></Relationships>
</file>

<file path=xl/externalLinks/_rels/externalLink28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APR.xlsx" TargetMode="External"/><Relationship Id="rId1" Type="http://schemas.openxmlformats.org/officeDocument/2006/relationships/externalLinkPath" Target="Pharma/CAPR.xlsx" TargetMode="External"/></Relationships>
</file>

<file path=xl/externalLinks/_rels/externalLink28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YGN.xlsx" TargetMode="External"/><Relationship Id="rId1" Type="http://schemas.openxmlformats.org/officeDocument/2006/relationships/externalLinkPath" Target="Pharma/MYGN.xlsx" TargetMode="External"/></Relationships>
</file>

<file path=xl/externalLinks/_rels/externalLink28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DIT.xlsx" TargetMode="External"/><Relationship Id="rId1" Type="http://schemas.openxmlformats.org/officeDocument/2006/relationships/externalLinkPath" Target="Pharma/EDIT.xlsx" TargetMode="External"/></Relationships>
</file>

<file path=xl/externalLinks/_rels/externalLink28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ZURA.xlsx" TargetMode="External"/><Relationship Id="rId1" Type="http://schemas.openxmlformats.org/officeDocument/2006/relationships/externalLinkPath" Target="Pharma/ZURA.xlsx" TargetMode="External"/></Relationships>
</file>

<file path=xl/externalLinks/_rels/externalLink29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YTX.xlsx" TargetMode="External"/><Relationship Id="rId1" Type="http://schemas.openxmlformats.org/officeDocument/2006/relationships/externalLinkPath" Target="Pharma/KYTX.xlsx" TargetMode="External"/></Relationships>
</file>

<file path=xl/externalLinks/_rels/externalLink29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ALT.xlsx" TargetMode="External"/><Relationship Id="rId1" Type="http://schemas.openxmlformats.org/officeDocument/2006/relationships/externalLinkPath" Target="Pharma/GALT.xlsx" TargetMode="External"/></Relationships>
</file>

<file path=xl/externalLinks/_rels/externalLink29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PLT.xlsx" TargetMode="External"/><Relationship Id="rId1" Type="http://schemas.openxmlformats.org/officeDocument/2006/relationships/externalLinkPath" Target="Pharma/MPLT.xlsx" TargetMode="External"/></Relationships>
</file>

<file path=xl/externalLinks/_rels/externalLink29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VIR.xlsx" TargetMode="External"/><Relationship Id="rId1" Type="http://schemas.openxmlformats.org/officeDocument/2006/relationships/externalLinkPath" Target="Pharma/AVIR.xlsx" TargetMode="External"/></Relationships>
</file>

<file path=xl/externalLinks/_rels/externalLink29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NDP.xlsx" TargetMode="External"/><Relationship Id="rId1" Type="http://schemas.openxmlformats.org/officeDocument/2006/relationships/externalLinkPath" Target="Pharma/INDP.xlsx" TargetMode="External"/></Relationships>
</file>

<file path=xl/externalLinks/_rels/externalLink29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FENC.xlsx" TargetMode="External"/><Relationship Id="rId1" Type="http://schemas.openxmlformats.org/officeDocument/2006/relationships/externalLinkPath" Target="Pharma/FENC.xlsx" TargetMode="External"/></Relationships>
</file>

<file path=xl/externalLinks/_rels/externalLink29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ZLT.xlsx" TargetMode="External"/><Relationship Id="rId1" Type="http://schemas.openxmlformats.org/officeDocument/2006/relationships/externalLinkPath" Target="Pharma/RZLT.xlsx" TargetMode="External"/></Relationships>
</file>

<file path=xl/externalLinks/_rels/externalLink29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TRX.xlsx" TargetMode="External"/><Relationship Id="rId1" Type="http://schemas.openxmlformats.org/officeDocument/2006/relationships/externalLinkPath" Target="Pharma/TTRX.xlsx" TargetMode="External"/></Relationships>
</file>

<file path=xl/externalLinks/_rels/externalLink29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PRX.xlsx" TargetMode="External"/><Relationship Id="rId1" Type="http://schemas.openxmlformats.org/officeDocument/2006/relationships/externalLinkPath" Target="Pharma/EPRX.xlsx" TargetMode="External"/></Relationships>
</file>

<file path=xl/externalLinks/_rels/externalLink29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LMD.xlsx" TargetMode="External"/><Relationship Id="rId1" Type="http://schemas.openxmlformats.org/officeDocument/2006/relationships/externalLinkPath" Target="Pharma/RLMD.xlsx" TargetMode="External"/></Relationships>
</file>

<file path=xl/externalLinks/_rels/externalLink30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CCC.xlsx" TargetMode="External"/><Relationship Id="rId1" Type="http://schemas.openxmlformats.org/officeDocument/2006/relationships/externalLinkPath" Target="Pharma/CCCC.xlsx" TargetMode="External"/></Relationships>
</file>

<file path=xl/externalLinks/_rels/externalLink30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NDL.xlsx" TargetMode="External"/><Relationship Id="rId1" Type="http://schemas.openxmlformats.org/officeDocument/2006/relationships/externalLinkPath" Target="Pharma/SNDL.xlsx" TargetMode="External"/></Relationships>
</file>

<file path=xl/externalLinks/_rels/externalLink30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BS.xlsx" TargetMode="External"/><Relationship Id="rId1" Type="http://schemas.openxmlformats.org/officeDocument/2006/relationships/externalLinkPath" Target="Pharma/EBS.xlsx" TargetMode="External"/></Relationships>
</file>

<file path=xl/externalLinks/_rels/externalLink30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NTA.xlsx" TargetMode="External"/><Relationship Id="rId1" Type="http://schemas.openxmlformats.org/officeDocument/2006/relationships/externalLinkPath" Target="Pharma/ENTA.xlsx" TargetMode="External"/></Relationships>
</file>

<file path=xl/externalLinks/_rels/externalLink30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RD.xlsx" TargetMode="External"/><Relationship Id="rId1" Type="http://schemas.openxmlformats.org/officeDocument/2006/relationships/externalLinkPath" Target="Pharma/IRD.xlsx" TargetMode="External"/></Relationships>
</file>

<file path=xl/externalLinks/_rels/externalLink30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TBP.xlsx" TargetMode="External"/><Relationship Id="rId1" Type="http://schemas.openxmlformats.org/officeDocument/2006/relationships/externalLinkPath" Target="Pharma/GTBP.xlsx" TargetMode="External"/></Relationships>
</file>

<file path=xl/externalLinks/_rels/externalLink30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GC.xlsx" TargetMode="External"/><Relationship Id="rId1" Type="http://schemas.openxmlformats.org/officeDocument/2006/relationships/externalLinkPath" Target="Pharma/CGC.xlsx" TargetMode="External"/></Relationships>
</file>

<file path=xl/externalLinks/_rels/externalLink30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RTV.xlsx" TargetMode="External"/><Relationship Id="rId1" Type="http://schemas.openxmlformats.org/officeDocument/2006/relationships/externalLinkPath" Target="Pharma/ARTV.xlsx" TargetMode="External"/></Relationships>
</file>

<file path=xl/externalLinks/_rels/externalLink30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NTC.xlsx" TargetMode="External"/><Relationship Id="rId1" Type="http://schemas.openxmlformats.org/officeDocument/2006/relationships/externalLinkPath" Target="Pharma/BNTC.xlsx" TargetMode="External"/></Relationships>
</file>

<file path=xl/externalLinks/_rels/externalLink30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RCT.xlsx" TargetMode="External"/><Relationship Id="rId1" Type="http://schemas.openxmlformats.org/officeDocument/2006/relationships/externalLinkPath" Target="Pharma/ARCT.xlsx" TargetMode="External"/></Relationships>
</file>

<file path=xl/externalLinks/_rels/externalLink31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BO.xlsx" TargetMode="External"/><Relationship Id="rId1" Type="http://schemas.openxmlformats.org/officeDocument/2006/relationships/externalLinkPath" Target="Pharma/IBO.xlsx" TargetMode="External"/></Relationships>
</file>

<file path=xl/externalLinks/_rels/externalLink31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FULC.xlsx" TargetMode="External"/><Relationship Id="rId1" Type="http://schemas.openxmlformats.org/officeDocument/2006/relationships/externalLinkPath" Target="Pharma/FULC.xlsx" TargetMode="External"/></Relationships>
</file>

<file path=xl/externalLinks/_rels/externalLink31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YPH.xlsx" TargetMode="External"/><Relationship Id="rId1" Type="http://schemas.openxmlformats.org/officeDocument/2006/relationships/externalLinkPath" Target="Pharma/CYPH.xlsx" TargetMode="External"/></Relationships>
</file>

<file path=xl/externalLinks/_rels/externalLink31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RZN.xlsx" TargetMode="External"/><Relationship Id="rId1" Type="http://schemas.openxmlformats.org/officeDocument/2006/relationships/externalLinkPath" Target="Pharma/SRZN.xlsx" TargetMode="External"/></Relationships>
</file>

<file path=xl/externalLinks/_rels/externalLink31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GEN.xlsx" TargetMode="External"/><Relationship Id="rId1" Type="http://schemas.openxmlformats.org/officeDocument/2006/relationships/externalLinkPath" Target="Pharma/AGEN.xlsx" TargetMode="External"/></Relationships>
</file>

<file path=xl/externalLinks/_rels/externalLink31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ALI.xlsx" TargetMode="External"/><Relationship Id="rId1" Type="http://schemas.openxmlformats.org/officeDocument/2006/relationships/externalLinkPath" Target="Pharma/PALI.xlsx" TargetMode="External"/></Relationships>
</file>

<file path=xl/externalLinks/_rels/externalLink31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NIK.xlsx" TargetMode="External"/><Relationship Id="rId1" Type="http://schemas.openxmlformats.org/officeDocument/2006/relationships/externalLinkPath" Target="Pharma/ANIK.xlsx" TargetMode="External"/></Relationships>
</file>

<file path=xl/externalLinks/_rels/externalLink31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ATX.xlsx" TargetMode="External"/><Relationship Id="rId1" Type="http://schemas.openxmlformats.org/officeDocument/2006/relationships/externalLinkPath" Target="Pharma/CATX.xlsx" TargetMode="External"/></Relationships>
</file>

<file path=xl/externalLinks/_rels/externalLink31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CGN.xlsx" TargetMode="External"/><Relationship Id="rId1" Type="http://schemas.openxmlformats.org/officeDocument/2006/relationships/externalLinkPath" Target="Pharma/OCGN.xlsx" TargetMode="External"/></Relationships>
</file>

<file path=xl/externalLinks/_rels/externalLink31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XFOR.xlsx" TargetMode="External"/><Relationship Id="rId1" Type="http://schemas.openxmlformats.org/officeDocument/2006/relationships/externalLinkPath" Target="Pharma/XFOR.xlsx" TargetMode="External"/></Relationships>
</file>

<file path=xl/externalLinks/_rels/externalLink3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RLD.xlsx" TargetMode="External"/><Relationship Id="rId1" Type="http://schemas.openxmlformats.org/officeDocument/2006/relationships/externalLinkPath" Target="Pharma/PRLD.xlsx" TargetMode="External"/></Relationships>
</file>

<file path=xl/externalLinks/_rels/externalLink32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CKT.xlsx" TargetMode="External"/><Relationship Id="rId1" Type="http://schemas.openxmlformats.org/officeDocument/2006/relationships/externalLinkPath" Target="Pharma/RCKT.xlsx" TargetMode="External"/></Relationships>
</file>

<file path=xl/externalLinks/_rels/externalLink32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YPT.xlsx" TargetMode="External"/><Relationship Id="rId1" Type="http://schemas.openxmlformats.org/officeDocument/2006/relationships/externalLinkPath" Target="Pharma/EYPT.xlsx" TargetMode="External"/></Relationships>
</file>

<file path=xl/externalLinks/_rels/externalLink32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BEO.xlsx" TargetMode="External"/><Relationship Id="rId1" Type="http://schemas.openxmlformats.org/officeDocument/2006/relationships/externalLinkPath" Target="Pharma/ABEO.xlsx" TargetMode="External"/></Relationships>
</file>

<file path=xl/externalLinks/_rels/externalLink32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CTX.xlsx" TargetMode="External"/><Relationship Id="rId1" Type="http://schemas.openxmlformats.org/officeDocument/2006/relationships/externalLinkPath" Target="Pharma/LCTX.xlsx" TargetMode="External"/></Relationships>
</file>

<file path=xl/externalLinks/_rels/externalLink32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PSC.xlsx" TargetMode="External"/><Relationship Id="rId1" Type="http://schemas.openxmlformats.org/officeDocument/2006/relationships/externalLinkPath" Target="Pharma/IPSC.xlsx" TargetMode="External"/></Relationships>
</file>

<file path=xl/externalLinks/_rels/externalLink32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NDA.xlsx" TargetMode="External"/><Relationship Id="rId1" Type="http://schemas.openxmlformats.org/officeDocument/2006/relationships/externalLinkPath" Target="Pharma/VNDA.xlsx" TargetMode="External"/></Relationships>
</file>

<file path=xl/externalLinks/_rels/externalLink32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CIU.xlsx" TargetMode="External"/><Relationship Id="rId1" Type="http://schemas.openxmlformats.org/officeDocument/2006/relationships/externalLinkPath" Target="Pharma/ACIU.xlsx" TargetMode="External"/></Relationships>
</file>

<file path=xl/externalLinks/_rels/externalLink32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CYC.xlsx" TargetMode="External"/><Relationship Id="rId1" Type="http://schemas.openxmlformats.org/officeDocument/2006/relationships/externalLinkPath" Target="Pharma/BCYC.xlsx" TargetMode="External"/></Relationships>
</file>

<file path=xl/externalLinks/_rels/externalLink32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ABA.xlsx" TargetMode="External"/><Relationship Id="rId1" Type="http://schemas.openxmlformats.org/officeDocument/2006/relationships/externalLinkPath" Target="Pharma/CABA.xlsx" TargetMode="External"/></Relationships>
</file>

<file path=xl/externalLinks/_rels/externalLink33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OGX.xlsx" TargetMode="External"/><Relationship Id="rId1" Type="http://schemas.openxmlformats.org/officeDocument/2006/relationships/externalLinkPath" Target="Pharma/VOGX.xlsx" TargetMode="External"/></Relationships>
</file>

<file path=xl/externalLinks/_rels/externalLink33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MRN.xlsx" TargetMode="External"/><Relationship Id="rId1" Type="http://schemas.openxmlformats.org/officeDocument/2006/relationships/externalLinkPath" Target="Pharma/AMRN.xlsx" TargetMode="External"/></Relationships>
</file>

<file path=xl/externalLinks/_rels/externalLink33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MRX.xlsx" TargetMode="External"/><Relationship Id="rId1" Type="http://schemas.openxmlformats.org/officeDocument/2006/relationships/externalLinkPath" Target="Pharma/IMRX.xlsx" TargetMode="External"/></Relationships>
</file>

<file path=xl/externalLinks/_rels/externalLink33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KT.xlsx" TargetMode="External"/><Relationship Id="rId1" Type="http://schemas.openxmlformats.org/officeDocument/2006/relationships/externalLinkPath" Target="Pharma/IKT.xlsx" TargetMode="External"/></Relationships>
</file>

<file path=xl/externalLinks/_rels/externalLink33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ABS.xlsx" TargetMode="External"/><Relationship Id="rId1" Type="http://schemas.openxmlformats.org/officeDocument/2006/relationships/externalLinkPath" Target="Pharma/SABS.xlsx" TargetMode="External"/></Relationships>
</file>

<file path=xl/externalLinks/_rels/externalLink33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HELP.xlsx" TargetMode="External"/><Relationship Id="rId1" Type="http://schemas.openxmlformats.org/officeDocument/2006/relationships/externalLinkPath" Target="Pharma/HELP.xlsx" TargetMode="External"/></Relationships>
</file>

<file path=xl/externalLinks/_rels/externalLink33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IGA.xlsx" TargetMode="External"/><Relationship Id="rId1" Type="http://schemas.openxmlformats.org/officeDocument/2006/relationships/externalLinkPath" Target="Pharma/SIGA.xlsx" TargetMode="External"/></Relationships>
</file>

<file path=xl/externalLinks/_rels/externalLink33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XEO.xlsx" TargetMode="External"/><Relationship Id="rId1" Type="http://schemas.openxmlformats.org/officeDocument/2006/relationships/externalLinkPath" Target="Pharma/LXEO.xlsx" TargetMode="External"/></Relationships>
</file>

<file path=xl/externalLinks/_rels/externalLink33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BOT.xlsx" TargetMode="External"/><Relationship Id="rId1" Type="http://schemas.openxmlformats.org/officeDocument/2006/relationships/externalLinkPath" Target="Pharma/BBOT.xlsx" TargetMode="External"/></Relationships>
</file>

<file path=xl/externalLinks/_rels/externalLink33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CB.xlsx" TargetMode="External"/><Relationship Id="rId1" Type="http://schemas.openxmlformats.org/officeDocument/2006/relationships/externalLinkPath" Target="Pharma/ACB.xlsx" TargetMode="External"/></Relationships>
</file>

<file path=xl/externalLinks/_rels/externalLink34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HITI.xlsx" TargetMode="External"/><Relationship Id="rId1" Type="http://schemas.openxmlformats.org/officeDocument/2006/relationships/externalLinkPath" Target="Pharma/HITI.xlsx" TargetMode="External"/></Relationships>
</file>

<file path=xl/externalLinks/_rels/externalLink34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QTTB.xlsx" TargetMode="External"/><Relationship Id="rId1" Type="http://schemas.openxmlformats.org/officeDocument/2006/relationships/externalLinkPath" Target="Pharma/QTTB.xlsx" TargetMode="External"/></Relationships>
</file>

<file path=xl/externalLinks/_rels/externalLink34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LSI.xlsx" TargetMode="External"/><Relationship Id="rId1" Type="http://schemas.openxmlformats.org/officeDocument/2006/relationships/externalLinkPath" Target="Pharma/TLSI.xlsx" TargetMode="External"/></Relationships>
</file>

<file path=xl/externalLinks/_rels/externalLink34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IOA.xlsx" TargetMode="External"/><Relationship Id="rId1" Type="http://schemas.openxmlformats.org/officeDocument/2006/relationships/externalLinkPath" Target="Pharma/BIOA.xlsx" TargetMode="External"/></Relationships>
</file>

<file path=xl/externalLinks/_rels/externalLink34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ROS.xlsx" TargetMode="External"/><Relationship Id="rId1" Type="http://schemas.openxmlformats.org/officeDocument/2006/relationships/externalLinkPath" Target="Pharma/KROS.xlsx" TargetMode="External"/></Relationships>
</file>

<file path=xl/externalLinks/_rels/externalLink34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FATE.xlsx" TargetMode="External"/><Relationship Id="rId1" Type="http://schemas.openxmlformats.org/officeDocument/2006/relationships/externalLinkPath" Target="Pharma/FATE.xlsx" TargetMode="External"/></Relationships>
</file>

<file path=xl/externalLinks/_rels/externalLink34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LSI.xlsx" TargetMode="External"/><Relationship Id="rId1" Type="http://schemas.openxmlformats.org/officeDocument/2006/relationships/externalLinkPath" Target="Pharma/GLSI.xlsx" TargetMode="External"/></Relationships>
</file>

<file path=xl/externalLinks/_rels/externalLink34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LX.xlsx" TargetMode="External"/><Relationship Id="rId1" Type="http://schemas.openxmlformats.org/officeDocument/2006/relationships/externalLinkPath" Target="Pharma/PLX.xlsx" TargetMode="External"/></Relationships>
</file>

<file path=xl/externalLinks/_rels/externalLink34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GNX.xlsx" TargetMode="External"/><Relationship Id="rId1" Type="http://schemas.openxmlformats.org/officeDocument/2006/relationships/externalLinkPath" Target="Pharma/MGNX.xlsx" TargetMode="External"/></Relationships>
</file>

<file path=xl/externalLinks/_rels/externalLink34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RMR.xlsx" TargetMode="External"/><Relationship Id="rId1" Type="http://schemas.openxmlformats.org/officeDocument/2006/relationships/externalLinkPath" Target="Pharma/LRMR.xlsx" TargetMode="External"/></Relationships>
</file>

<file path=xl/externalLinks/_rels/externalLink35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LEC.xlsx" TargetMode="External"/><Relationship Id="rId1" Type="http://schemas.openxmlformats.org/officeDocument/2006/relationships/externalLinkPath" Target="Pharma/ALEC.xlsx" TargetMode="External"/></Relationships>
</file>

<file path=xl/externalLinks/_rels/externalLink35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DCX.xlsx" TargetMode="External"/><Relationship Id="rId1" Type="http://schemas.openxmlformats.org/officeDocument/2006/relationships/externalLinkPath" Target="Pharma/MDCX.xlsx" TargetMode="External"/></Relationships>
</file>

<file path=xl/externalLinks/_rels/externalLink35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IMN.xlsx" TargetMode="External"/><Relationship Id="rId1" Type="http://schemas.openxmlformats.org/officeDocument/2006/relationships/externalLinkPath" Target="Pharma/LIMN.xlsx" TargetMode="External"/></Relationships>
</file>

<file path=xl/externalLinks/_rels/externalLink35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YEL.xlsx" TargetMode="External"/><Relationship Id="rId1" Type="http://schemas.openxmlformats.org/officeDocument/2006/relationships/externalLinkPath" Target="Pharma/LYEL.xlsx" TargetMode="External"/></Relationships>
</file>

<file path=xl/externalLinks/_rels/externalLink35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NAC.xlsx" TargetMode="External"/><Relationship Id="rId1" Type="http://schemas.openxmlformats.org/officeDocument/2006/relationships/externalLinkPath" Target="Pharma/RNAC.xlsx" TargetMode="External"/></Relationships>
</file>

<file path=xl/externalLinks/_rels/externalLink35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AMP.xlsx" TargetMode="External"/><Relationship Id="rId1" Type="http://schemas.openxmlformats.org/officeDocument/2006/relationships/externalLinkPath" Target="Pharma/CAMP.xlsx" TargetMode="External"/></Relationships>
</file>

<file path=xl/externalLinks/_rels/externalLink35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GEN.xlsx" TargetMode="External"/><Relationship Id="rId1" Type="http://schemas.openxmlformats.org/officeDocument/2006/relationships/externalLinkPath" Target="Pharma/CGEN.xlsx" TargetMode="External"/></Relationships>
</file>

<file path=xl/externalLinks/_rels/externalLink35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VMN.xlsx" TargetMode="External"/><Relationship Id="rId1" Type="http://schemas.openxmlformats.org/officeDocument/2006/relationships/externalLinkPath" Target="Pharma/EVMN.xlsx" TargetMode="External"/></Relationships>
</file>

<file path=xl/externalLinks/_rels/externalLink35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XGN.xlsx" TargetMode="External"/><Relationship Id="rId1" Type="http://schemas.openxmlformats.org/officeDocument/2006/relationships/externalLinkPath" Target="Pharma/XGN.xlsx" TargetMode="External"/></Relationships>
</file>

<file path=xl/externalLinks/_rels/externalLink35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RDA.xlsx" TargetMode="External"/><Relationship Id="rId1" Type="http://schemas.openxmlformats.org/officeDocument/2006/relationships/externalLinkPath" Target="Pharma/TRDA.xlsx" TargetMode="External"/></Relationships>
</file>

<file path=xl/externalLinks/_rels/externalLink36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KBA.xlsx" TargetMode="External"/><Relationship Id="rId1" Type="http://schemas.openxmlformats.org/officeDocument/2006/relationships/externalLinkPath" Target="Pharma/AKBA.xlsx" TargetMode="External"/></Relationships>
</file>

<file path=xl/externalLinks/_rels/externalLink36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LDN.xlsx" TargetMode="External"/><Relationship Id="rId1" Type="http://schemas.openxmlformats.org/officeDocument/2006/relationships/externalLinkPath" Target="Pharma/ELDN.xlsx" TargetMode="External"/></Relationships>
</file>

<file path=xl/externalLinks/_rels/externalLink36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VVD.xlsx" TargetMode="External"/><Relationship Id="rId1" Type="http://schemas.openxmlformats.org/officeDocument/2006/relationships/externalLinkPath" Target="Pharma/IVVD.xlsx" TargetMode="External"/></Relationships>
</file>

<file path=xl/externalLinks/_rels/externalLink36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TRO.xlsx" TargetMode="External"/><Relationship Id="rId1" Type="http://schemas.openxmlformats.org/officeDocument/2006/relationships/externalLinkPath" Target="Pharma/STRO.xlsx" TargetMode="External"/></Relationships>
</file>

<file path=xl/externalLinks/_rels/externalLink36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EPG.xlsx" TargetMode="External"/><Relationship Id="rId1" Type="http://schemas.openxmlformats.org/officeDocument/2006/relationships/externalLinkPath" Target="Pharma/PEPG.xlsx" TargetMode="External"/></Relationships>
</file>

<file path=xl/externalLinks/_rels/externalLink36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DCT.xlsx" TargetMode="External"/><Relationship Id="rId1" Type="http://schemas.openxmlformats.org/officeDocument/2006/relationships/externalLinkPath" Target="Pharma/ADCT.xlsx" TargetMode="External"/></Relationships>
</file>

<file path=xl/externalLinks/_rels/externalLink36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LGL.xlsx" TargetMode="External"/><Relationship Id="rId1" Type="http://schemas.openxmlformats.org/officeDocument/2006/relationships/externalLinkPath" Target="Pharma/SLGL.xlsx" TargetMode="External"/></Relationships>
</file>

<file path=xl/externalLinks/_rels/externalLink36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COG.xlsx" TargetMode="External"/><Relationship Id="rId1" Type="http://schemas.openxmlformats.org/officeDocument/2006/relationships/externalLinkPath" Target="Pharma/ACOG.xlsx" TargetMode="External"/></Relationships>
</file>

<file path=xl/externalLinks/_rels/externalLink36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ION.xlsx" TargetMode="External"/><Relationship Id="rId1" Type="http://schemas.openxmlformats.org/officeDocument/2006/relationships/externalLinkPath" Target="Pharma/SION.xlsx" TargetMode="External"/></Relationships>
</file>

<file path=xl/externalLinks/_rels/externalLink36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RMP.xlsx" TargetMode="External"/><Relationship Id="rId1" Type="http://schemas.openxmlformats.org/officeDocument/2006/relationships/externalLinkPath" Target="Pharma/ORMP.xlsx" TargetMode="External"/></Relationships>
</file>

<file path=xl/externalLinks/_rels/externalLink37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WHWK.xlsx" TargetMode="External"/><Relationship Id="rId1" Type="http://schemas.openxmlformats.org/officeDocument/2006/relationships/externalLinkPath" Target="Pharma/WHWK.xlsx" TargetMode="External"/></Relationships>
</file>

<file path=xl/externalLinks/_rels/externalLink37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TNM.xlsx" TargetMode="External"/><Relationship Id="rId1" Type="http://schemas.openxmlformats.org/officeDocument/2006/relationships/externalLinkPath" Target="Pharma/CTNM.xlsx" TargetMode="External"/></Relationships>
</file>

<file path=xl/externalLinks/_rels/externalLink37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DTIL.xlsx" TargetMode="External"/><Relationship Id="rId1" Type="http://schemas.openxmlformats.org/officeDocument/2006/relationships/externalLinkPath" Target="Pharma/DTIL.xlsx" TargetMode="External"/></Relationships>
</file>

<file path=xl/externalLinks/_rels/externalLink37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MPX.xlsx" TargetMode="External"/><Relationship Id="rId1" Type="http://schemas.openxmlformats.org/officeDocument/2006/relationships/externalLinkPath" Target="Pharma/CMPX.xlsx" TargetMode="External"/></Relationships>
</file>

<file path=xl/externalLinks/_rels/externalLink37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HRS.xlsx" TargetMode="External"/><Relationship Id="rId1" Type="http://schemas.openxmlformats.org/officeDocument/2006/relationships/externalLinkPath" Target="Pharma/CHRS.xlsx" TargetMode="External"/></Relationships>
</file>

<file path=xl/externalLinks/_rels/externalLink37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RQR.xlsx" TargetMode="External"/><Relationship Id="rId1" Type="http://schemas.openxmlformats.org/officeDocument/2006/relationships/externalLinkPath" Target="Pharma/PRQR.xlsx" TargetMode="External"/></Relationships>
</file>

<file path=xl/externalLinks/_rels/externalLink37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ZNTL.xlsx" TargetMode="External"/><Relationship Id="rId1" Type="http://schemas.openxmlformats.org/officeDocument/2006/relationships/externalLinkPath" Target="Pharma/ZNTL.xlsx" TargetMode="External"/></Relationships>
</file>

<file path=xl/externalLinks/_rels/externalLink37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DWD.xlsx" TargetMode="External"/><Relationship Id="rId1" Type="http://schemas.openxmlformats.org/officeDocument/2006/relationships/externalLinkPath" Target="Pharma/MDWD.xlsx" TargetMode="External"/></Relationships>
</file>

<file path=xl/externalLinks/_rels/externalLink37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RSA.xlsx" TargetMode="External"/><Relationship Id="rId1" Type="http://schemas.openxmlformats.org/officeDocument/2006/relationships/externalLinkPath" Target="Pharma/KRSA.xlsx" TargetMode="External"/></Relationships>
</file>

<file path=xl/externalLinks/_rels/externalLink37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UPB.xlsx" TargetMode="External"/><Relationship Id="rId1" Type="http://schemas.openxmlformats.org/officeDocument/2006/relationships/externalLinkPath" Target="Pharma/UPB.xlsx" TargetMode="External"/></Relationships>
</file>

<file path=xl/externalLinks/_rels/externalLink38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ENS.xlsx" TargetMode="External"/><Relationship Id="rId1" Type="http://schemas.openxmlformats.org/officeDocument/2006/relationships/externalLinkPath" Target="Pharma/MENS.xlsx" TargetMode="External"/></Relationships>
</file>

<file path=xl/externalLinks/_rels/externalLink38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YXS.xlsx" TargetMode="External"/><Relationship Id="rId1" Type="http://schemas.openxmlformats.org/officeDocument/2006/relationships/externalLinkPath" Target="Pharma/PYXS.xlsx" TargetMode="External"/></Relationships>
</file>

<file path=xl/externalLinks/_rels/externalLink38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NTN.xlsx" TargetMode="External"/><Relationship Id="rId1" Type="http://schemas.openxmlformats.org/officeDocument/2006/relationships/externalLinkPath" Target="Pharma/CNTN.xlsx" TargetMode="External"/></Relationships>
</file>

<file path=xl/externalLinks/_rels/externalLink38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LXO.xlsx" TargetMode="External"/><Relationship Id="rId1" Type="http://schemas.openxmlformats.org/officeDocument/2006/relationships/externalLinkPath" Target="Pharma/ALXO.xlsx" TargetMode="External"/></Relationships>
</file>

<file path=xl/externalLinks/_rels/externalLink38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BP.xlsx" TargetMode="External"/><Relationship Id="rId1" Type="http://schemas.openxmlformats.org/officeDocument/2006/relationships/externalLinkPath" Target="Pharma/NBP.xlsx" TargetMode="External"/></Relationships>
</file>

<file path=xl/externalLinks/_rels/externalLink38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URX.xlsx" TargetMode="External"/><Relationship Id="rId1" Type="http://schemas.openxmlformats.org/officeDocument/2006/relationships/externalLinkPath" Target="Pharma/CURX.xlsx" TargetMode="External"/></Relationships>
</file>

<file path=xl/externalLinks/_rels/externalLink38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OLN.xlsx" TargetMode="External"/><Relationship Id="rId1" Type="http://schemas.openxmlformats.org/officeDocument/2006/relationships/externalLinkPath" Target="Pharma/MOLN.xlsx" TargetMode="External"/></Relationships>
</file>

<file path=xl/externalLinks/_rels/externalLink38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DERM.xlsx" TargetMode="External"/><Relationship Id="rId1" Type="http://schemas.openxmlformats.org/officeDocument/2006/relationships/externalLinkPath" Target="Pharma/DERM.xlsx" TargetMode="External"/></Relationships>
</file>

<file path=xl/externalLinks/_rels/externalLink38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PHA.xlsx" TargetMode="External"/><Relationship Id="rId1" Type="http://schemas.openxmlformats.org/officeDocument/2006/relationships/externalLinkPath" Target="Pharma/IPHA.xlsx" TargetMode="External"/></Relationships>
</file>

<file path=xl/externalLinks/_rels/externalLink38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ARA.xlsx" TargetMode="External"/><Relationship Id="rId1" Type="http://schemas.openxmlformats.org/officeDocument/2006/relationships/externalLinkPath" Target="Pharma/TARA.xlsx" TargetMode="External"/></Relationships>
</file>

<file path=xl/externalLinks/_rels/externalLink39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NA.xlsx" TargetMode="External"/><Relationship Id="rId1" Type="http://schemas.openxmlformats.org/officeDocument/2006/relationships/externalLinkPath" Target="Pharma/RNA.xlsx" TargetMode="External"/></Relationships>
</file>

<file path=xl/externalLinks/_rels/externalLink39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KTX.xlsx" TargetMode="External"/><Relationship Id="rId1" Type="http://schemas.openxmlformats.org/officeDocument/2006/relationships/externalLinkPath" Target="Pharma/NKTX.xlsx" TargetMode="External"/></Relationships>
</file>

<file path=xl/externalLinks/_rels/externalLink39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RGO.xlsx" TargetMode="External"/><Relationship Id="rId1" Type="http://schemas.openxmlformats.org/officeDocument/2006/relationships/externalLinkPath" Target="Pharma/ORGO.xlsx" TargetMode="External"/></Relationships>
</file>

<file path=xl/externalLinks/_rels/externalLink39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NTX.xlsx" TargetMode="External"/><Relationship Id="rId1" Type="http://schemas.openxmlformats.org/officeDocument/2006/relationships/externalLinkPath" Target="Pharma/ANTX.xlsx" TargetMode="External"/></Relationships>
</file>

<file path=xl/externalLinks/_rels/externalLink39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GEN.xlsx" TargetMode="External"/><Relationship Id="rId1" Type="http://schemas.openxmlformats.org/officeDocument/2006/relationships/externalLinkPath" Target="Pharma/NGEN.xlsx" TargetMode="External"/></Relationships>
</file>

<file path=xl/externalLinks/_rels/externalLink39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RMP.xlsx" TargetMode="External"/><Relationship Id="rId1" Type="http://schemas.openxmlformats.org/officeDocument/2006/relationships/externalLinkPath" Target="Pharma/ARMP.xlsx" TargetMode="External"/></Relationships>
</file>

<file path=xl/externalLinks/_rels/externalLink39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RRO.xlsx" TargetMode="External"/><Relationship Id="rId1" Type="http://schemas.openxmlformats.org/officeDocument/2006/relationships/externalLinkPath" Target="Pharma/KRRO.xlsx" TargetMode="External"/></Relationships>
</file>

<file path=xl/externalLinks/_rels/externalLink39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BOS.xlsx" TargetMode="External"/><Relationship Id="rId1" Type="http://schemas.openxmlformats.org/officeDocument/2006/relationships/externalLinkPath" Target="Pharma/ABOS.xlsx" TargetMode="External"/></Relationships>
</file>

<file path=xl/externalLinks/_rels/externalLink39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VXL.xlsx" TargetMode="External"/><Relationship Id="rId1" Type="http://schemas.openxmlformats.org/officeDocument/2006/relationships/externalLinkPath" Target="Pharma/AVXL.xlsx" TargetMode="External"/></Relationships>
</file>

<file path=xl/externalLinks/_rels/externalLink39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UE.xlsx" TargetMode="External"/><Relationship Id="rId1" Type="http://schemas.openxmlformats.org/officeDocument/2006/relationships/externalLinkPath" Target="Pharma/CUE.xlsx" TargetMode="External"/></Relationships>
</file>

<file path=xl/externalLinks/_rels/externalLink40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HUMA.xlsx" TargetMode="External"/><Relationship Id="rId1" Type="http://schemas.openxmlformats.org/officeDocument/2006/relationships/externalLinkPath" Target="Pharma/HUMA.xlsx" TargetMode="External"/></Relationships>
</file>

<file path=xl/externalLinks/_rels/externalLink40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TLK.xlsx" TargetMode="External"/><Relationship Id="rId1" Type="http://schemas.openxmlformats.org/officeDocument/2006/relationships/externalLinkPath" Target="Pharma/OTLK.xlsx" TargetMode="External"/></Relationships>
</file>

<file path=xl/externalLinks/_rels/externalLink40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YGR.xlsx" TargetMode="External"/><Relationship Id="rId1" Type="http://schemas.openxmlformats.org/officeDocument/2006/relationships/externalLinkPath" Target="Pharma/VYGR.xlsx" TargetMode="External"/></Relationships>
</file>

<file path=xl/externalLinks/_rels/externalLink40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PRB.xlsx" TargetMode="External"/><Relationship Id="rId1" Type="http://schemas.openxmlformats.org/officeDocument/2006/relationships/externalLinkPath" Target="Pharma/SPRB.xlsx" TargetMode="External"/></Relationships>
</file>

<file path=xl/externalLinks/_rels/externalLink40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RXP.xlsx" TargetMode="External"/><Relationship Id="rId1" Type="http://schemas.openxmlformats.org/officeDocument/2006/relationships/externalLinkPath" Target="Pharma/NRXP.xlsx" TargetMode="External"/></Relationships>
</file>

<file path=xl/externalLinks/_rels/externalLink40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ERV.xlsx" TargetMode="External"/><Relationship Id="rId1" Type="http://schemas.openxmlformats.org/officeDocument/2006/relationships/externalLinkPath" Target="Pharma/NERV.xlsx" TargetMode="External"/></Relationships>
</file>

<file path=xl/externalLinks/_rels/externalLink40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HURA.xlsx" TargetMode="External"/><Relationship Id="rId1" Type="http://schemas.openxmlformats.org/officeDocument/2006/relationships/externalLinkPath" Target="Pharma/HURA.xlsx" TargetMode="External"/></Relationships>
</file>

<file path=xl/externalLinks/_rels/externalLink40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NGN.xlsx" TargetMode="External"/><Relationship Id="rId1" Type="http://schemas.openxmlformats.org/officeDocument/2006/relationships/externalLinkPath" Target="Pharma/ENGN.xlsx" TargetMode="External"/></Relationships>
</file>

<file path=xl/externalLinks/_rels/externalLink40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RDL.xlsx" TargetMode="External"/><Relationship Id="rId1" Type="http://schemas.openxmlformats.org/officeDocument/2006/relationships/externalLinkPath" Target="Pharma/CRDL.xlsx" TargetMode="External"/></Relationships>
</file>

<file path=xl/externalLinks/_rels/externalLink40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FHTX.xlsx" TargetMode="External"/><Relationship Id="rId1" Type="http://schemas.openxmlformats.org/officeDocument/2006/relationships/externalLinkPath" Target="Pharma/FHTX.xlsx" TargetMode="External"/></Relationships>
</file>

<file path=xl/externalLinks/_rels/externalLink41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NLX.xlsx" TargetMode="External"/><Relationship Id="rId1" Type="http://schemas.openxmlformats.org/officeDocument/2006/relationships/externalLinkPath" Target="Pharma/GNLX.xlsx" TargetMode="External"/></Relationships>
</file>

<file path=xl/externalLinks/_rels/externalLink41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YPD.xlsx" TargetMode="External"/><Relationship Id="rId1" Type="http://schemas.openxmlformats.org/officeDocument/2006/relationships/externalLinkPath" Target="Pharma/PYPD.xlsx" TargetMode="External"/></Relationships>
</file>

<file path=xl/externalLinks/_rels/externalLink41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PIX.xlsx" TargetMode="External"/><Relationship Id="rId1" Type="http://schemas.openxmlformats.org/officeDocument/2006/relationships/externalLinkPath" Target="Pharma/CPIX.xlsx" TargetMode="External"/></Relationships>
</file>

<file path=xl/externalLinks/_rels/externalLink41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SLE.xlsx" TargetMode="External"/><Relationship Id="rId1" Type="http://schemas.openxmlformats.org/officeDocument/2006/relationships/externalLinkPath" Target="Pharma/MSLE.xlsx" TargetMode="External"/></Relationships>
</file>

<file path=xl/externalLinks/_rels/externalLink41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TVT.xlsx" TargetMode="External"/><Relationship Id="rId1" Type="http://schemas.openxmlformats.org/officeDocument/2006/relationships/externalLinkPath" Target="Pharma/VTVT.xlsx" TargetMode="External"/></Relationships>
</file>

<file path=xl/externalLinks/_rels/externalLink41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FRNM.xlsx" TargetMode="External"/><Relationship Id="rId1" Type="http://schemas.openxmlformats.org/officeDocument/2006/relationships/externalLinkPath" Target="Pharma/FRNM.xlsx" TargetMode="External"/></Relationships>
</file>

<file path=xl/externalLinks/_rels/externalLink41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LLS.xlsx" TargetMode="External"/><Relationship Id="rId1" Type="http://schemas.openxmlformats.org/officeDocument/2006/relationships/externalLinkPath" Target="Pharma/CLLS.xlsx" TargetMode="External"/></Relationships>
</file>

<file path=xl/externalLinks/_rels/externalLink41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FRX.xlsx" TargetMode="External"/><Relationship Id="rId1" Type="http://schemas.openxmlformats.org/officeDocument/2006/relationships/externalLinkPath" Target="Pharma/IFRX.xlsx" TargetMode="External"/></Relationships>
</file>

<file path=xl/externalLinks/_rels/externalLink41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NXP.xlsx" TargetMode="External"/><Relationship Id="rId1" Type="http://schemas.openxmlformats.org/officeDocument/2006/relationships/externalLinkPath" Target="Pharma/TNXP.xlsx" TargetMode="External"/></Relationships>
</file>

<file path=xl/externalLinks/_rels/externalLink41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ENZ.xlsx" TargetMode="External"/><Relationship Id="rId1" Type="http://schemas.openxmlformats.org/officeDocument/2006/relationships/externalLinkPath" Target="Pharma/LENZ.xlsx" TargetMode="External"/></Relationships>
</file>

<file path=xl/externalLinks/_rels/externalLink4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NO.xlsx" TargetMode="External"/><Relationship Id="rId1" Type="http://schemas.openxmlformats.org/officeDocument/2006/relationships/externalLinkPath" Target="Pharma/INO.xlsx" TargetMode="External"/></Relationships>
</file>

<file path=xl/externalLinks/_rels/externalLink42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OYA.xlsx" TargetMode="External"/><Relationship Id="rId1" Type="http://schemas.openxmlformats.org/officeDocument/2006/relationships/externalLinkPath" Target="Pharma/COYA.xlsx" TargetMode="External"/></Relationships>
</file>

<file path=xl/externalLinks/_rels/externalLink42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BUS.xlsx" TargetMode="External"/><Relationship Id="rId1" Type="http://schemas.openxmlformats.org/officeDocument/2006/relationships/externalLinkPath" Target="Pharma/CBUS.xlsx" TargetMode="External"/></Relationships>
</file>

<file path=xl/externalLinks/_rels/externalLink42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MDX.xlsx" TargetMode="External"/><Relationship Id="rId1" Type="http://schemas.openxmlformats.org/officeDocument/2006/relationships/externalLinkPath" Target="Pharma/IMDX.xlsx" TargetMode="External"/></Relationships>
</file>

<file path=xl/externalLinks/_rels/externalLink42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RSN.xlsx" TargetMode="External"/><Relationship Id="rId1" Type="http://schemas.openxmlformats.org/officeDocument/2006/relationships/externalLinkPath" Target="Pharma/NRSN.xlsx" TargetMode="External"/></Relationships>
</file>

<file path=xl/externalLinks/_rels/externalLink42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DTX.xlsx" TargetMode="External"/><Relationship Id="rId1" Type="http://schemas.openxmlformats.org/officeDocument/2006/relationships/externalLinkPath" Target="Pharma/BDTX.xlsx" TargetMode="External"/></Relationships>
</file>

<file path=xl/externalLinks/_rels/externalLink42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CCC.xlsx" TargetMode="External"/><Relationship Id="rId1" Type="http://schemas.openxmlformats.org/officeDocument/2006/relationships/externalLinkPath" Target="Pharma/ICCC.xlsx" TargetMode="External"/></Relationships>
</file>

<file path=xl/externalLinks/_rels/externalLink42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DAG.xlsx" TargetMode="External"/><Relationship Id="rId1" Type="http://schemas.openxmlformats.org/officeDocument/2006/relationships/externalLinkPath" Target="Pharma/ADAG.xlsx" TargetMode="External"/></Relationships>
</file>

<file path=xl/externalLinks/_rels/externalLink42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TRA.xlsx" TargetMode="External"/><Relationship Id="rId1" Type="http://schemas.openxmlformats.org/officeDocument/2006/relationships/externalLinkPath" Target="Pharma/ATRA.xlsx" TargetMode="External"/></Relationships>
</file>

<file path=xl/externalLinks/_rels/externalLink42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MUX.xlsx" TargetMode="External"/><Relationship Id="rId1" Type="http://schemas.openxmlformats.org/officeDocument/2006/relationships/externalLinkPath" Target="Pharma/IMUX.xlsx" TargetMode="External"/></Relationships>
</file>

<file path=xl/externalLinks/_rels/externalLink43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LYX.xlsx" TargetMode="External"/><Relationship Id="rId1" Type="http://schemas.openxmlformats.org/officeDocument/2006/relationships/externalLinkPath" Target="Pharma/PLYX.xlsx" TargetMode="External"/></Relationships>
</file>

<file path=xl/externalLinks/_rels/externalLink43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UNCY.xlsx" TargetMode="External"/><Relationship Id="rId1" Type="http://schemas.openxmlformats.org/officeDocument/2006/relationships/externalLinkPath" Target="Pharma/UNCY.xlsx" TargetMode="External"/></Relationships>
</file>

<file path=xl/externalLinks/_rels/externalLink43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NIX.xlsx" TargetMode="External"/><Relationship Id="rId1" Type="http://schemas.openxmlformats.org/officeDocument/2006/relationships/externalLinkPath" Target="Pharma/ANIX.xlsx" TargetMode="External"/></Relationships>
</file>

<file path=xl/externalLinks/_rels/externalLink43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QUCY.xlsx" TargetMode="External"/><Relationship Id="rId1" Type="http://schemas.openxmlformats.org/officeDocument/2006/relationships/externalLinkPath" Target="Pharma/QUCY.xlsx" TargetMode="External"/></Relationships>
</file>

<file path=xl/externalLinks/_rels/externalLink43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NYA.xlsx" TargetMode="External"/><Relationship Id="rId1" Type="http://schemas.openxmlformats.org/officeDocument/2006/relationships/externalLinkPath" Target="Pharma/TNYA.xlsx" TargetMode="External"/></Relationships>
</file>

<file path=xl/externalLinks/_rels/externalLink43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ANI.xlsx" TargetMode="External"/><Relationship Id="rId1" Type="http://schemas.openxmlformats.org/officeDocument/2006/relationships/externalLinkPath" Target="Pharma/RANI.xlsx" TargetMode="External"/></Relationships>
</file>

<file path=xl/externalLinks/_rels/externalLink43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LYB.xlsx" TargetMode="External"/><Relationship Id="rId1" Type="http://schemas.openxmlformats.org/officeDocument/2006/relationships/externalLinkPath" Target="Pharma/RLYB.xlsx" TargetMode="External"/></Relationships>
</file>

<file path=xl/externalLinks/_rels/externalLink43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MRA.xlsx" TargetMode="External"/><Relationship Id="rId1" Type="http://schemas.openxmlformats.org/officeDocument/2006/relationships/externalLinkPath" Target="Pharma/NMRA.xlsx" TargetMode="External"/></Relationships>
</file>

<file path=xl/externalLinks/_rels/externalLink43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IST.xlsx" TargetMode="External"/><Relationship Id="rId1" Type="http://schemas.openxmlformats.org/officeDocument/2006/relationships/externalLinkPath" Target="Pharma/MIST.xlsx" TargetMode="External"/></Relationships>
</file>

<file path=xl/externalLinks/_rels/externalLink43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RBP.xlsx" TargetMode="External"/><Relationship Id="rId1" Type="http://schemas.openxmlformats.org/officeDocument/2006/relationships/externalLinkPath" Target="Pharma/CRBP.xlsx" TargetMode="External"/></Relationships>
</file>

<file path=xl/externalLinks/_rels/externalLink44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NXU.xlsx" TargetMode="External"/><Relationship Id="rId1" Type="http://schemas.openxmlformats.org/officeDocument/2006/relationships/externalLinkPath" Target="Pharma/CNXU.xlsx" TargetMode="External"/></Relationships>
</file>

<file path=xl/externalLinks/_rels/externalLink44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KUR.xlsx" TargetMode="External"/><Relationship Id="rId1" Type="http://schemas.openxmlformats.org/officeDocument/2006/relationships/externalLinkPath" Target="Pharma/OKUR.xlsx" TargetMode="External"/></Relationships>
</file>

<file path=xl/externalLinks/_rels/externalLink44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ARD.xlsx" TargetMode="External"/><Relationship Id="rId1" Type="http://schemas.openxmlformats.org/officeDocument/2006/relationships/externalLinkPath" Target="Pharma/AARD.xlsx" TargetMode="External"/></Relationships>
</file>

<file path=xl/externalLinks/_rels/externalLink44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LP.xlsx" TargetMode="External"/><Relationship Id="rId1" Type="http://schemas.openxmlformats.org/officeDocument/2006/relationships/externalLinkPath" Target="Pharma/ALP.xlsx" TargetMode="External"/></Relationships>
</file>

<file path=xl/externalLinks/_rels/externalLink44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THS.xlsx" TargetMode="External"/><Relationship Id="rId1" Type="http://schemas.openxmlformats.org/officeDocument/2006/relationships/externalLinkPath" Target="Pharma/PTHS.xlsx" TargetMode="External"/></Relationships>
</file>

<file path=xl/externalLinks/_rels/externalLink44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TRB.xlsx" TargetMode="External"/><Relationship Id="rId1" Type="http://schemas.openxmlformats.org/officeDocument/2006/relationships/externalLinkPath" Target="Pharma/NTRB.xlsx" TargetMode="External"/></Relationships>
</file>

<file path=xl/externalLinks/_rels/externalLink44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Q.xlsx" TargetMode="External"/><Relationship Id="rId1" Type="http://schemas.openxmlformats.org/officeDocument/2006/relationships/externalLinkPath" Target="Pharma/EQ.xlsx" TargetMode="External"/></Relationships>
</file>

<file path=xl/externalLinks/_rels/externalLink44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KYO.xlsx" TargetMode="External"/><Relationship Id="rId1" Type="http://schemas.openxmlformats.org/officeDocument/2006/relationships/externalLinkPath" Target="Pharma/OKYO.xlsx" TargetMode="External"/></Relationships>
</file>

<file path=xl/externalLinks/_rels/externalLink44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MN.xlsx" TargetMode="External"/><Relationship Id="rId1" Type="http://schemas.openxmlformats.org/officeDocument/2006/relationships/externalLinkPath" Target="Pharma/PMN.xlsx" TargetMode="External"/></Relationships>
</file>

<file path=xl/externalLinks/_rels/externalLink44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ELO.xlsx" TargetMode="External"/><Relationship Id="rId1" Type="http://schemas.openxmlformats.org/officeDocument/2006/relationships/externalLinkPath" Target="Pharma/TELO.xlsx" TargetMode="External"/></Relationships>
</file>

<file path=xl/externalLinks/_rels/externalLink45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FL.xlsx" TargetMode="External"/><Relationship Id="rId1" Type="http://schemas.openxmlformats.org/officeDocument/2006/relationships/externalLinkPath" Target="Pharma/RFL.xlsx" TargetMode="External"/></Relationships>
</file>

<file path=xl/externalLinks/_rels/externalLink45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TOR.xlsx" TargetMode="External"/><Relationship Id="rId1" Type="http://schemas.openxmlformats.org/officeDocument/2006/relationships/externalLinkPath" Target="Pharma/CTOR.xlsx" TargetMode="External"/></Relationships>
</file>

<file path=xl/externalLinks/_rels/externalLink45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EXX.xlsx" TargetMode="External"/><Relationship Id="rId1" Type="http://schemas.openxmlformats.org/officeDocument/2006/relationships/externalLinkPath" Target="Pharma/LEXX.xlsx" TargetMode="External"/></Relationships>
</file>

<file path=xl/externalLinks/_rels/externalLink45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CRV.xlsx" TargetMode="External"/><Relationship Id="rId1" Type="http://schemas.openxmlformats.org/officeDocument/2006/relationships/externalLinkPath" Target="Pharma/ACRV.xlsx" TargetMode="External"/></Relationships>
</file>

<file path=xl/externalLinks/_rels/externalLink45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RDF.xlsx" TargetMode="External"/><Relationship Id="rId1" Type="http://schemas.openxmlformats.org/officeDocument/2006/relationships/externalLinkPath" Target="Pharma/CRDF.xlsx" TargetMode="External"/></Relationships>
</file>

<file path=xl/externalLinks/_rels/externalLink45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THI.xlsx" TargetMode="External"/><Relationship Id="rId1" Type="http://schemas.openxmlformats.org/officeDocument/2006/relationships/externalLinkPath" Target="Pharma/NTHI.xlsx" TargetMode="External"/></Relationships>
</file>

<file path=xl/externalLinks/_rels/externalLink45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NOV.xlsx" TargetMode="External"/><Relationship Id="rId1" Type="http://schemas.openxmlformats.org/officeDocument/2006/relationships/externalLinkPath" Target="Pharma/MNOV.xlsx" TargetMode="External"/></Relationships>
</file>

<file path=xl/externalLinks/_rels/externalLink45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GTX.xlsx" TargetMode="External"/><Relationship Id="rId1" Type="http://schemas.openxmlformats.org/officeDocument/2006/relationships/externalLinkPath" Target="Pharma/CGTX.xlsx" TargetMode="External"/></Relationships>
</file>

<file path=xl/externalLinks/_rels/externalLink45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HRTX.xlsx" TargetMode="External"/><Relationship Id="rId1" Type="http://schemas.openxmlformats.org/officeDocument/2006/relationships/externalLinkPath" Target="Pharma/HRTX.xlsx" TargetMode="External"/></Relationships>
</file>

<file path=xl/externalLinks/_rels/externalLink45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ZYBT.xlsx" TargetMode="External"/><Relationship Id="rId1" Type="http://schemas.openxmlformats.org/officeDocument/2006/relationships/externalLinkPath" Target="Pharma/ZYBT.xlsx" TargetMode="External"/></Relationships>
</file>

<file path=xl/externalLinks/_rels/externalLink46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PRO.xlsx" TargetMode="External"/><Relationship Id="rId1" Type="http://schemas.openxmlformats.org/officeDocument/2006/relationships/externalLinkPath" Target="Pharma/SPRO.xlsx" TargetMode="External"/></Relationships>
</file>

<file path=xl/externalLinks/_rels/externalLink46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STX.xlsx" TargetMode="External"/><Relationship Id="rId1" Type="http://schemas.openxmlformats.org/officeDocument/2006/relationships/externalLinkPath" Target="Pharma/OSTX.xlsx" TargetMode="External"/></Relationships>
</file>

<file path=xl/externalLinks/_rels/externalLink46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MVP.xlsx" TargetMode="External"/><Relationship Id="rId1" Type="http://schemas.openxmlformats.org/officeDocument/2006/relationships/externalLinkPath" Target="Pharma/PMVP.xlsx" TargetMode="External"/></Relationships>
</file>

<file path=xl/externalLinks/_rels/externalLink46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XBIT.xlsx" TargetMode="External"/><Relationship Id="rId1" Type="http://schemas.openxmlformats.org/officeDocument/2006/relationships/externalLinkPath" Target="Pharma/XBIT.xlsx" TargetMode="External"/></Relationships>
</file>

<file path=xl/externalLinks/_rels/externalLink46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NCY.xlsx" TargetMode="External"/><Relationship Id="rId1" Type="http://schemas.openxmlformats.org/officeDocument/2006/relationships/externalLinkPath" Target="Pharma/ONCY.xlsx" TargetMode="External"/></Relationships>
</file>

<file path=xl/externalLinks/_rels/externalLink46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ING.xlsx" TargetMode="External"/><Relationship Id="rId1" Type="http://schemas.openxmlformats.org/officeDocument/2006/relationships/externalLinkPath" Target="Pharma/CING.xlsx" TargetMode="External"/></Relationships>
</file>

<file path=xl/externalLinks/_rels/externalLink46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DSB.xlsx" TargetMode="External"/><Relationship Id="rId1" Type="http://schemas.openxmlformats.org/officeDocument/2006/relationships/externalLinkPath" Target="Pharma/PDSB.xlsx" TargetMode="External"/></Relationships>
</file>

<file path=xl/externalLinks/_rels/externalLink46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MAD.xlsx" TargetMode="External"/><Relationship Id="rId1" Type="http://schemas.openxmlformats.org/officeDocument/2006/relationships/externalLinkPath" Target="Pharma/NMAD.xlsx" TargetMode="External"/></Relationships>
</file>

<file path=xl/externalLinks/_rels/externalLink46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FBIO.xlsx" TargetMode="External"/><Relationship Id="rId1" Type="http://schemas.openxmlformats.org/officeDocument/2006/relationships/externalLinkPath" Target="Pharma/FBIO.xlsx" TargetMode="External"/></Relationships>
</file>

<file path=xl/externalLinks/_rels/externalLink46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RCA.xlsx" TargetMode="External"/><Relationship Id="rId1" Type="http://schemas.openxmlformats.org/officeDocument/2006/relationships/externalLinkPath" Target="Pharma/VRCA.xlsx" TargetMode="External"/></Relationships>
</file>

<file path=xl/externalLinks/_rels/externalLink47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MEA.xlsx" TargetMode="External"/><Relationship Id="rId1" Type="http://schemas.openxmlformats.org/officeDocument/2006/relationships/externalLinkPath" Target="Pharma/BMEA.xlsx" TargetMode="External"/></Relationships>
</file>

<file path=xl/externalLinks/_rels/externalLink47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ANX.xlsx" TargetMode="External"/><Relationship Id="rId1" Type="http://schemas.openxmlformats.org/officeDocument/2006/relationships/externalLinkPath" Target="Pharma/GANX.xlsx" TargetMode="External"/></Relationships>
</file>

<file path=xl/externalLinks/_rels/externalLink47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NTB.xlsx" TargetMode="External"/><Relationship Id="rId1" Type="http://schemas.openxmlformats.org/officeDocument/2006/relationships/externalLinkPath" Target="Pharma/CNTB.xlsx" TargetMode="External"/></Relationships>
</file>

<file path=xl/externalLinks/_rels/externalLink47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XLO.xlsx" TargetMode="External"/><Relationship Id="rId1" Type="http://schemas.openxmlformats.org/officeDocument/2006/relationships/externalLinkPath" Target="Pharma/XLO.xlsx" TargetMode="External"/></Relationships>
</file>

<file path=xl/externalLinks/_rels/externalLink47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LRX.xlsx" TargetMode="External"/><Relationship Id="rId1" Type="http://schemas.openxmlformats.org/officeDocument/2006/relationships/externalLinkPath" Target="Pharma/PLRX.xlsx" TargetMode="External"/></Relationships>
</file>

<file path=xl/externalLinks/_rels/externalLink47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LPH.xlsx" TargetMode="External"/><Relationship Id="rId1" Type="http://schemas.openxmlformats.org/officeDocument/2006/relationships/externalLinkPath" Target="Pharma/TLPH.xlsx" TargetMode="External"/></Relationships>
</file>

<file path=xl/externalLinks/_rels/externalLink47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KYE.xlsx" TargetMode="External"/><Relationship Id="rId1" Type="http://schemas.openxmlformats.org/officeDocument/2006/relationships/externalLinkPath" Target="Pharma/SKYE.xlsx" TargetMode="External"/></Relationships>
</file>

<file path=xl/externalLinks/_rels/externalLink47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NTX.xlsx" TargetMode="External"/><Relationship Id="rId1" Type="http://schemas.openxmlformats.org/officeDocument/2006/relationships/externalLinkPath" Target="Pharma/RNTX.xlsx" TargetMode="External"/></Relationships>
</file>

<file path=xl/externalLinks/_rels/externalLink47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NXT.xlsx" TargetMode="External"/><Relationship Id="rId1" Type="http://schemas.openxmlformats.org/officeDocument/2006/relationships/externalLinkPath" Target="Pharma/RNXT.xlsx" TargetMode="External"/></Relationships>
</file>

<file path=xl/externalLinks/_rels/externalLink47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YARW.xlsx" TargetMode="External"/><Relationship Id="rId1" Type="http://schemas.openxmlformats.org/officeDocument/2006/relationships/externalLinkPath" Target="Pharma/YARW.xlsx" TargetMode="External"/></Relationships>
</file>

<file path=xl/externalLinks/_rels/externalLink48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OLD.xlsx" TargetMode="External"/><Relationship Id="rId1" Type="http://schemas.openxmlformats.org/officeDocument/2006/relationships/externalLinkPath" Target="Pharma/BOLD.xlsx" TargetMode="External"/></Relationships>
</file>

<file path=xl/externalLinks/_rels/externalLink48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LRS.xlsx" TargetMode="External"/><Relationship Id="rId1" Type="http://schemas.openxmlformats.org/officeDocument/2006/relationships/externalLinkPath" Target="Pharma/KLRS.xlsx" TargetMode="External"/></Relationships>
</file>

<file path=xl/externalLinks/_rels/externalLink48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ENX.xlsx" TargetMode="External"/><Relationship Id="rId1" Type="http://schemas.openxmlformats.org/officeDocument/2006/relationships/externalLinkPath" Target="Pharma/TENX.xlsx" TargetMode="External"/></Relationships>
</file>

<file path=xl/externalLinks/_rels/externalLink48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NKT.xlsx" TargetMode="External"/><Relationship Id="rId1" Type="http://schemas.openxmlformats.org/officeDocument/2006/relationships/externalLinkPath" Target="Pharma/INKT.xlsx" TargetMode="External"/></Relationships>
</file>

<file path=xl/externalLinks/_rels/externalLink48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RBU.xlsx" TargetMode="External"/><Relationship Id="rId1" Type="http://schemas.openxmlformats.org/officeDocument/2006/relationships/externalLinkPath" Target="Pharma/CRBU.xlsx" TargetMode="External"/></Relationships>
</file>

<file path=xl/externalLinks/_rels/externalLink48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ONA.xlsx" TargetMode="External"/><Relationship Id="rId1" Type="http://schemas.openxmlformats.org/officeDocument/2006/relationships/externalLinkPath" Target="Pharma/LONA.xlsx" TargetMode="External"/></Relationships>
</file>

<file path=xl/externalLinks/_rels/externalLink48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THE.xlsx" TargetMode="External"/><Relationship Id="rId1" Type="http://schemas.openxmlformats.org/officeDocument/2006/relationships/externalLinkPath" Target="Pharma/ATHE.xlsx" TargetMode="External"/></Relationships>
</file>

<file path=xl/externalLinks/_rels/externalLink48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BIO.xlsx" TargetMode="External"/><Relationship Id="rId1" Type="http://schemas.openxmlformats.org/officeDocument/2006/relationships/externalLinkPath" Target="Pharma/IBIO.xlsx" TargetMode="External"/></Relationships>
</file>

<file path=xl/externalLinks/_rels/externalLink48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HYPD.xlsx" TargetMode="External"/><Relationship Id="rId1" Type="http://schemas.openxmlformats.org/officeDocument/2006/relationships/externalLinkPath" Target="Pharma/HYPD.xlsx" TargetMode="External"/></Relationships>
</file>

<file path=xl/externalLinks/_rels/externalLink48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NLV.xlsx" TargetMode="External"/><Relationship Id="rId1" Type="http://schemas.openxmlformats.org/officeDocument/2006/relationships/externalLinkPath" Target="Pharma/ENLV.xlsx" TargetMode="External"/></Relationships>
</file>

<file path=xl/externalLinks/_rels/externalLink49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REO.xlsx" TargetMode="External"/><Relationship Id="rId1" Type="http://schemas.openxmlformats.org/officeDocument/2006/relationships/externalLinkPath" Target="Pharma/MREO.xlsx" TargetMode="External"/></Relationships>
</file>

<file path=xl/externalLinks/_rels/externalLink49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HOWL.xlsx" TargetMode="External"/><Relationship Id="rId1" Type="http://schemas.openxmlformats.org/officeDocument/2006/relationships/externalLinkPath" Target="Pharma/HOWL.xlsx" TargetMode="External"/></Relationships>
</file>

<file path=xl/externalLinks/_rels/externalLink49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LGN.xlsx" TargetMode="External"/><Relationship Id="rId1" Type="http://schemas.openxmlformats.org/officeDocument/2006/relationships/externalLinkPath" Target="Pharma/CLGN.xlsx" TargetMode="External"/></Relationships>
</file>

<file path=xl/externalLinks/_rels/externalLink49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LTX.xlsx" TargetMode="External"/><Relationship Id="rId1" Type="http://schemas.openxmlformats.org/officeDocument/2006/relationships/externalLinkPath" Target="Pharma/ELTX.xlsx" TargetMode="External"/></Relationships>
</file>

<file path=xl/externalLinks/_rels/externalLink49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VGN.xlsx" TargetMode="External"/><Relationship Id="rId1" Type="http://schemas.openxmlformats.org/officeDocument/2006/relationships/externalLinkPath" Target="Pharma/TVGN.xlsx" TargetMode="External"/></Relationships>
</file>

<file path=xl/externalLinks/_rels/externalLink49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NMB.xlsx" TargetMode="External"/><Relationship Id="rId1" Type="http://schemas.openxmlformats.org/officeDocument/2006/relationships/externalLinkPath" Target="Pharma/INMB.xlsx" TargetMode="External"/></Relationships>
</file>

<file path=xl/externalLinks/_rels/externalLink49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MA.xlsx" TargetMode="External"/><Relationship Id="rId1" Type="http://schemas.openxmlformats.org/officeDocument/2006/relationships/externalLinkPath" Target="Pharma/IMA.xlsx" TargetMode="External"/></Relationships>
</file>

<file path=xl/externalLinks/_rels/externalLink49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ER.xlsx" TargetMode="External"/><Relationship Id="rId1" Type="http://schemas.openxmlformats.org/officeDocument/2006/relationships/externalLinkPath" Target="Pharma/SER.xlsx" TargetMode="External"/></Relationships>
</file>

<file path=xl/externalLinks/_rels/externalLink49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DEV.xlsx" TargetMode="External"/><Relationship Id="rId1" Type="http://schemas.openxmlformats.org/officeDocument/2006/relationships/externalLinkPath" Target="Pharma/SDEV.xlsx" TargetMode="External"/></Relationships>
</file>

<file path=xl/externalLinks/_rels/externalLink49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GVN.xlsx" TargetMode="External"/><Relationship Id="rId1" Type="http://schemas.openxmlformats.org/officeDocument/2006/relationships/externalLinkPath" Target="Pharma/LGVN.xlsx" TargetMode="External"/></Relationships>
</file>

<file path=xl/externalLinks/_rels/externalLink50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CET.xlsx" TargetMode="External"/><Relationship Id="rId1" Type="http://schemas.openxmlformats.org/officeDocument/2006/relationships/externalLinkPath" Target="Pharma/ACET.xlsx" TargetMode="External"/></Relationships>
</file>

<file path=xl/externalLinks/_rels/externalLink50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NVS.xlsx" TargetMode="External"/><Relationship Id="rId1" Type="http://schemas.openxmlformats.org/officeDocument/2006/relationships/externalLinkPath" Target="Pharma/ANVS.xlsx" TargetMode="External"/></Relationships>
</file>

<file path=xl/externalLinks/_rels/externalLink50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LDX.xlsx" TargetMode="External"/><Relationship Id="rId1" Type="http://schemas.openxmlformats.org/officeDocument/2006/relationships/externalLinkPath" Target="Pharma/ALDX.xlsx" TargetMode="External"/></Relationships>
</file>

<file path=xl/externalLinks/_rels/externalLink50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DWTX.xlsx" TargetMode="External"/><Relationship Id="rId1" Type="http://schemas.openxmlformats.org/officeDocument/2006/relationships/externalLinkPath" Target="Pharma/DWTX.xlsx" TargetMode="External"/></Relationships>
</file>

<file path=xl/externalLinks/_rels/externalLink50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ELU.xlsx" TargetMode="External"/><Relationship Id="rId1" Type="http://schemas.openxmlformats.org/officeDocument/2006/relationships/externalLinkPath" Target="Pharma/CELU.xlsx" TargetMode="External"/></Relationships>
</file>

<file path=xl/externalLinks/_rels/externalLink50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IL.xlsx" TargetMode="External"/><Relationship Id="rId1" Type="http://schemas.openxmlformats.org/officeDocument/2006/relationships/externalLinkPath" Target="Pharma/TIL.xlsx" TargetMode="External"/></Relationships>
</file>

<file path=xl/externalLinks/_rels/externalLink50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LNN.xlsx" TargetMode="External"/><Relationship Id="rId1" Type="http://schemas.openxmlformats.org/officeDocument/2006/relationships/externalLinkPath" Target="Pharma/CLNN.xlsx" TargetMode="External"/></Relationships>
</file>

<file path=xl/externalLinks/_rels/externalLink50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RCE.xlsx" TargetMode="External"/><Relationship Id="rId1" Type="http://schemas.openxmlformats.org/officeDocument/2006/relationships/externalLinkPath" Target="Pharma/GRCE.xlsx" TargetMode="External"/></Relationships>
</file>

<file path=xl/externalLinks/_rels/externalLink50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ERU.xlsx" TargetMode="External"/><Relationship Id="rId1" Type="http://schemas.openxmlformats.org/officeDocument/2006/relationships/externalLinkPath" Target="Pharma/VERU.xlsx" TargetMode="External"/></Relationships>
</file>

<file path=xl/externalLinks/_rels/externalLink50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TMD.xlsx" TargetMode="External"/><Relationship Id="rId1" Type="http://schemas.openxmlformats.org/officeDocument/2006/relationships/externalLinkPath" Target="Pharma/BTMD.xlsx" TargetMode="External"/></Relationships>
</file>

<file path=xl/externalLinks/_rels/externalLink51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RTX.xlsx" TargetMode="External"/><Relationship Id="rId1" Type="http://schemas.openxmlformats.org/officeDocument/2006/relationships/externalLinkPath" Target="Pharma/BRTX.xlsx" TargetMode="External"/></Relationships>
</file>

<file path=xl/externalLinks/_rels/externalLink51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XOZ.xlsx" TargetMode="External"/><Relationship Id="rId1" Type="http://schemas.openxmlformats.org/officeDocument/2006/relationships/externalLinkPath" Target="Pharma/EXOZ.xlsx" TargetMode="External"/></Relationships>
</file>

<file path=xl/externalLinks/_rels/externalLink51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SEM.xlsx" TargetMode="External"/><Relationship Id="rId1" Type="http://schemas.openxmlformats.org/officeDocument/2006/relationships/externalLinkPath" Target="Pharma/BSEM.xlsx" TargetMode="External"/></Relationships>
</file>

<file path=xl/externalLinks/_rels/externalLink51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CYX.xlsx" TargetMode="External"/><Relationship Id="rId1" Type="http://schemas.openxmlformats.org/officeDocument/2006/relationships/externalLinkPath" Target="Pharma/SCYX.xlsx" TargetMode="External"/></Relationships>
</file>

<file path=xl/externalLinks/_rels/externalLink51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TNB.xlsx" TargetMode="External"/><Relationship Id="rId1" Type="http://schemas.openxmlformats.org/officeDocument/2006/relationships/externalLinkPath" Target="Pharma/MTNB.xlsx" TargetMode="External"/></Relationships>
</file>

<file path=xl/externalLinks/_rels/externalLink51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ALC.xlsx" TargetMode="External"/><Relationship Id="rId1" Type="http://schemas.openxmlformats.org/officeDocument/2006/relationships/externalLinkPath" Target="Pharma/CALC.xlsx" TargetMode="External"/></Relationships>
</file>

<file path=xl/externalLinks/_rels/externalLink51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XHL.xlsx" TargetMode="External"/><Relationship Id="rId1" Type="http://schemas.openxmlformats.org/officeDocument/2006/relationships/externalLinkPath" Target="Pharma/IXHL.xlsx" TargetMode="External"/></Relationships>
</file>

<file path=xl/externalLinks/_rels/externalLink51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NVC.xlsx" TargetMode="External"/><Relationship Id="rId1" Type="http://schemas.openxmlformats.org/officeDocument/2006/relationships/externalLinkPath" Target="Pharma/NNVC.xlsx" TargetMode="External"/></Relationships>
</file>

<file path=xl/externalLinks/_rels/externalLink51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LUT.xlsx" TargetMode="External"/><Relationship Id="rId1" Type="http://schemas.openxmlformats.org/officeDocument/2006/relationships/externalLinkPath" Target="Pharma/ELUT.xlsx" TargetMode="External"/></Relationships>
</file>

<file path=xl/externalLinks/_rels/externalLink51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ITS.xlsx" TargetMode="External"/><Relationship Id="rId1" Type="http://schemas.openxmlformats.org/officeDocument/2006/relationships/externalLinkPath" Target="Pharma/LITS.xlsx" TargetMode="External"/></Relationships>
</file>

<file path=xl/externalLinks/_rels/externalLink5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FLNA.xlsx" TargetMode="External"/><Relationship Id="rId1" Type="http://schemas.openxmlformats.org/officeDocument/2006/relationships/externalLinkPath" Target="Pharma/FLNA.xlsx" TargetMode="External"/></Relationships>
</file>

<file path=xl/externalLinks/_rels/externalLink52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RVO.xlsx" TargetMode="External"/><Relationship Id="rId1" Type="http://schemas.openxmlformats.org/officeDocument/2006/relationships/externalLinkPath" Target="Pharma/CRVO.xlsx" TargetMode="External"/></Relationships>
</file>

<file path=xl/externalLinks/_rels/externalLink52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TNM.xlsx" TargetMode="External"/><Relationship Id="rId1" Type="http://schemas.openxmlformats.org/officeDocument/2006/relationships/externalLinkPath" Target="Pharma/ATNM.xlsx" TargetMode="External"/></Relationships>
</file>

<file path=xl/externalLinks/_rels/externalLink52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QNCX.xlsx" TargetMode="External"/><Relationship Id="rId1" Type="http://schemas.openxmlformats.org/officeDocument/2006/relationships/externalLinkPath" Target="Pharma/QNCX.xlsx" TargetMode="External"/></Relationships>
</file>

<file path=xl/externalLinks/_rels/externalLink52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IAF.xlsx" TargetMode="External"/><Relationship Id="rId1" Type="http://schemas.openxmlformats.org/officeDocument/2006/relationships/externalLinkPath" Target="Pharma/BIAF.xlsx" TargetMode="External"/></Relationships>
</file>

<file path=xl/externalLinks/_rels/externalLink52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VM.xlsx" TargetMode="External"/><Relationship Id="rId1" Type="http://schemas.openxmlformats.org/officeDocument/2006/relationships/externalLinkPath" Target="Pharma/CVM.xlsx" TargetMode="External"/></Relationships>
</file>

<file path=xl/externalLinks/_rels/externalLink52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LGS.xlsx" TargetMode="External"/><Relationship Id="rId1" Type="http://schemas.openxmlformats.org/officeDocument/2006/relationships/externalLinkPath" Target="Pharma/ALGS.xlsx" TargetMode="External"/></Relationships>
</file>

<file path=xl/externalLinks/_rels/externalLink52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RDX.xlsx" TargetMode="External"/><Relationship Id="rId1" Type="http://schemas.openxmlformats.org/officeDocument/2006/relationships/externalLinkPath" Target="Pharma/GRDX.xlsx" TargetMode="External"/></Relationships>
</file>

<file path=xl/externalLinks/_rels/externalLink52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GX.xlsx" TargetMode="External"/><Relationship Id="rId1" Type="http://schemas.openxmlformats.org/officeDocument/2006/relationships/externalLinkPath" Target="Pharma/MGX.xlsx" TargetMode="External"/></Relationships>
</file>

<file path=xl/externalLinks/_rels/externalLink52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CTX.xlsx" TargetMode="External"/><Relationship Id="rId1" Type="http://schemas.openxmlformats.org/officeDocument/2006/relationships/externalLinkPath" Target="Pharma/BCTX.xlsx" TargetMode="External"/></Relationships>
</file>

<file path=xl/externalLinks/_rels/externalLink53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PHI.xlsx" TargetMode="External"/><Relationship Id="rId1" Type="http://schemas.openxmlformats.org/officeDocument/2006/relationships/externalLinkPath" Target="Pharma/CPHI.xlsx" TargetMode="External"/></Relationships>
</file>

<file path=xl/externalLinks/_rels/externalLink53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TOS.xlsx" TargetMode="External"/><Relationship Id="rId1" Type="http://schemas.openxmlformats.org/officeDocument/2006/relationships/externalLinkPath" Target="Pharma/ATOS.xlsx" TargetMode="External"/></Relationships>
</file>

<file path=xl/externalLinks/_rels/externalLink53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NAZ.xlsx" TargetMode="External"/><Relationship Id="rId1" Type="http://schemas.openxmlformats.org/officeDocument/2006/relationships/externalLinkPath" Target="Pharma/RNAZ.xlsx" TargetMode="External"/></Relationships>
</file>

<file path=xl/externalLinks/_rels/externalLink53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XTC.xlsx" TargetMode="External"/><Relationship Id="rId1" Type="http://schemas.openxmlformats.org/officeDocument/2006/relationships/externalLinkPath" Target="Pharma/NXTC.xlsx" TargetMode="External"/></Relationships>
</file>

<file path=xl/externalLinks/_rels/externalLink53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SRX.xlsx" TargetMode="External"/><Relationship Id="rId1" Type="http://schemas.openxmlformats.org/officeDocument/2006/relationships/externalLinkPath" Target="Pharma/NSRX.xlsx" TargetMode="External"/></Relationships>
</file>

<file path=xl/externalLinks/_rels/externalLink53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IRA.xlsx" TargetMode="External"/><Relationship Id="rId1" Type="http://schemas.openxmlformats.org/officeDocument/2006/relationships/externalLinkPath" Target="Pharma/MIRA.xlsx" TargetMode="External"/></Relationships>
</file>

<file path=xl/externalLinks/_rels/externalLink53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HPH.xlsx" TargetMode="External"/><Relationship Id="rId1" Type="http://schemas.openxmlformats.org/officeDocument/2006/relationships/externalLinkPath" Target="Pharma/SHPH.xlsx" TargetMode="External"/></Relationships>
</file>

<file path=xl/externalLinks/_rels/externalLink53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GC.xlsx" TargetMode="External"/><Relationship Id="rId1" Type="http://schemas.openxmlformats.org/officeDocument/2006/relationships/externalLinkPath" Target="Pharma/IGC.xlsx" TargetMode="External"/></Relationships>
</file>

<file path=xl/externalLinks/_rels/externalLink53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BIO.xlsx" TargetMode="External"/><Relationship Id="rId1" Type="http://schemas.openxmlformats.org/officeDocument/2006/relationships/externalLinkPath" Target="Pharma/VBIO.xlsx" TargetMode="External"/></Relationships>
</file>

<file path=xl/externalLinks/_rels/externalLink53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CRB.xlsx" TargetMode="External"/><Relationship Id="rId1" Type="http://schemas.openxmlformats.org/officeDocument/2006/relationships/externalLinkPath" Target="Pharma/MCRB.xlsx" TargetMode="External"/></Relationships>
</file>

<file path=xl/externalLinks/_rels/externalLink54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DSA.xlsx" TargetMode="External"/><Relationship Id="rId1" Type="http://schemas.openxmlformats.org/officeDocument/2006/relationships/externalLinkPath" Target="Pharma/EDSA.xlsx" TargetMode="External"/></Relationships>
</file>

<file path=xl/externalLinks/_rels/externalLink54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NAI.xlsx" TargetMode="External"/><Relationship Id="rId1" Type="http://schemas.openxmlformats.org/officeDocument/2006/relationships/externalLinkPath" Target="Pharma/LNAI.xlsx" TargetMode="External"/></Relationships>
</file>

<file path=xl/externalLinks/_rels/externalLink54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BVC.xlsx" TargetMode="External"/><Relationship Id="rId1" Type="http://schemas.openxmlformats.org/officeDocument/2006/relationships/externalLinkPath" Target="Pharma/ABVC.xlsx" TargetMode="External"/></Relationships>
</file>

<file path=xl/externalLinks/_rels/externalLink54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CLX.xlsx" TargetMode="External"/><Relationship Id="rId1" Type="http://schemas.openxmlformats.org/officeDocument/2006/relationships/externalLinkPath" Target="Pharma/SCLX.xlsx" TargetMode="External"/></Relationships>
</file>

<file path=xl/externalLinks/_rels/externalLink54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FFR.xlsx" TargetMode="External"/><Relationship Id="rId1" Type="http://schemas.openxmlformats.org/officeDocument/2006/relationships/externalLinkPath" Target="Pharma/FFR.xlsx" TargetMode="External"/></Relationships>
</file>

<file path=xl/externalLinks/_rels/externalLink54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VAX.xlsx" TargetMode="External"/><Relationship Id="rId1" Type="http://schemas.openxmlformats.org/officeDocument/2006/relationships/externalLinkPath" Target="Pharma/EVAX.xlsx" TargetMode="External"/></Relationships>
</file>

<file path=xl/externalLinks/_rels/externalLink54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YSI.xlsx" TargetMode="External"/><Relationship Id="rId1" Type="http://schemas.openxmlformats.org/officeDocument/2006/relationships/externalLinkPath" Target="Pharma/BYSI.xlsx" TargetMode="External"/></Relationships>
</file>

<file path=xl/externalLinks/_rels/externalLink54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NTX.xlsx" TargetMode="External"/><Relationship Id="rId1" Type="http://schemas.openxmlformats.org/officeDocument/2006/relationships/externalLinkPath" Target="Pharma/CNTX.xlsx" TargetMode="External"/></Relationships>
</file>

<file path=xl/externalLinks/_rels/externalLink54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XMD.xlsx" TargetMode="External"/><Relationship Id="rId1" Type="http://schemas.openxmlformats.org/officeDocument/2006/relationships/externalLinkPath" Target="Pharma/TXMD.xlsx" TargetMode="External"/></Relationships>
</file>

<file path=xl/externalLinks/_rels/externalLink54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YNB.xlsx" TargetMode="External"/><Relationship Id="rId1" Type="http://schemas.openxmlformats.org/officeDocument/2006/relationships/externalLinkPath" Target="Pharma/KYNB.xlsx" TargetMode="External"/></Relationships>
</file>

<file path=xl/externalLinks/_rels/externalLink55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YTU.xlsx" TargetMode="External"/><Relationship Id="rId1" Type="http://schemas.openxmlformats.org/officeDocument/2006/relationships/externalLinkPath" Target="Pharma/AYTU.xlsx" TargetMode="External"/></Relationships>
</file>

<file path=xl/externalLinks/_rels/externalLink55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OCP.xlsx" TargetMode="External"/><Relationship Id="rId1" Type="http://schemas.openxmlformats.org/officeDocument/2006/relationships/externalLinkPath" Target="Pharma/COCP.xlsx" TargetMode="External"/></Relationships>
</file>

<file path=xl/externalLinks/_rels/externalLink55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SLA.xlsx" TargetMode="External"/><Relationship Id="rId1" Type="http://schemas.openxmlformats.org/officeDocument/2006/relationships/externalLinkPath" Target="Pharma/ESLA.xlsx" TargetMode="External"/></Relationships>
</file>

<file path=xl/externalLinks/_rels/externalLink55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JAGX.xlsx" TargetMode="External"/><Relationship Id="rId1" Type="http://schemas.openxmlformats.org/officeDocument/2006/relationships/externalLinkPath" Target="Pharma/JAGX.xlsx" TargetMode="External"/></Relationships>
</file>

<file path=xl/externalLinks/_rels/externalLink55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EUP.xlsx" TargetMode="External"/><Relationship Id="rId1" Type="http://schemas.openxmlformats.org/officeDocument/2006/relationships/externalLinkPath" Target="Pharma/NEUP.xlsx" TargetMode="External"/></Relationships>
</file>

<file path=xl/externalLinks/_rels/externalLink55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RKR.xlsx" TargetMode="External"/><Relationship Id="rId1" Type="http://schemas.openxmlformats.org/officeDocument/2006/relationships/externalLinkPath" Target="Pharma/MRKR.xlsx" TargetMode="External"/></Relationships>
</file>

<file path=xl/externalLinks/_rels/externalLink55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TYR.xlsx" TargetMode="External"/><Relationship Id="rId1" Type="http://schemas.openxmlformats.org/officeDocument/2006/relationships/externalLinkPath" Target="Pharma/ATYR.xlsx" TargetMode="External"/></Relationships>
</file>

<file path=xl/externalLinks/_rels/externalLink55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KTX.xlsx" TargetMode="External"/><Relationship Id="rId1" Type="http://schemas.openxmlformats.org/officeDocument/2006/relationships/externalLinkPath" Target="Pharma/AKTX.xlsx" TargetMode="External"/></Relationships>
</file>

<file path=xl/externalLinks/_rels/externalLink55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JSPR.xlsx" TargetMode="External"/><Relationship Id="rId1" Type="http://schemas.openxmlformats.org/officeDocument/2006/relationships/externalLinkPath" Target="Pharma/JSPR.xlsx" TargetMode="External"/></Relationships>
</file>

<file path=xl/externalLinks/_rels/externalLink55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APA.xlsx" TargetMode="External"/><Relationship Id="rId1" Type="http://schemas.openxmlformats.org/officeDocument/2006/relationships/externalLinkPath" Target="Pharma/KAPA.xlsx" TargetMode="External"/></Relationships>
</file>

<file path=xl/externalLinks/_rels/externalLink56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NTA.xlsx" TargetMode="External"/><Relationship Id="rId1" Type="http://schemas.openxmlformats.org/officeDocument/2006/relationships/externalLinkPath" Target="Pharma/GNTA.xlsx" TargetMode="External"/></Relationships>
</file>

<file path=xl/externalLinks/_rels/externalLink56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CRX.xlsx" TargetMode="External"/><Relationship Id="rId1" Type="http://schemas.openxmlformats.org/officeDocument/2006/relationships/externalLinkPath" Target="Pharma/TCRX.xlsx" TargetMode="External"/></Relationships>
</file>

<file path=xl/externalLinks/_rels/externalLink56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DYAI.xlsx" TargetMode="External"/><Relationship Id="rId1" Type="http://schemas.openxmlformats.org/officeDocument/2006/relationships/externalLinkPath" Target="Pharma/DYAI.xlsx" TargetMode="External"/></Relationships>
</file>

<file path=xl/externalLinks/_rels/externalLink56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LRZ.xlsx" TargetMode="External"/><Relationship Id="rId1" Type="http://schemas.openxmlformats.org/officeDocument/2006/relationships/externalLinkPath" Target="Pharma/PLRZ.xlsx" TargetMode="External"/></Relationships>
</file>

<file path=xl/externalLinks/_rels/externalLink56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CTU.xlsx" TargetMode="External"/><Relationship Id="rId1" Type="http://schemas.openxmlformats.org/officeDocument/2006/relationships/externalLinkPath" Target="Pharma/ACTU.xlsx" TargetMode="External"/></Relationships>
</file>

<file path=xl/externalLinks/_rels/externalLink56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LLR.xlsx" TargetMode="External"/><Relationship Id="rId1" Type="http://schemas.openxmlformats.org/officeDocument/2006/relationships/externalLinkPath" Target="Pharma/ALLR.xlsx" TargetMode="External"/></Relationships>
</file>

<file path=xl/externalLinks/_rels/externalLink56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TTA.xlsx" TargetMode="External"/><Relationship Id="rId1" Type="http://schemas.openxmlformats.org/officeDocument/2006/relationships/externalLinkPath" Target="Pharma/KTTA.xlsx" TargetMode="External"/></Relationships>
</file>

<file path=xl/externalLinks/_rels/externalLink56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CDA.xlsx" TargetMode="External"/><Relationship Id="rId1" Type="http://schemas.openxmlformats.org/officeDocument/2006/relationships/externalLinkPath" Target="Pharma/BCDA.xlsx" TargetMode="External"/></Relationships>
</file>

<file path=xl/externalLinks/_rels/externalLink56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PCN.xlsx" TargetMode="External"/><Relationship Id="rId1" Type="http://schemas.openxmlformats.org/officeDocument/2006/relationships/externalLinkPath" Target="Pharma/LPCN.xlsx" TargetMode="External"/></Relationships>
</file>

<file path=xl/externalLinks/_rels/externalLink56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CEL.xlsx" TargetMode="External"/><Relationship Id="rId1" Type="http://schemas.openxmlformats.org/officeDocument/2006/relationships/externalLinkPath" Target="Pharma/NCEL.xlsx" TargetMode="External"/></Relationships>
</file>

<file path=xl/externalLinks/_rels/externalLink57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VRD.xlsx" TargetMode="External"/><Relationship Id="rId1" Type="http://schemas.openxmlformats.org/officeDocument/2006/relationships/externalLinkPath" Target="Pharma/TVRD.xlsx" TargetMode="External"/></Relationships>
</file>

<file path=xl/externalLinks/_rels/externalLink57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KTO.xlsx" TargetMode="External"/><Relationship Id="rId1" Type="http://schemas.openxmlformats.org/officeDocument/2006/relationships/externalLinkPath" Target="Pharma/RKTO.xlsx" TargetMode="External"/></Relationships>
</file>

<file path=xl/externalLinks/_rels/externalLink57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HIND.xlsx" TargetMode="External"/><Relationship Id="rId1" Type="http://schemas.openxmlformats.org/officeDocument/2006/relationships/externalLinkPath" Target="Pharma/HIND.xlsx" TargetMode="External"/></Relationships>
</file>

<file path=xl/externalLinks/_rels/externalLink57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NSY.xlsx" TargetMode="External"/><Relationship Id="rId1" Type="http://schemas.openxmlformats.org/officeDocument/2006/relationships/externalLinkPath" Target="Pharma/CNSY.xlsx" TargetMode="External"/></Relationships>
</file>

<file path=xl/externalLinks/_rels/externalLink57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TXR.xlsx" TargetMode="External"/><Relationship Id="rId1" Type="http://schemas.openxmlformats.org/officeDocument/2006/relationships/externalLinkPath" Target="Pharma/CTXR.xlsx" TargetMode="External"/></Relationships>
</file>

<file path=xl/externalLinks/_rels/externalLink57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RTL.xlsx" TargetMode="External"/><Relationship Id="rId1" Type="http://schemas.openxmlformats.org/officeDocument/2006/relationships/externalLinkPath" Target="Pharma/ARTL.xlsx" TargetMode="External"/></Relationships>
</file>

<file path=xl/externalLinks/_rels/externalLink57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FRI.xlsx" TargetMode="External"/><Relationship Id="rId1" Type="http://schemas.openxmlformats.org/officeDocument/2006/relationships/externalLinkPath" Target="Pharma/BFRI.xlsx" TargetMode="External"/></Relationships>
</file>

<file path=xl/externalLinks/_rels/externalLink57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EON.xlsx" TargetMode="External"/><Relationship Id="rId1" Type="http://schemas.openxmlformats.org/officeDocument/2006/relationships/externalLinkPath" Target="Pharma/AEON.xlsx" TargetMode="External"/></Relationships>
</file>

<file path=xl/externalLinks/_rels/externalLink57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SBP.xlsx" TargetMode="External"/><Relationship Id="rId1" Type="http://schemas.openxmlformats.org/officeDocument/2006/relationships/externalLinkPath" Target="Pharma/ASBP.xlsx" TargetMode="External"/></Relationships>
</file>

<file path=xl/externalLinks/_rels/externalLink57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ZIA.xlsx" TargetMode="External"/><Relationship Id="rId1" Type="http://schemas.openxmlformats.org/officeDocument/2006/relationships/externalLinkPath" Target="Pharma/KZIA.xlsx" TargetMode="External"/></Relationships>
</file>

<file path=xl/externalLinks/_rels/externalLink58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NSC.xlsx" TargetMode="External"/><Relationship Id="rId1" Type="http://schemas.openxmlformats.org/officeDocument/2006/relationships/externalLinkPath" Target="Pharma/ENSC.xlsx" TargetMode="External"/></Relationships>
</file>

<file path=xl/externalLinks/_rels/externalLink58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TN.xlsx" TargetMode="External"/><Relationship Id="rId1" Type="http://schemas.openxmlformats.org/officeDocument/2006/relationships/externalLinkPath" Target="Pharma/PTN.xlsx" TargetMode="External"/></Relationships>
</file>

<file path=xl/externalLinks/_rels/externalLink58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ASG.xlsx" TargetMode="External"/><Relationship Id="rId1" Type="http://schemas.openxmlformats.org/officeDocument/2006/relationships/externalLinkPath" Target="Pharma/PASG.xlsx" TargetMode="External"/></Relationships>
</file>

<file path=xl/externalLinks/_rels/externalLink58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DARE.xlsx" TargetMode="External"/><Relationship Id="rId1" Type="http://schemas.openxmlformats.org/officeDocument/2006/relationships/externalLinkPath" Target="Pharma/DARE.xlsx" TargetMode="External"/></Relationships>
</file>

<file path=xl/externalLinks/_rels/externalLink58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LUR.xlsx" TargetMode="External"/><Relationship Id="rId1" Type="http://schemas.openxmlformats.org/officeDocument/2006/relationships/externalLinkPath" Target="Pharma/PLUR.xlsx" TargetMode="External"/></Relationships>
</file>

<file path=xl/externalLinks/_rels/externalLink58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NAB.xlsx" TargetMode="External"/><Relationship Id="rId1" Type="http://schemas.openxmlformats.org/officeDocument/2006/relationships/externalLinkPath" Target="Pharma/INAB.xlsx" TargetMode="External"/></Relationships>
</file>

<file path=xl/externalLinks/_rels/externalLink58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NTS.xlsx" TargetMode="External"/><Relationship Id="rId1" Type="http://schemas.openxmlformats.org/officeDocument/2006/relationships/externalLinkPath" Target="Pharma/INTS.xlsx" TargetMode="External"/></Relationships>
</file>

<file path=xl/externalLinks/_rels/externalLink58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LRB.xlsx" TargetMode="External"/><Relationship Id="rId1" Type="http://schemas.openxmlformats.org/officeDocument/2006/relationships/externalLinkPath" Target="Pharma/CLRB.xlsx" TargetMode="External"/></Relationships>
</file>

<file path=xl/externalLinks/_rels/externalLink58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PRX.xlsx" TargetMode="External"/><Relationship Id="rId1" Type="http://schemas.openxmlformats.org/officeDocument/2006/relationships/externalLinkPath" Target="Pharma/KPRX.xlsx" TargetMode="External"/></Relationships>
</file>

<file path=xl/externalLinks/_rels/externalLink58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DXH.xlsx" TargetMode="External"/><Relationship Id="rId1" Type="http://schemas.openxmlformats.org/officeDocument/2006/relationships/externalLinkPath" Target="Pharma/MDXH.xlsx" TargetMode="External"/></Relationships>
</file>

<file path=xl/externalLinks/_rels/externalLink59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QNTM.xlsx" TargetMode="External"/><Relationship Id="rId1" Type="http://schemas.openxmlformats.org/officeDocument/2006/relationships/externalLinkPath" Target="Pharma/QNTM.xlsx" TargetMode="External"/></Relationships>
</file>

<file path=xl/externalLinks/_rels/externalLink59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DTC.xlsx" TargetMode="External"/><Relationship Id="rId1" Type="http://schemas.openxmlformats.org/officeDocument/2006/relationships/externalLinkPath" Target="Pharma/GDTC.xlsx" TargetMode="External"/></Relationships>
</file>

<file path=xl/externalLinks/_rels/externalLink59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HIO.xlsx" TargetMode="External"/><Relationship Id="rId1" Type="http://schemas.openxmlformats.org/officeDocument/2006/relationships/externalLinkPath" Target="Pharma/PHIO.xlsx" TargetMode="External"/></Relationships>
</file>

<file path=xl/externalLinks/_rels/externalLink59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PST.xlsx" TargetMode="External"/><Relationship Id="rId1" Type="http://schemas.openxmlformats.org/officeDocument/2006/relationships/externalLinkPath" Target="Pharma/TPST.xlsx" TargetMode="External"/></Relationships>
</file>

<file path=xl/externalLinks/_rels/externalLink59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BM.xlsx" TargetMode="External"/><Relationship Id="rId1" Type="http://schemas.openxmlformats.org/officeDocument/2006/relationships/externalLinkPath" Target="Pharma/PBM.xlsx" TargetMode="External"/></Relationships>
</file>

<file path=xl/externalLinks/_rels/externalLink59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OVX.xlsx" TargetMode="External"/><Relationship Id="rId1" Type="http://schemas.openxmlformats.org/officeDocument/2006/relationships/externalLinkPath" Target="Pharma/TOVX.xlsx" TargetMode="External"/></Relationships>
</file>

<file path=xl/externalLinks/_rels/externalLink59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STA.xlsx" TargetMode="External"/><Relationship Id="rId1" Type="http://schemas.openxmlformats.org/officeDocument/2006/relationships/externalLinkPath" Target="Pharma/LSTA.xlsx" TargetMode="External"/></Relationships>
</file>

<file path=xl/externalLinks/_rels/externalLink59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MMB.xlsx" TargetMode="External"/><Relationship Id="rId1" Type="http://schemas.openxmlformats.org/officeDocument/2006/relationships/externalLinkPath" Target="Pharma/CMMB.xlsx" TargetMode="External"/></Relationships>
</file>

<file path=xl/externalLinks/_rels/externalLink59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DIL.xlsx" TargetMode="External"/><Relationship Id="rId1" Type="http://schemas.openxmlformats.org/officeDocument/2006/relationships/externalLinkPath" Target="Pharma/ADIL.xlsx" TargetMode="External"/></Relationships>
</file>

<file path=xl/externalLinks/_rels/externalLink59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TVA.xlsx" TargetMode="External"/><Relationship Id="rId1" Type="http://schemas.openxmlformats.org/officeDocument/2006/relationships/externalLinkPath" Target="Pharma/MTVA.xlsx" TargetMode="External"/></Relationships>
</file>

<file path=xl/externalLinks/_rels/externalLink60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TGN.xlsx" TargetMode="External"/><Relationship Id="rId1" Type="http://schemas.openxmlformats.org/officeDocument/2006/relationships/externalLinkPath" Target="Pharma/VTGN.xlsx" TargetMode="External"/></Relationships>
</file>

<file path=xl/externalLinks/_rels/externalLink60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PTI.xlsx" TargetMode="External"/><Relationship Id="rId1" Type="http://schemas.openxmlformats.org/officeDocument/2006/relationships/externalLinkPath" Target="Pharma/KPTI.xlsx" TargetMode="External"/></Relationships>
</file>

<file path=xl/externalLinks/_rels/externalLink60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TRN.xlsx" TargetMode="External"/><Relationship Id="rId1" Type="http://schemas.openxmlformats.org/officeDocument/2006/relationships/externalLinkPath" Target="Pharma/LTRN.xlsx" TargetMode="External"/></Relationships>
</file>

<file path=xl/externalLinks/_rels/externalLink60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IVI.xlsx" TargetMode="External"/><Relationship Id="rId1" Type="http://schemas.openxmlformats.org/officeDocument/2006/relationships/externalLinkPath" Target="Pharma/BIVI.xlsx" TargetMode="External"/></Relationships>
</file>

<file path=xl/externalLinks/_rels/externalLink60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MCC.xlsx" TargetMode="External"/><Relationship Id="rId1" Type="http://schemas.openxmlformats.org/officeDocument/2006/relationships/externalLinkPath" Target="Pharma/IMCC.xlsx" TargetMode="External"/></Relationships>
</file>

<file path=xl/externalLinks/_rels/externalLink60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OLT.xlsx" TargetMode="External"/><Relationship Id="rId1" Type="http://schemas.openxmlformats.org/officeDocument/2006/relationships/externalLinkPath" Target="Pharma/BOLT.xlsx" TargetMode="External"/></Relationships>
</file>

<file path=xl/externalLinks/_rels/externalLink60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GNT.xlsx" TargetMode="External"/><Relationship Id="rId1" Type="http://schemas.openxmlformats.org/officeDocument/2006/relationships/externalLinkPath" Target="Pharma/RGNT.xlsx" TargetMode="External"/></Relationships>
</file>

<file path=xl/externalLinks/_rels/externalLink60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MRN.xlsx" TargetMode="External"/><Relationship Id="rId1" Type="http://schemas.openxmlformats.org/officeDocument/2006/relationships/externalLinkPath" Target="Pharma/IMRN.xlsx" TargetMode="External"/></Relationships>
</file>

<file path=xl/externalLinks/_rels/externalLink60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NGX.xlsx" TargetMode="External"/><Relationship Id="rId1" Type="http://schemas.openxmlformats.org/officeDocument/2006/relationships/externalLinkPath" Target="Pharma/SNGX.xlsx" TargetMode="External"/></Relationships>
</file>

<file path=xl/externalLinks/_rels/externalLink60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PRE.xlsx" TargetMode="External"/><Relationship Id="rId1" Type="http://schemas.openxmlformats.org/officeDocument/2006/relationships/externalLinkPath" Target="Pharma/APRE.xlsx" TargetMode="External"/></Relationships>
</file>

<file path=xl/externalLinks/_rels/externalLink61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NM.xlsx" TargetMode="External"/><Relationship Id="rId1" Type="http://schemas.openxmlformats.org/officeDocument/2006/relationships/externalLinkPath" Target="Pharma/INM.xlsx" TargetMode="External"/></Relationships>
</file>

<file path=xl/externalLinks/_rels/externalLink61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XCUR.xlsx" TargetMode="External"/><Relationship Id="rId1" Type="http://schemas.openxmlformats.org/officeDocument/2006/relationships/externalLinkPath" Target="Pharma/XCUR.xlsx" TargetMode="External"/></Relationships>
</file>

<file path=xl/externalLinks/_rels/externalLink61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NSP.xlsx" TargetMode="External"/><Relationship Id="rId1" Type="http://schemas.openxmlformats.org/officeDocument/2006/relationships/externalLinkPath" Target="Pharma/CNSP.xlsx" TargetMode="External"/></Relationships>
</file>

<file path=xl/externalLinks/_rels/externalLink61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NTI.xlsx" TargetMode="External"/><Relationship Id="rId1" Type="http://schemas.openxmlformats.org/officeDocument/2006/relationships/externalLinkPath" Target="Pharma/SNTI.xlsx" TargetMode="External"/></Relationships>
</file>

<file path=xl/externalLinks/_rels/externalLink61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CRT.xlsx" TargetMode="External"/><Relationship Id="rId1" Type="http://schemas.openxmlformats.org/officeDocument/2006/relationships/externalLinkPath" Target="Pharma/TCRT.xlsx" TargetMode="External"/></Relationships>
</file>

<file path=xl/externalLinks/_rels/externalLink61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FBLG.xlsx" TargetMode="External"/><Relationship Id="rId1" Type="http://schemas.openxmlformats.org/officeDocument/2006/relationships/externalLinkPath" Target="Pharma/FBLG.xlsx" TargetMode="External"/></Relationships>
</file>

<file path=xl/externalLinks/_rels/externalLink61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LZN.xlsx" TargetMode="External"/><Relationship Id="rId1" Type="http://schemas.openxmlformats.org/officeDocument/2006/relationships/externalLinkPath" Target="Pharma/ALZN.xlsx" TargetMode="External"/></Relationships>
</file>

<file path=xl/externalLinks/_rels/externalLink61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TRAW.xlsx" TargetMode="External"/><Relationship Id="rId1" Type="http://schemas.openxmlformats.org/officeDocument/2006/relationships/externalLinkPath" Target="Pharma/TRAW.xlsx" TargetMode="External"/></Relationships>
</file>

<file path=xl/externalLinks/_rels/externalLink61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NVB.xlsx" TargetMode="External"/><Relationship Id="rId1" Type="http://schemas.openxmlformats.org/officeDocument/2006/relationships/externalLinkPath" Target="Pharma/ENVB.xlsx" TargetMode="External"/></Relationships>
</file>

<file path=xl/externalLinks/_rels/externalLink61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GMS.xlsx" TargetMode="External"/><Relationship Id="rId1" Type="http://schemas.openxmlformats.org/officeDocument/2006/relationships/externalLinkPath" Target="Pharma/BGMS.xlsx" TargetMode="External"/></Relationships>
</file>

<file path=xl/externalLinks/_rels/externalLink6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PUS.xlsx" TargetMode="External"/><Relationship Id="rId1" Type="http://schemas.openxmlformats.org/officeDocument/2006/relationships/externalLinkPath" Target="Pharma/APUS.xlsx" TargetMode="External"/></Relationships>
</file>

<file path=xl/externalLinks/_rels/externalLink62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HLSQ.xlsx" TargetMode="External"/><Relationship Id="rId1" Type="http://schemas.openxmlformats.org/officeDocument/2006/relationships/externalLinkPath" Target="Pharma/HLSQ.xlsx" TargetMode="External"/></Relationships>
</file>

<file path=xl/externalLinks/_rels/externalLink62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CXP.xlsx" TargetMode="External"/><Relationship Id="rId1" Type="http://schemas.openxmlformats.org/officeDocument/2006/relationships/externalLinkPath" Target="Pharma/ACXP.xlsx" TargetMode="External"/></Relationships>
</file>

<file path=xl/externalLinks/_rels/externalLink62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IMNN.xlsx" TargetMode="External"/><Relationship Id="rId1" Type="http://schemas.openxmlformats.org/officeDocument/2006/relationships/externalLinkPath" Target="Pharma/IMNN.xlsx" TargetMode="External"/></Relationships>
</file>

<file path=xl/externalLinks/_rels/externalLink62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QB.xlsx" TargetMode="External"/><Relationship Id="rId1" Type="http://schemas.openxmlformats.org/officeDocument/2006/relationships/externalLinkPath" Target="Pharma/AQB.xlsx" TargetMode="External"/></Relationships>
</file>

<file path=xl/externalLinks/_rels/externalLink62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BRX.xlsx" TargetMode="External"/><Relationship Id="rId1" Type="http://schemas.openxmlformats.org/officeDocument/2006/relationships/externalLinkPath" Target="Pharma/MBRX.xlsx" TargetMode="External"/></Relationships>
</file>

<file path=xl/externalLinks/_rels/externalLink62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NOA.xlsx" TargetMode="External"/><Relationship Id="rId1" Type="http://schemas.openxmlformats.org/officeDocument/2006/relationships/externalLinkPath" Target="Pharma/SNOA.xlsx" TargetMode="External"/></Relationships>
</file>

<file path=xl/externalLinks/_rels/externalLink62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ULM.xlsx" TargetMode="External"/><Relationship Id="rId1" Type="http://schemas.openxmlformats.org/officeDocument/2006/relationships/externalLinkPath" Target="Pharma/PULM.xlsx" TargetMode="External"/></Relationships>
</file>

<file path=xl/externalLinks/_rels/externalLink62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IM.xlsx" TargetMode="External"/><Relationship Id="rId1" Type="http://schemas.openxmlformats.org/officeDocument/2006/relationships/externalLinkPath" Target="Pharma/AIM.xlsx" TargetMode="External"/></Relationships>
</file>

<file path=xl/externalLinks/_rels/externalLink62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ELZ.xlsx" TargetMode="External"/><Relationship Id="rId1" Type="http://schemas.openxmlformats.org/officeDocument/2006/relationships/externalLinkPath" Target="Pharma/CELZ.xlsx" TargetMode="External"/></Relationships>
</file>

<file path=xl/externalLinks/_rels/externalLink63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ELS.xlsx" TargetMode="External"/><Relationship Id="rId1" Type="http://schemas.openxmlformats.org/officeDocument/2006/relationships/externalLinkPath" Target="Pharma/GELS.xlsx" TargetMode="External"/></Relationships>
</file>

<file path=xl/externalLinks/_rels/externalLink63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CSA.xlsx" TargetMode="External"/><Relationship Id="rId1" Type="http://schemas.openxmlformats.org/officeDocument/2006/relationships/externalLinkPath" Target="Pharma/PCSA.xlsx" TargetMode="External"/></Relationships>
</file>

<file path=xl/externalLinks/_rels/externalLink63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XBIO.xlsx" TargetMode="External"/><Relationship Id="rId1" Type="http://schemas.openxmlformats.org/officeDocument/2006/relationships/externalLinkPath" Target="Pharma/XBIO.xlsx" TargetMode="External"/></Relationships>
</file>

<file path=xl/externalLinks/_rels/externalLink63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QCLS.xlsx" TargetMode="External"/><Relationship Id="rId1" Type="http://schemas.openxmlformats.org/officeDocument/2006/relationships/externalLinkPath" Target="Pharma/QCLS.xlsx" TargetMode="External"/></Relationships>
</file>

<file path=xl/externalLinks/_rels/externalLink63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ZTR.xlsx" TargetMode="External"/><Relationship Id="rId1" Type="http://schemas.openxmlformats.org/officeDocument/2006/relationships/externalLinkPath" Target="Pharma/AZTR.xlsx" TargetMode="External"/></Relationships>
</file>

<file path=xl/externalLinks/_rels/externalLink63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NCNA.xlsx" TargetMode="External"/><Relationship Id="rId1" Type="http://schemas.openxmlformats.org/officeDocument/2006/relationships/externalLinkPath" Target="Pharma/NCNA.xlsx" TargetMode="External"/></Relationships>
</file>

<file path=xl/externalLinks/_rels/externalLink63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YCBD.xlsx" TargetMode="External"/><Relationship Id="rId1" Type="http://schemas.openxmlformats.org/officeDocument/2006/relationships/externalLinkPath" Target="Pharma/YCBD.xlsx" TargetMode="External"/></Relationships>
</file>

<file path=xl/externalLinks/_rels/externalLink63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VKD.xlsx" TargetMode="External"/><Relationship Id="rId1" Type="http://schemas.openxmlformats.org/officeDocument/2006/relationships/externalLinkPath" Target="Pharma/CVKD.xlsx" TargetMode="External"/></Relationships>
</file>

<file path=xl/externalLinks/_rels/externalLink63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MCB.xlsx" TargetMode="External"/><Relationship Id="rId1" Type="http://schemas.openxmlformats.org/officeDocument/2006/relationships/externalLinkPath" Target="Pharma/PMCB.xlsx" TargetMode="External"/></Relationships>
</file>

<file path=xl/externalLinks/_rels/externalLink63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KALA.xlsx" TargetMode="External"/><Relationship Id="rId1" Type="http://schemas.openxmlformats.org/officeDocument/2006/relationships/externalLinkPath" Target="Pharma/KALA.xlsx" TargetMode="External"/></Relationships>
</file>

<file path=xl/externalLinks/_rels/externalLink64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RNA.xlsx" TargetMode="External"/><Relationship Id="rId1" Type="http://schemas.openxmlformats.org/officeDocument/2006/relationships/externalLinkPath" Target="Pharma/ERNA.xlsx" TargetMode="External"/></Relationships>
</file>

<file path=xl/externalLinks/_rels/externalLink64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NES.xlsx" TargetMode="External"/><Relationship Id="rId1" Type="http://schemas.openxmlformats.org/officeDocument/2006/relationships/externalLinkPath" Target="Pharma/SNES.xlsx" TargetMode="External"/></Relationships>
</file>

<file path=xl/externalLinks/_rels/externalLink64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DRMA.xlsx" TargetMode="External"/><Relationship Id="rId1" Type="http://schemas.openxmlformats.org/officeDocument/2006/relationships/externalLinkPath" Target="Pharma/DRMA.xlsx" TargetMode="External"/></Relationships>
</file>

<file path=xl/externalLinks/_rels/externalLink64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VGN.xlsx" TargetMode="External"/><Relationship Id="rId1" Type="http://schemas.openxmlformats.org/officeDocument/2006/relationships/externalLinkPath" Target="Pharma/EVGN.xlsx" TargetMode="External"/></Relationships>
</file>

<file path=xl/externalLinks/_rels/externalLink64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PVO.xlsx" TargetMode="External"/><Relationship Id="rId1" Type="http://schemas.openxmlformats.org/officeDocument/2006/relationships/externalLinkPath" Target="Pharma/APVO.xlsx" TargetMode="External"/></Relationships>
</file>

<file path=xl/externalLinks/_rels/externalLink64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XTP.xlsx" TargetMode="External"/><Relationship Id="rId1" Type="http://schemas.openxmlformats.org/officeDocument/2006/relationships/externalLinkPath" Target="Pharma/SXTP.xlsx" TargetMode="External"/></Relationships>
</file>

<file path=xl/externalLinks/_rels/externalLink64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RI.xlsx" TargetMode="External"/><Relationship Id="rId1" Type="http://schemas.openxmlformats.org/officeDocument/2006/relationships/externalLinkPath" Target="Pharma/GRI.xlsx" TargetMode="External"/></Relationships>
</file>

<file path=xl/externalLinks/_rels/externalLink64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EOCN.xlsx" TargetMode="External"/><Relationship Id="rId1" Type="http://schemas.openxmlformats.org/officeDocument/2006/relationships/externalLinkPath" Target="Pharma/EOCN.xlsx" TargetMode="External"/></Relationships>
</file>

<file path=xl/externalLinks/_rels/externalLink64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MBIO.xlsx" TargetMode="External"/><Relationship Id="rId1" Type="http://schemas.openxmlformats.org/officeDocument/2006/relationships/externalLinkPath" Target="Pharma/MBIO.xlsx" TargetMode="External"/></Relationships>
</file>

<file path=xl/externalLinks/_rels/externalLink64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CNI.xlsx" TargetMode="External"/><Relationship Id="rId1" Type="http://schemas.openxmlformats.org/officeDocument/2006/relationships/externalLinkPath" Target="Pharma/SCNI.xlsx" TargetMode="External"/></Relationships>
</file>

<file path=xl/externalLinks/_rels/externalLink65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DHL.xlsx" TargetMode="External"/><Relationship Id="rId1" Type="http://schemas.openxmlformats.org/officeDocument/2006/relationships/externalLinkPath" Target="Pharma/RDHL.xlsx" TargetMode="External"/></Relationships>
</file>

<file path=xl/externalLinks/_rels/externalLink65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ANF.xlsx" TargetMode="External"/><Relationship Id="rId1" Type="http://schemas.openxmlformats.org/officeDocument/2006/relationships/externalLinkPath" Target="Pharma/CANF.xlsx" TargetMode="External"/></Relationships>
</file>

<file path=xl/externalLinks/_rels/externalLink65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AKAN.xlsx" TargetMode="External"/><Relationship Id="rId1" Type="http://schemas.openxmlformats.org/officeDocument/2006/relationships/externalLinkPath" Target="Pharma/AKAN.xlsx" TargetMode="External"/></Relationships>
</file>

<file path=xl/externalLinks/_rels/externalLink65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VIVS.xlsx" TargetMode="External"/><Relationship Id="rId1" Type="http://schemas.openxmlformats.org/officeDocument/2006/relationships/externalLinkPath" Target="Pharma/VIVS.xlsx" TargetMode="External"/></Relationships>
</file>

<file path=xl/externalLinks/_rels/externalLink65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HCWB.xlsx" TargetMode="External"/><Relationship Id="rId1" Type="http://schemas.openxmlformats.org/officeDocument/2006/relationships/externalLinkPath" Target="Pharma/HCWB.xlsx" TargetMode="External"/></Relationships>
</file>

<file path=xl/externalLinks/_rels/externalLink65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LDI.xlsx" TargetMode="External"/><Relationship Id="rId1" Type="http://schemas.openxmlformats.org/officeDocument/2006/relationships/externalLinkPath" Target="Pharma/CLDI.xlsx" TargetMode="External"/></Relationships>
</file>

<file path=xl/externalLinks/_rels/externalLink65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JUNS.xlsx" TargetMode="External"/><Relationship Id="rId1" Type="http://schemas.openxmlformats.org/officeDocument/2006/relationships/externalLinkPath" Target="Pharma/JUNS.xlsx" TargetMode="External"/></Relationships>
</file>

<file path=xl/externalLinks/_rels/externalLink65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PCB.xlsx" TargetMode="External"/><Relationship Id="rId1" Type="http://schemas.openxmlformats.org/officeDocument/2006/relationships/externalLinkPath" Target="Pharma/PPCB.xlsx" TargetMode="External"/></Relationships>
</file>

<file path=xl/externalLinks/_rels/externalLink65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GEN.xlsx" TargetMode="External"/><Relationship Id="rId1" Type="http://schemas.openxmlformats.org/officeDocument/2006/relationships/externalLinkPath" Target="Pharma/OGEN.xlsx" TargetMode="External"/></Relationships>
</file>

<file path=xl/externalLinks/_rels/externalLink65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REVB.xlsx" TargetMode="External"/><Relationship Id="rId1" Type="http://schemas.openxmlformats.org/officeDocument/2006/relationships/externalLinkPath" Target="Pharma/REVB.xlsx" TargetMode="External"/></Relationships>
</file>

<file path=xl/externalLinks/_rels/externalLink66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ONCO.xlsx" TargetMode="External"/><Relationship Id="rId1" Type="http://schemas.openxmlformats.org/officeDocument/2006/relationships/externalLinkPath" Target="Pharma/ONCO.xlsx" TargetMode="External"/></Relationships>
</file>

<file path=xl/externalLinks/_rels/externalLink66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ILO.xlsx" TargetMode="External"/><Relationship Id="rId1" Type="http://schemas.openxmlformats.org/officeDocument/2006/relationships/externalLinkPath" Target="Pharma/SILO.xlsx" TargetMode="External"/></Relationships>
</file>

<file path=xl/externalLinks/_rels/externalLink66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OVX.xlsx" TargetMode="External"/><Relationship Id="rId1" Type="http://schemas.openxmlformats.org/officeDocument/2006/relationships/externalLinkPath" Target="Pharma/GOVX.xlsx" TargetMode="External"/></Relationships>
</file>

<file path=xl/externalLinks/_rels/externalLink66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GNPX.xlsx" TargetMode="External"/><Relationship Id="rId1" Type="http://schemas.openxmlformats.org/officeDocument/2006/relationships/externalLinkPath" Target="Pharma/GNPX.xlsx" TargetMode="External"/></Relationships>
</file>

<file path=xl/externalLinks/_rels/externalLink66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LABT.xlsx" TargetMode="External"/><Relationship Id="rId1" Type="http://schemas.openxmlformats.org/officeDocument/2006/relationships/externalLinkPath" Target="Pharma/LABT.xlsx" TargetMode="External"/></Relationships>
</file>

<file path=xl/externalLinks/_rels/externalLink66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BLG.xlsx" TargetMode="External"/><Relationship Id="rId1" Type="http://schemas.openxmlformats.org/officeDocument/2006/relationships/externalLinkPath" Target="Pharma/BBLG.xlsx" TargetMode="External"/></Relationships>
</file>

<file path=xl/externalLinks/_rels/externalLink66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PBT.xlsx" TargetMode="External"/><Relationship Id="rId1" Type="http://schemas.openxmlformats.org/officeDocument/2006/relationships/externalLinkPath" Target="Pharma/PPBT.xlsx" TargetMode="External"/></Relationships>
</file>

<file path=xl/externalLinks/_rels/externalLink66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BDRX.xlsx" TargetMode="External"/><Relationship Id="rId1" Type="http://schemas.openxmlformats.org/officeDocument/2006/relationships/externalLinkPath" Target="Pharma/BDRX.xlsx" TargetMode="External"/></Relationships>
</file>

<file path=xl/externalLinks/_rels/externalLink66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MND.xlsx" TargetMode="External"/><Relationship Id="rId1" Type="http://schemas.openxmlformats.org/officeDocument/2006/relationships/externalLinkPath" Target="Pharma/CMND.xlsx" TargetMode="External"/></Relationships>
</file>

<file path=xl/externalLinks/_rels/externalLink66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BFM.xlsx" TargetMode="External"/><Relationship Id="rId1" Type="http://schemas.openxmlformats.org/officeDocument/2006/relationships/externalLinkPath" Target="Pharma/SBFM.xlsx" TargetMode="External"/></Relationships>
</file>

<file path=xl/externalLinks/_rels/externalLink67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CRIS.xlsx" TargetMode="External"/><Relationship Id="rId1" Type="http://schemas.openxmlformats.org/officeDocument/2006/relationships/externalLinkPath" Target="Pharma/CRIS.xlsx" TargetMode="External"/></Relationships>
</file>

<file path=xl/externalLinks/_rels/externalLink67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LXN.xlsx" TargetMode="External"/><Relationship Id="rId1" Type="http://schemas.openxmlformats.org/officeDocument/2006/relationships/externalLinkPath" Target="Pharma/SLXN.xlsx" TargetMode="External"/></Relationships>
</file>

<file path=xl/externalLinks/_rels/externalLink67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DCOY.xlsx" TargetMode="External"/><Relationship Id="rId1" Type="http://schemas.openxmlformats.org/officeDocument/2006/relationships/externalLinkPath" Target="Pharma/DCOY.xlsx" TargetMode="External"/></Relationships>
</file>

<file path=xl/externalLinks/_rels/externalLink67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PRFX.xlsx" TargetMode="External"/><Relationship Id="rId1" Type="http://schemas.openxmlformats.org/officeDocument/2006/relationships/externalLinkPath" Target="Pharma/PRFX.xlsx" TargetMode="External"/></Relationships>
</file>

<file path=xl/externalLinks/_rels/externalLink67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PRC.xlsx" TargetMode="External"/><Relationship Id="rId1" Type="http://schemas.openxmlformats.org/officeDocument/2006/relationships/externalLinkPath" Target="Pharma/SPRC.xlsx" TargetMode="External"/></Relationships>
</file>

<file path=xl/externalLinks/_rels/externalLink67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/Documents/Stock%20Models/Pharma/SXTC.xlsx" TargetMode="External"/><Relationship Id="rId1" Type="http://schemas.openxmlformats.org/officeDocument/2006/relationships/externalLinkPath" Target="Pharma/SXT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Pipeline"/>
      <sheetName val="NPV"/>
      <sheetName val="Options"/>
    </sheetNames>
    <sheetDataSet>
      <sheetData sheetId="0">
        <row r="4">
          <cell r="C4">
            <v>891.35706500000003</v>
          </cell>
        </row>
        <row r="7">
          <cell r="C7">
            <v>9010</v>
          </cell>
        </row>
        <row r="8">
          <cell r="C8">
            <v>54908</v>
          </cell>
        </row>
        <row r="11">
          <cell r="C11">
            <v>734.21432802039237</v>
          </cell>
        </row>
        <row r="14">
          <cell r="C14" t="str">
            <v>Base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2409.8985969999999</v>
          </cell>
        </row>
        <row r="7">
          <cell r="C7">
            <v>20758</v>
          </cell>
        </row>
        <row r="8">
          <cell r="C8">
            <v>49036</v>
          </cell>
        </row>
        <row r="11">
          <cell r="C11">
            <v>172.80445083300157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1767.117285</v>
          </cell>
        </row>
        <row r="7">
          <cell r="C7">
            <v>6569</v>
          </cell>
        </row>
        <row r="8">
          <cell r="C8">
            <v>70822</v>
          </cell>
        </row>
        <row r="11">
          <cell r="C11">
            <v>130.4871413635997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2467.1716379999998</v>
          </cell>
        </row>
        <row r="7">
          <cell r="C7">
            <v>7141</v>
          </cell>
        </row>
        <row r="8">
          <cell r="C8">
            <v>53906</v>
          </cell>
        </row>
        <row r="11">
          <cell r="C11">
            <v>83.652528548421998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1908.1516790000001</v>
          </cell>
        </row>
        <row r="7">
          <cell r="C7">
            <v>11533</v>
          </cell>
        </row>
        <row r="8">
          <cell r="C8">
            <v>1476</v>
          </cell>
        </row>
        <row r="11">
          <cell r="C11">
            <v>177.13279023029418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1550.9579269999999</v>
          </cell>
        </row>
        <row r="7">
          <cell r="C7">
            <v>5741</v>
          </cell>
        </row>
        <row r="8">
          <cell r="C8">
            <v>27819</v>
          </cell>
        </row>
        <row r="11">
          <cell r="C11">
            <v>142.27664813998601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540.63200500000005</v>
          </cell>
        </row>
        <row r="7">
          <cell r="C7">
            <v>13989</v>
          </cell>
        </row>
        <row r="8">
          <cell r="C8">
            <v>57304</v>
          </cell>
        </row>
        <row r="11">
          <cell r="C11">
            <v>271.63788606981916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1239.9551550000001</v>
          </cell>
        </row>
        <row r="7">
          <cell r="C7">
            <v>3179</v>
          </cell>
        </row>
        <row r="8">
          <cell r="C8">
            <v>26246</v>
          </cell>
        </row>
        <row r="11">
          <cell r="C11">
            <v>71.511969257523816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  <sheetName val="Options"/>
    </sheetNames>
    <sheetDataSet>
      <sheetData sheetId="0">
        <row r="4">
          <cell r="C4">
            <v>4444</v>
          </cell>
        </row>
        <row r="7">
          <cell r="C7">
            <v>3984.0421528039142</v>
          </cell>
        </row>
        <row r="8">
          <cell r="C8">
            <v>19715.167482122695</v>
          </cell>
        </row>
        <row r="11">
          <cell r="C11">
            <v>37.44090648315759</v>
          </cell>
        </row>
        <row r="14">
          <cell r="C14" t="str">
            <v>Base</v>
          </cell>
        </row>
        <row r="15">
          <cell r="C15" t="str">
            <v>Reviewed DCF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  <sheetName val="Options"/>
    </sheetNames>
    <sheetDataSet>
      <sheetData sheetId="0">
        <row r="4">
          <cell r="C4">
            <v>5699.673589</v>
          </cell>
        </row>
        <row r="7">
          <cell r="C7">
            <v>8257</v>
          </cell>
        </row>
        <row r="8">
          <cell r="C8">
            <v>63194</v>
          </cell>
        </row>
        <row r="11">
          <cell r="C11">
            <v>27.862901109003456</v>
          </cell>
        </row>
        <row r="14">
          <cell r="C14" t="str">
            <v>Base</v>
          </cell>
        </row>
        <row r="15">
          <cell r="C15" t="str">
            <v>Reviewed DCF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253.46092400000001</v>
          </cell>
        </row>
        <row r="7">
          <cell r="C7">
            <v>7852.4</v>
          </cell>
        </row>
        <row r="8">
          <cell r="C8">
            <v>0</v>
          </cell>
        </row>
        <row r="11">
          <cell r="C11">
            <v>402.45949901286946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2042.7146560000001</v>
          </cell>
        </row>
        <row r="7">
          <cell r="C7">
            <v>11067</v>
          </cell>
        </row>
        <row r="8">
          <cell r="C8">
            <v>43120</v>
          </cell>
        </row>
        <row r="11">
          <cell r="C11">
            <v>71.545789441526807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  <sheetName val="Options"/>
    </sheetNames>
    <sheetDataSet>
      <sheetData sheetId="0">
        <row r="4">
          <cell r="C4">
            <v>2157.7225130000002</v>
          </cell>
        </row>
        <row r="7">
          <cell r="C7">
            <v>4529.9977330008405</v>
          </cell>
        </row>
        <row r="8">
          <cell r="C8">
            <v>23630.132419421516</v>
          </cell>
        </row>
        <row r="11">
          <cell r="C11">
            <v>66.386168871219525</v>
          </cell>
        </row>
        <row r="14">
          <cell r="C14" t="str">
            <v>Base</v>
          </cell>
        </row>
        <row r="15">
          <cell r="C15" t="str">
            <v>Reviewed DCF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  <sheetName val="Options"/>
    </sheetNames>
    <sheetDataSet>
      <sheetData sheetId="0">
        <row r="4">
          <cell r="C4">
            <v>2438.8541919999998</v>
          </cell>
        </row>
        <row r="7">
          <cell r="C7">
            <v>9508.8054914758341</v>
          </cell>
        </row>
        <row r="8">
          <cell r="C8">
            <v>20919.372081246835</v>
          </cell>
        </row>
        <row r="11">
          <cell r="C11">
            <v>66.822469406445506</v>
          </cell>
        </row>
        <row r="14">
          <cell r="C14" t="str">
            <v>Base</v>
          </cell>
        </row>
        <row r="15">
          <cell r="C15" t="str">
            <v>Reviewed DCF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399.23588899999999</v>
          </cell>
        </row>
        <row r="7">
          <cell r="C7">
            <v>5138</v>
          </cell>
        </row>
        <row r="8">
          <cell r="C8">
            <v>591</v>
          </cell>
        </row>
        <row r="11">
          <cell r="C11">
            <v>3.485350300841989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102.954988</v>
          </cell>
        </row>
        <row r="7">
          <cell r="C7">
            <v>7994.6</v>
          </cell>
        </row>
        <row r="8">
          <cell r="C8">
            <v>1986.6</v>
          </cell>
        </row>
        <row r="11">
          <cell r="C11">
            <v>711.48026319141013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3181.9</v>
          </cell>
        </row>
        <row r="7">
          <cell r="C7">
            <v>2437.1155549930386</v>
          </cell>
        </row>
        <row r="8">
          <cell r="C8">
            <v>28574.03493228705</v>
          </cell>
        </row>
        <row r="11">
          <cell r="C11">
            <v>17.467484760387503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144.14417</v>
          </cell>
        </row>
        <row r="7">
          <cell r="C7">
            <v>1091.502</v>
          </cell>
        </row>
        <row r="8">
          <cell r="C8">
            <v>80.290999999999997</v>
          </cell>
        </row>
        <row r="11">
          <cell r="C11">
            <v>127.26848818885195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61.883305999999997</v>
          </cell>
        </row>
        <row r="7">
          <cell r="C7">
            <v>3491.2890000000002</v>
          </cell>
        </row>
        <row r="8">
          <cell r="C8">
            <v>0</v>
          </cell>
        </row>
        <row r="11">
          <cell r="C11">
            <v>725.20731686707347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1165.2960840000001</v>
          </cell>
        </row>
        <row r="7">
          <cell r="C7">
            <v>3655</v>
          </cell>
        </row>
        <row r="8">
          <cell r="C8">
            <v>4500</v>
          </cell>
        </row>
        <row r="11">
          <cell r="C11">
            <v>33.647553499248531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4476.1768240000001</v>
          </cell>
        </row>
        <row r="7">
          <cell r="C7">
            <v>1765.592286868741</v>
          </cell>
        </row>
        <row r="8">
          <cell r="C8">
            <v>11480.350451399539</v>
          </cell>
        </row>
        <row r="11">
          <cell r="C11">
            <v>5.9735760441564487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113.70187730769231</v>
          </cell>
        </row>
        <row r="7">
          <cell r="C7">
            <v>5098.0410000000002</v>
          </cell>
        </row>
        <row r="8">
          <cell r="C8">
            <v>1144.241</v>
          </cell>
        </row>
        <row r="11">
          <cell r="C11">
            <v>433.27763206047302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214.33641800000001</v>
          </cell>
        </row>
        <row r="7">
          <cell r="C7">
            <v>3937.9690000000001</v>
          </cell>
        </row>
        <row r="8">
          <cell r="C8">
            <v>487.43400000000003</v>
          </cell>
        </row>
        <row r="11">
          <cell r="C11">
            <v>16.098687438174878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575.00120400000003</v>
          </cell>
        </row>
        <row r="7">
          <cell r="C7">
            <v>836.98599999999999</v>
          </cell>
        </row>
        <row r="8">
          <cell r="C8">
            <v>8961.8919999999998</v>
          </cell>
        </row>
        <row r="11">
          <cell r="C11">
            <v>25.647486483584522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147.63711699999999</v>
          </cell>
        </row>
        <row r="7">
          <cell r="C7">
            <v>4282.7</v>
          </cell>
        </row>
        <row r="8">
          <cell r="C8">
            <v>6288.5</v>
          </cell>
        </row>
        <row r="11">
          <cell r="C11">
            <v>193.21229447287226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  <sheetName val="Options"/>
    </sheetNames>
    <sheetDataSet>
      <sheetData sheetId="0">
        <row r="4">
          <cell r="C4">
            <v>413.22360200000003</v>
          </cell>
        </row>
        <row r="7">
          <cell r="C7">
            <v>1676</v>
          </cell>
        </row>
        <row r="8">
          <cell r="C8">
            <v>9048</v>
          </cell>
        </row>
        <row r="11">
          <cell r="C11">
            <v>103.19817392209127</v>
          </cell>
        </row>
        <row r="14">
          <cell r="C14" t="str">
            <v>Base</v>
          </cell>
        </row>
        <row r="15">
          <cell r="C15" t="str">
            <v>Reviewed DCF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133.80911800000001</v>
          </cell>
        </row>
        <row r="7">
          <cell r="C7">
            <v>3308.1469999999999</v>
          </cell>
        </row>
        <row r="8">
          <cell r="C8">
            <v>1010.981</v>
          </cell>
        </row>
        <row r="11">
          <cell r="C11">
            <v>288.29953858447794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722.32301500000005</v>
          </cell>
        </row>
        <row r="7">
          <cell r="C7">
            <v>3842.0820000000003</v>
          </cell>
        </row>
        <row r="8">
          <cell r="C8">
            <v>0</v>
          </cell>
        </row>
        <row r="11">
          <cell r="C11">
            <v>5.3190635217403397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642.38408000000004</v>
          </cell>
        </row>
        <row r="7">
          <cell r="C7">
            <v>1715</v>
          </cell>
        </row>
        <row r="8">
          <cell r="C8">
            <v>5274</v>
          </cell>
        </row>
        <row r="11">
          <cell r="C11">
            <v>32.944120092335517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42.890692000000001</v>
          </cell>
        </row>
        <row r="7">
          <cell r="C7">
            <v>2662.3</v>
          </cell>
        </row>
        <row r="8">
          <cell r="C8">
            <v>0</v>
          </cell>
        </row>
        <row r="11">
          <cell r="C11">
            <v>478.8181686189655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  <sheetName val="Options"/>
    </sheetNames>
    <sheetDataSet>
      <sheetData sheetId="0">
        <row r="4">
          <cell r="C4">
            <v>199.78215499999999</v>
          </cell>
        </row>
        <row r="7">
          <cell r="C7">
            <v>4015.8249999999998</v>
          </cell>
        </row>
        <row r="8">
          <cell r="C8">
            <v>0</v>
          </cell>
        </row>
        <row r="11">
          <cell r="C11">
            <v>88.667653631490353</v>
          </cell>
        </row>
        <row r="14">
          <cell r="C14" t="str">
            <v>Base</v>
          </cell>
        </row>
        <row r="15">
          <cell r="C15" t="str">
            <v>Reviewed DCF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251.20436599999999</v>
          </cell>
        </row>
        <row r="7">
          <cell r="C7">
            <v>16741.349237607606</v>
          </cell>
        </row>
        <row r="8">
          <cell r="C8"/>
        </row>
        <row r="11">
          <cell r="C11">
            <v>66.368037715650388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1148.590864</v>
          </cell>
        </row>
        <row r="7">
          <cell r="C7">
            <v>886.5</v>
          </cell>
        </row>
        <row r="8">
          <cell r="C8">
            <v>13348.6</v>
          </cell>
        </row>
        <row r="11">
          <cell r="C11">
            <v>10.885889625674809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218.38150300000001</v>
          </cell>
        </row>
        <row r="7">
          <cell r="C7">
            <v>1160.3119999999999</v>
          </cell>
        </row>
        <row r="8">
          <cell r="C8">
            <v>543.51300000000003</v>
          </cell>
        </row>
        <row r="11">
          <cell r="C11">
            <v>9.3162831292020911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247.78169199999999</v>
          </cell>
        </row>
        <row r="7">
          <cell r="C7">
            <v>839.38499999999999</v>
          </cell>
        </row>
        <row r="8">
          <cell r="C8">
            <v>0</v>
          </cell>
        </row>
        <row r="11">
          <cell r="C11">
            <v>57.046216433741321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61.977407999999997</v>
          </cell>
        </row>
        <row r="7">
          <cell r="C7">
            <v>693.23243121588928</v>
          </cell>
        </row>
        <row r="8">
          <cell r="C8">
            <v>916.72199403589707</v>
          </cell>
        </row>
        <row r="11">
          <cell r="C11">
            <v>61.683855976773692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  <sheetName val="Options"/>
    </sheetNames>
    <sheetDataSet>
      <sheetData sheetId="0">
        <row r="4">
          <cell r="C4">
            <v>113.498</v>
          </cell>
        </row>
        <row r="7">
          <cell r="C7">
            <v>231.00299999999999</v>
          </cell>
        </row>
        <row r="8">
          <cell r="C8">
            <v>2146.654</v>
          </cell>
        </row>
        <row r="11">
          <cell r="C11">
            <v>64.593781153269063</v>
          </cell>
        </row>
        <row r="14">
          <cell r="C14" t="str">
            <v>Base</v>
          </cell>
        </row>
        <row r="15">
          <cell r="C15" t="str">
            <v>Reviewed DCF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  <sheetName val="Options"/>
    </sheetNames>
    <sheetDataSet>
      <sheetData sheetId="0">
        <row r="4">
          <cell r="C4">
            <v>101.649181</v>
          </cell>
        </row>
        <row r="7">
          <cell r="C7">
            <v>389.79999999999995</v>
          </cell>
        </row>
        <row r="8">
          <cell r="C8">
            <v>0</v>
          </cell>
        </row>
        <row r="11">
          <cell r="C11">
            <v>166.52692221053019</v>
          </cell>
        </row>
        <row r="14">
          <cell r="C14" t="str">
            <v>Base</v>
          </cell>
        </row>
        <row r="15">
          <cell r="C15" t="str">
            <v>Reviewed DCF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64.914576999999994</v>
          </cell>
        </row>
        <row r="7">
          <cell r="C7">
            <v>2199.8000000000002</v>
          </cell>
        </row>
        <row r="8">
          <cell r="C8">
            <v>4351.3999999999996</v>
          </cell>
        </row>
        <row r="11">
          <cell r="C11">
            <v>148.69299690082684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Pipeline"/>
      <sheetName val="NPV"/>
      <sheetName val="Options"/>
    </sheetNames>
    <sheetDataSet>
      <sheetData sheetId="0">
        <row r="4">
          <cell r="C4">
            <v>906.705602</v>
          </cell>
        </row>
        <row r="7">
          <cell r="C7">
            <v>2690.6779999999999</v>
          </cell>
        </row>
        <row r="8">
          <cell r="C8">
            <v>0</v>
          </cell>
        </row>
        <row r="11">
          <cell r="C11">
            <v>5.475264046248677</v>
          </cell>
        </row>
        <row r="14">
          <cell r="C14" t="str">
            <v>Base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Pipeline"/>
      <sheetName val="NPV"/>
      <sheetName val="Options"/>
    </sheetNames>
    <sheetDataSet>
      <sheetData sheetId="0">
        <row r="4">
          <cell r="C4">
            <v>195.48747399999999</v>
          </cell>
        </row>
        <row r="7">
          <cell r="C7">
            <v>1720.1599999999999</v>
          </cell>
        </row>
        <row r="8">
          <cell r="C8">
            <v>3505</v>
          </cell>
        </row>
        <row r="11">
          <cell r="C11">
            <v>54.634523514083696</v>
          </cell>
        </row>
        <row r="14">
          <cell r="C14" t="str">
            <v>Base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153.87603200000001</v>
          </cell>
        </row>
        <row r="7">
          <cell r="C7">
            <v>468.09300000000002</v>
          </cell>
        </row>
        <row r="8">
          <cell r="C8">
            <v>0</v>
          </cell>
        </row>
        <row r="11">
          <cell r="C11">
            <v>35.801052651703614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Pipeline"/>
      <sheetName val="NPV"/>
      <sheetName val="Options"/>
    </sheetNames>
    <sheetDataSet>
      <sheetData sheetId="0">
        <row r="4">
          <cell r="C4">
            <v>108.09839700000001</v>
          </cell>
        </row>
        <row r="7">
          <cell r="C7">
            <v>544.64699999999993</v>
          </cell>
        </row>
        <row r="8">
          <cell r="C8">
            <v>0</v>
          </cell>
        </row>
        <row r="11">
          <cell r="C11">
            <v>53.906272937291462</v>
          </cell>
        </row>
        <row r="14">
          <cell r="C14" t="str">
            <v>Base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499.62182999999999</v>
          </cell>
        </row>
        <row r="7">
          <cell r="C7">
            <v>530</v>
          </cell>
        </row>
        <row r="8">
          <cell r="C8">
            <v>3918</v>
          </cell>
        </row>
        <row r="11">
          <cell r="C11">
            <v>18.889598233038516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  <sheetName val="Options"/>
    </sheetNames>
    <sheetDataSet>
      <sheetData sheetId="0">
        <row r="4">
          <cell r="C4">
            <v>834.65697</v>
          </cell>
        </row>
        <row r="7">
          <cell r="C7">
            <v>609.81465880370683</v>
          </cell>
        </row>
        <row r="8">
          <cell r="C8">
            <v>492.48104465037915</v>
          </cell>
        </row>
        <row r="11">
          <cell r="C11">
            <v>9.8620066497419749</v>
          </cell>
        </row>
        <row r="14">
          <cell r="C14" t="str">
            <v>Base</v>
          </cell>
        </row>
        <row r="15">
          <cell r="C15" t="str">
            <v>Reviewed DCF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193.573759</v>
          </cell>
        </row>
        <row r="7">
          <cell r="C7">
            <v>874.005</v>
          </cell>
        </row>
        <row r="8">
          <cell r="C8">
            <v>4186.1419999999998</v>
          </cell>
        </row>
        <row r="11">
          <cell r="C11">
            <v>30.764388738713389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23.104126000000001</v>
          </cell>
        </row>
        <row r="7">
          <cell r="C7">
            <v>838.75300000000004</v>
          </cell>
        </row>
        <row r="8">
          <cell r="C8">
            <v>340.79399999999998</v>
          </cell>
        </row>
        <row r="11">
          <cell r="C11">
            <v>21.552817016319946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1059.8362729999999</v>
          </cell>
        </row>
        <row r="7">
          <cell r="C7">
            <v>357.37100000000004</v>
          </cell>
        </row>
        <row r="8">
          <cell r="C8">
            <v>415.08600000000001</v>
          </cell>
        </row>
        <row r="11">
          <cell r="C11">
            <v>-5.4456524531501842E-2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148.80527799999999</v>
          </cell>
        </row>
        <row r="7">
          <cell r="C7">
            <v>1486.838</v>
          </cell>
        </row>
        <row r="8">
          <cell r="C8">
            <v>0</v>
          </cell>
        </row>
        <row r="11">
          <cell r="C11">
            <v>9.9918364454787696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29.598835999999999</v>
          </cell>
        </row>
        <row r="7">
          <cell r="C7">
            <v>845.63100000000009</v>
          </cell>
        </row>
        <row r="8">
          <cell r="C8">
            <v>0</v>
          </cell>
        </row>
        <row r="11">
          <cell r="C11">
            <v>175.66781215787773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83.150617999999994</v>
          </cell>
        </row>
        <row r="7">
          <cell r="C7">
            <v>690.98500000000001</v>
          </cell>
        </row>
        <row r="8">
          <cell r="C8">
            <v>0</v>
          </cell>
        </row>
        <row r="11">
          <cell r="C11">
            <v>6.7639931170779004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282.59518600000001</v>
          </cell>
        </row>
        <row r="7">
          <cell r="C7">
            <v>102.2</v>
          </cell>
        </row>
        <row r="8">
          <cell r="C8">
            <v>393.15100000000001</v>
          </cell>
        </row>
        <row r="11">
          <cell r="C11">
            <v>21.409854727715675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Pipeline"/>
      <sheetName val="NPV"/>
      <sheetName val="Options"/>
    </sheetNames>
    <sheetDataSet>
      <sheetData sheetId="0">
        <row r="4">
          <cell r="C4">
            <v>139.02341799999999</v>
          </cell>
        </row>
        <row r="7">
          <cell r="C7">
            <v>1704.0029999999999</v>
          </cell>
        </row>
        <row r="8">
          <cell r="C8">
            <v>1166.06</v>
          </cell>
        </row>
        <row r="11">
          <cell r="C11">
            <v>44.742934152609983</v>
          </cell>
        </row>
        <row r="14">
          <cell r="C14" t="str">
            <v>Base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52.380817999999998</v>
          </cell>
        </row>
        <row r="7">
          <cell r="C7">
            <v>319.85000000000002</v>
          </cell>
        </row>
        <row r="8">
          <cell r="C8">
            <v>187.958</v>
          </cell>
        </row>
        <row r="11">
          <cell r="C11">
            <v>63.208890610299846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64.708285000000004</v>
          </cell>
        </row>
        <row r="7">
          <cell r="C7">
            <v>782.57600000000002</v>
          </cell>
        </row>
        <row r="8">
          <cell r="C8">
            <v>0</v>
          </cell>
        </row>
        <row r="11">
          <cell r="C11">
            <v>12.093907294869583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62.707424000000003</v>
          </cell>
        </row>
        <row r="7">
          <cell r="C7">
            <v>166.839</v>
          </cell>
        </row>
        <row r="8">
          <cell r="C8">
            <v>15</v>
          </cell>
        </row>
        <row r="11">
          <cell r="C11">
            <v>15.588532270153587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153.069053</v>
          </cell>
        </row>
        <row r="7">
          <cell r="C7">
            <v>612.29999999999995</v>
          </cell>
        </row>
        <row r="8">
          <cell r="C8">
            <v>745.38699999999994</v>
          </cell>
        </row>
        <row r="11">
          <cell r="C11">
            <v>31.001644589882659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141.25446700000001</v>
          </cell>
        </row>
        <row r="7">
          <cell r="C7">
            <v>1601.96</v>
          </cell>
        </row>
        <row r="8">
          <cell r="C8">
            <v>864.07299999999998</v>
          </cell>
        </row>
        <row r="11">
          <cell r="C11">
            <v>5.223813559113851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166.18432200000001</v>
          </cell>
        </row>
        <row r="7">
          <cell r="C7">
            <v>2054.585</v>
          </cell>
        </row>
        <row r="8">
          <cell r="C8">
            <v>0</v>
          </cell>
        </row>
        <row r="11">
          <cell r="C11">
            <v>12.785845823339901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Pipeline"/>
      <sheetName val="NPV"/>
      <sheetName val="Options"/>
    </sheetNames>
    <sheetDataSet>
      <sheetData sheetId="0">
        <row r="4">
          <cell r="C4">
            <v>29.163921000000002</v>
          </cell>
        </row>
        <row r="7">
          <cell r="C7">
            <v>1373.84</v>
          </cell>
        </row>
        <row r="8">
          <cell r="C8">
            <v>0</v>
          </cell>
        </row>
        <row r="11">
          <cell r="C11">
            <v>272.58648743171324</v>
          </cell>
        </row>
        <row r="14">
          <cell r="C14" t="str">
            <v>Base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88.173761999999996</v>
          </cell>
        </row>
        <row r="7">
          <cell r="C7">
            <v>1145.346</v>
          </cell>
        </row>
        <row r="8">
          <cell r="C8">
            <v>0</v>
          </cell>
        </row>
        <row r="11">
          <cell r="C11">
            <v>12.98964651185009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78.536411999999999</v>
          </cell>
        </row>
        <row r="7">
          <cell r="C7">
            <v>581.42688347493379</v>
          </cell>
        </row>
        <row r="8">
          <cell r="C8"/>
        </row>
        <row r="11">
          <cell r="C11">
            <v>7.4032779021650974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167.763272</v>
          </cell>
        </row>
        <row r="7">
          <cell r="C7">
            <v>656.577</v>
          </cell>
        </row>
        <row r="8">
          <cell r="C8">
            <v>1503.1110000000001</v>
          </cell>
        </row>
        <row r="11">
          <cell r="C11">
            <v>12.355105948043038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452.97143199999999</v>
          </cell>
        </row>
        <row r="7">
          <cell r="C7">
            <v>297.67399999999998</v>
          </cell>
        </row>
        <row r="8">
          <cell r="C8">
            <v>0</v>
          </cell>
        </row>
        <row r="11">
          <cell r="C11">
            <v>0.15760837130098759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319.35391900000002</v>
          </cell>
        </row>
        <row r="7">
          <cell r="C7">
            <v>127.637</v>
          </cell>
        </row>
        <row r="8">
          <cell r="C8">
            <v>2670.2959999999998</v>
          </cell>
        </row>
        <row r="11">
          <cell r="C11">
            <v>17.53203349331973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68.852081999999996</v>
          </cell>
        </row>
        <row r="7">
          <cell r="C7">
            <v>330.89700000000005</v>
          </cell>
        </row>
        <row r="8">
          <cell r="C8">
            <v>106.102</v>
          </cell>
        </row>
        <row r="11">
          <cell r="C11">
            <v>3.7457419713281723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19.935608999999999</v>
          </cell>
        </row>
        <row r="7">
          <cell r="C7">
            <v>1357.758</v>
          </cell>
        </row>
        <row r="8">
          <cell r="C8">
            <v>1126.5940000000001</v>
          </cell>
        </row>
        <row r="11">
          <cell r="C11">
            <v>94.079072956242555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39.339959999999998</v>
          </cell>
        </row>
        <row r="7">
          <cell r="C7">
            <v>492.42200000000003</v>
          </cell>
        </row>
        <row r="8">
          <cell r="C8">
            <v>0</v>
          </cell>
        </row>
        <row r="11">
          <cell r="C11">
            <v>12.517094577625398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Pipeline"/>
      <sheetName val="NPV"/>
      <sheetName val="Options"/>
    </sheetNames>
    <sheetDataSet>
      <sheetData sheetId="0">
        <row r="4">
          <cell r="C4">
            <v>187.89448199999998</v>
          </cell>
        </row>
        <row r="7">
          <cell r="C7">
            <v>863.7</v>
          </cell>
        </row>
        <row r="8">
          <cell r="C8">
            <v>230</v>
          </cell>
        </row>
        <row r="11">
          <cell r="C11">
            <v>18.914297835030432</v>
          </cell>
        </row>
        <row r="14">
          <cell r="C14" t="str">
            <v>Base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206.552682</v>
          </cell>
        </row>
        <row r="7">
          <cell r="C7">
            <v>797.798</v>
          </cell>
        </row>
        <row r="8">
          <cell r="C8">
            <v>0</v>
          </cell>
        </row>
        <row r="11">
          <cell r="C11">
            <v>3.8624431901591092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62.849457000000001</v>
          </cell>
        </row>
        <row r="7">
          <cell r="C7">
            <v>125.90300000000001</v>
          </cell>
        </row>
        <row r="8">
          <cell r="C8">
            <v>0</v>
          </cell>
        </row>
        <row r="11">
          <cell r="C11">
            <v>2.0032472197810716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88.640375000000006</v>
          </cell>
        </row>
        <row r="7">
          <cell r="C7">
            <v>1028.278</v>
          </cell>
        </row>
        <row r="8">
          <cell r="C8">
            <v>3</v>
          </cell>
        </row>
        <row r="11">
          <cell r="C11">
            <v>11.566715506336699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44.666234000000003</v>
          </cell>
        </row>
        <row r="7">
          <cell r="C7">
            <v>861.60900000000004</v>
          </cell>
        </row>
        <row r="8">
          <cell r="C8">
            <v>0</v>
          </cell>
        </row>
        <row r="11">
          <cell r="C11">
            <v>3.4664440007756281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2610.81439</v>
          </cell>
        </row>
        <row r="7">
          <cell r="C7">
            <v>3.25</v>
          </cell>
        </row>
        <row r="8">
          <cell r="C8">
            <v>4.4790000000000001</v>
          </cell>
        </row>
        <row r="11">
          <cell r="C11">
            <v>-4.7073434431315513E-4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64.932203000000001</v>
          </cell>
        </row>
        <row r="7">
          <cell r="C7">
            <v>438.291</v>
          </cell>
        </row>
        <row r="8">
          <cell r="C8">
            <v>750.07899999999995</v>
          </cell>
        </row>
        <row r="11">
          <cell r="C11">
            <v>33.892700406320593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83.460802000000001</v>
          </cell>
        </row>
        <row r="7">
          <cell r="C7">
            <v>2229.0819999999999</v>
          </cell>
        </row>
        <row r="8">
          <cell r="C8">
            <v>590.97</v>
          </cell>
        </row>
        <row r="11">
          <cell r="C11">
            <v>47.505232158878805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121.785282</v>
          </cell>
        </row>
        <row r="7">
          <cell r="C7">
            <v>492.08800000000002</v>
          </cell>
        </row>
        <row r="8">
          <cell r="C8">
            <v>196.203</v>
          </cell>
        </row>
        <row r="11">
          <cell r="C11">
            <v>2.4295628760789008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66.209699000000001</v>
          </cell>
        </row>
        <row r="7">
          <cell r="C7">
            <v>873.56400000000008</v>
          </cell>
        </row>
        <row r="8">
          <cell r="C8">
            <v>0</v>
          </cell>
        </row>
        <row r="11">
          <cell r="C11">
            <v>13.193897770174127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96.692653000000007</v>
          </cell>
        </row>
        <row r="7">
          <cell r="C7">
            <v>2364.3519999999999</v>
          </cell>
        </row>
        <row r="8">
          <cell r="C8">
            <v>586.19799999999998</v>
          </cell>
        </row>
        <row r="11">
          <cell r="C11">
            <v>18.389752942242673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495.88437599999997</v>
          </cell>
        </row>
        <row r="7">
          <cell r="C7">
            <v>14.192455000000001</v>
          </cell>
        </row>
        <row r="8">
          <cell r="C8">
            <v>0</v>
          </cell>
        </row>
        <row r="11">
          <cell r="C11">
            <v>2.862049237058439E-2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349.76203500000003</v>
          </cell>
        </row>
        <row r="7">
          <cell r="C7">
            <v>384.3</v>
          </cell>
        </row>
        <row r="8">
          <cell r="C8">
            <v>0</v>
          </cell>
        </row>
        <row r="11">
          <cell r="C11">
            <v>1.0987470381112117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94.261082000000002</v>
          </cell>
        </row>
        <row r="7">
          <cell r="C7">
            <v>293.64499999999998</v>
          </cell>
        </row>
        <row r="8">
          <cell r="C8">
            <v>602.78099999999995</v>
          </cell>
        </row>
        <row r="11">
          <cell r="C11">
            <v>21.127019530816117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41.780135999999999</v>
          </cell>
        </row>
        <row r="7">
          <cell r="C7">
            <v>819.89400000000001</v>
          </cell>
        </row>
        <row r="8">
          <cell r="C8">
            <v>0</v>
          </cell>
        </row>
        <row r="11">
          <cell r="C11">
            <v>19.624014627429649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134.36695</v>
          </cell>
        </row>
        <row r="7">
          <cell r="C7">
            <v>1083.8790000000001</v>
          </cell>
        </row>
        <row r="8">
          <cell r="C8">
            <v>36.466999999999999</v>
          </cell>
        </row>
        <row r="11">
          <cell r="C11">
            <v>7.795160938013403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488.846722</v>
          </cell>
        </row>
        <row r="7">
          <cell r="C7">
            <v>57.026000000000003</v>
          </cell>
        </row>
        <row r="8">
          <cell r="C8">
            <v>36.145000000000003</v>
          </cell>
        </row>
        <row r="11">
          <cell r="C11">
            <v>-0.20853436195696259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108.604129</v>
          </cell>
        </row>
        <row r="7">
          <cell r="C7">
            <v>72.319000000000003</v>
          </cell>
        </row>
        <row r="8">
          <cell r="C8">
            <v>0</v>
          </cell>
        </row>
        <row r="11">
          <cell r="C11">
            <v>0.66589549279475369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55.934378000000002</v>
          </cell>
        </row>
        <row r="7">
          <cell r="C7">
            <v>886.81299999999999</v>
          </cell>
        </row>
        <row r="8">
          <cell r="C8">
            <v>0</v>
          </cell>
        </row>
        <row r="11">
          <cell r="C11">
            <v>15.854525100824397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118.013649</v>
          </cell>
        </row>
        <row r="7">
          <cell r="C7">
            <v>222</v>
          </cell>
        </row>
        <row r="8">
          <cell r="C8">
            <v>487</v>
          </cell>
        </row>
        <row r="11">
          <cell r="C11">
            <v>28.181455733312131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168.610367</v>
          </cell>
        </row>
        <row r="7">
          <cell r="C7">
            <v>1013.99</v>
          </cell>
        </row>
        <row r="8">
          <cell r="C8">
            <v>0</v>
          </cell>
        </row>
        <row r="11">
          <cell r="C11">
            <v>3.7852885847835798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125.69196100000001</v>
          </cell>
        </row>
        <row r="7">
          <cell r="C7">
            <v>238.55200000000002</v>
          </cell>
        </row>
        <row r="8">
          <cell r="C8">
            <v>108.9</v>
          </cell>
        </row>
        <row r="11">
          <cell r="C11">
            <v>17.866044506123085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338.77704899999998</v>
          </cell>
        </row>
        <row r="7">
          <cell r="C7">
            <v>141.86600000000001</v>
          </cell>
        </row>
        <row r="8">
          <cell r="C8">
            <v>405.024</v>
          </cell>
        </row>
        <row r="11">
          <cell r="C11">
            <v>11.325641162457769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262.60943300000002</v>
          </cell>
        </row>
        <row r="7">
          <cell r="C7">
            <v>1132</v>
          </cell>
        </row>
        <row r="8">
          <cell r="C8">
            <v>8553</v>
          </cell>
        </row>
        <row r="11">
          <cell r="C11">
            <v>10.85280996028869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219.14163099999999</v>
          </cell>
        </row>
        <row r="7">
          <cell r="C7">
            <v>121.18899999999999</v>
          </cell>
        </row>
        <row r="8">
          <cell r="C8">
            <v>0</v>
          </cell>
        </row>
        <row r="11">
          <cell r="C11">
            <v>0.55301678392637321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80.390731000000002</v>
          </cell>
        </row>
        <row r="7">
          <cell r="C7">
            <v>299.52100000000002</v>
          </cell>
        </row>
        <row r="8">
          <cell r="C8">
            <v>0</v>
          </cell>
        </row>
        <row r="11">
          <cell r="C11">
            <v>26.369691936477601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184.9431845</v>
          </cell>
        </row>
        <row r="7">
          <cell r="C7">
            <v>901.9</v>
          </cell>
        </row>
        <row r="8">
          <cell r="C8">
            <v>319.10000000000002</v>
          </cell>
        </row>
        <row r="11">
          <cell r="C11">
            <v>24.93830421292855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51.734223</v>
          </cell>
        </row>
        <row r="7">
          <cell r="C7">
            <v>373.63600000000002</v>
          </cell>
        </row>
        <row r="8">
          <cell r="C8">
            <v>0</v>
          </cell>
        </row>
        <row r="11">
          <cell r="C11">
            <v>35.323638096063469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172.30551800000001</v>
          </cell>
        </row>
        <row r="7">
          <cell r="C7">
            <v>956.47400000000005</v>
          </cell>
        </row>
        <row r="8">
          <cell r="C8">
            <v>0</v>
          </cell>
        </row>
        <row r="11">
          <cell r="C11">
            <v>21.156942163348617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96.840432000000007</v>
          </cell>
        </row>
        <row r="7">
          <cell r="C7">
            <v>930.68600000000004</v>
          </cell>
        </row>
        <row r="8">
          <cell r="C8">
            <v>0</v>
          </cell>
        </row>
        <row r="11">
          <cell r="C11">
            <v>9.6105106181269413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96.489484000000004</v>
          </cell>
        </row>
        <row r="7">
          <cell r="C7">
            <v>828.95499999999993</v>
          </cell>
        </row>
        <row r="8">
          <cell r="C8">
            <v>0</v>
          </cell>
        </row>
        <row r="11">
          <cell r="C11">
            <v>8.5911434659553141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89.508891000000006</v>
          </cell>
        </row>
        <row r="7">
          <cell r="C7">
            <v>284.18099999999998</v>
          </cell>
        </row>
        <row r="8">
          <cell r="C8">
            <v>0</v>
          </cell>
        </row>
        <row r="11">
          <cell r="C11">
            <v>3.1748913077249497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43.882995999999999</v>
          </cell>
        </row>
        <row r="7">
          <cell r="C7">
            <v>449.69</v>
          </cell>
        </row>
        <row r="8">
          <cell r="C8">
            <v>72.762</v>
          </cell>
        </row>
        <row r="11">
          <cell r="C11">
            <v>55.991126072867225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116.65293699999999</v>
          </cell>
        </row>
        <row r="7">
          <cell r="C7">
            <v>501.66300000000001</v>
          </cell>
        </row>
        <row r="8">
          <cell r="C8">
            <v>0</v>
          </cell>
        </row>
        <row r="11">
          <cell r="C11">
            <v>4.3004746635740512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111.42304799999999</v>
          </cell>
        </row>
        <row r="7">
          <cell r="C7">
            <v>250.76</v>
          </cell>
        </row>
        <row r="8">
          <cell r="C8">
            <v>0</v>
          </cell>
        </row>
        <row r="11">
          <cell r="C11">
            <v>2.2505218130453586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127.333376</v>
          </cell>
        </row>
        <row r="7">
          <cell r="C7">
            <v>702</v>
          </cell>
        </row>
        <row r="8">
          <cell r="C8">
            <v>101</v>
          </cell>
        </row>
        <row r="11">
          <cell r="C11">
            <v>-0.19540691435743784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159.84740300000001</v>
          </cell>
        </row>
        <row r="7">
          <cell r="C7">
            <v>710.471</v>
          </cell>
        </row>
        <row r="8">
          <cell r="C8">
            <v>0</v>
          </cell>
        </row>
        <row r="11">
          <cell r="C11">
            <v>4.444682782866356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121.938652</v>
          </cell>
        </row>
        <row r="7">
          <cell r="C7">
            <v>1120.6969999999999</v>
          </cell>
        </row>
        <row r="8">
          <cell r="C8">
            <v>6.41</v>
          </cell>
        </row>
        <row r="11">
          <cell r="C11">
            <v>9.1380951135985971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48.931908</v>
          </cell>
        </row>
        <row r="7">
          <cell r="C7">
            <v>754.04399999999998</v>
          </cell>
        </row>
        <row r="8">
          <cell r="C8">
            <v>753.23500000000001</v>
          </cell>
        </row>
        <row r="11">
          <cell r="C11">
            <v>1.6533179127206098E-2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73.270760999999993</v>
          </cell>
        </row>
        <row r="7">
          <cell r="C7">
            <v>895.15499999999997</v>
          </cell>
        </row>
        <row r="8">
          <cell r="C8">
            <v>0</v>
          </cell>
        </row>
        <row r="11">
          <cell r="C11">
            <v>12.217083428408776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186.746431</v>
          </cell>
        </row>
        <row r="7">
          <cell r="C7">
            <v>898.47500000000002</v>
          </cell>
        </row>
        <row r="8">
          <cell r="C8">
            <v>199.328</v>
          </cell>
        </row>
        <row r="11">
          <cell r="C11">
            <v>3.7438305849068678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112.244539</v>
          </cell>
        </row>
        <row r="7">
          <cell r="C7">
            <v>617.52200000000005</v>
          </cell>
        </row>
        <row r="8">
          <cell r="C8">
            <v>238.10400000000001</v>
          </cell>
        </row>
        <row r="11">
          <cell r="C11">
            <v>1.6158726427105166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103.781683</v>
          </cell>
        </row>
        <row r="7">
          <cell r="C7">
            <v>443.529</v>
          </cell>
        </row>
        <row r="8">
          <cell r="C8">
            <v>0</v>
          </cell>
        </row>
        <row r="11">
          <cell r="C11">
            <v>4.2736732261318213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174.46552400000002</v>
          </cell>
        </row>
        <row r="7">
          <cell r="C7">
            <v>1367.2749999999999</v>
          </cell>
        </row>
        <row r="8">
          <cell r="C8">
            <v>93.16</v>
          </cell>
        </row>
        <row r="11">
          <cell r="C11">
            <v>9.4955620915593606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103.287665</v>
          </cell>
        </row>
        <row r="7">
          <cell r="C7">
            <v>1200</v>
          </cell>
        </row>
        <row r="8">
          <cell r="C8">
            <v>100.258</v>
          </cell>
        </row>
        <row r="11">
          <cell r="C11">
            <v>2.0615725162469447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223.98468</v>
          </cell>
        </row>
        <row r="7">
          <cell r="C7">
            <v>136.02000000000001</v>
          </cell>
        </row>
        <row r="8">
          <cell r="C8">
            <v>196.589</v>
          </cell>
        </row>
        <row r="11">
          <cell r="C11">
            <v>7.9075324605976407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48.160096000000003</v>
          </cell>
        </row>
        <row r="7">
          <cell r="C7">
            <v>418.58100000000002</v>
          </cell>
        </row>
        <row r="8">
          <cell r="C8">
            <v>0</v>
          </cell>
        </row>
        <row r="11">
          <cell r="C11">
            <v>8.6914486216971003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119.53716900000001</v>
          </cell>
        </row>
        <row r="7">
          <cell r="C7">
            <v>633.85400000000004</v>
          </cell>
        </row>
        <row r="8">
          <cell r="C8">
            <v>0</v>
          </cell>
        </row>
        <row r="11">
          <cell r="C11">
            <v>5.302568274809988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47.374521999999999</v>
          </cell>
        </row>
        <row r="7">
          <cell r="C7">
            <v>89.126999999999995</v>
          </cell>
        </row>
        <row r="8">
          <cell r="C8">
            <v>2021.3239999999998</v>
          </cell>
        </row>
        <row r="11">
          <cell r="C11">
            <v>21.35821045832537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373.99056100000001</v>
          </cell>
        </row>
        <row r="7">
          <cell r="C7">
            <v>1825</v>
          </cell>
        </row>
        <row r="8">
          <cell r="C8">
            <v>20741</v>
          </cell>
        </row>
        <row r="11">
          <cell r="C11">
            <v>10.708239624250202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138.76924500000001</v>
          </cell>
        </row>
        <row r="7">
          <cell r="C7">
            <v>399.7</v>
          </cell>
        </row>
        <row r="8">
          <cell r="C8">
            <v>3294.8</v>
          </cell>
        </row>
        <row r="11">
          <cell r="C11">
            <v>13.749304210124896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358.03524700000003</v>
          </cell>
        </row>
        <row r="7">
          <cell r="C7">
            <v>38.698</v>
          </cell>
        </row>
        <row r="8">
          <cell r="C8">
            <v>93.88</v>
          </cell>
        </row>
        <row r="11">
          <cell r="C11">
            <v>-0.15412449043040724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58.236393</v>
          </cell>
        </row>
        <row r="7">
          <cell r="C7">
            <v>667.79100000000005</v>
          </cell>
        </row>
        <row r="8">
          <cell r="C8">
            <v>153.96100000000001</v>
          </cell>
        </row>
        <row r="11">
          <cell r="C11">
            <v>89.024702177033234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58.127012999999998</v>
          </cell>
        </row>
        <row r="7">
          <cell r="C7">
            <v>372.06700000000001</v>
          </cell>
        </row>
        <row r="8">
          <cell r="C8">
            <v>0</v>
          </cell>
        </row>
        <row r="11">
          <cell r="C11">
            <v>22.845623795053047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133.05116799999999</v>
          </cell>
        </row>
        <row r="7">
          <cell r="C7">
            <v>443.02300000000002</v>
          </cell>
        </row>
        <row r="8">
          <cell r="C8">
            <v>0</v>
          </cell>
        </row>
        <row r="11">
          <cell r="C11">
            <v>14.629782246270619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38.392843999999997</v>
          </cell>
        </row>
        <row r="7">
          <cell r="C7">
            <v>717.74600000000009</v>
          </cell>
        </row>
        <row r="8">
          <cell r="C8">
            <v>59.34</v>
          </cell>
        </row>
        <row r="11">
          <cell r="C11">
            <v>17.149185405488588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78.529532000000003</v>
          </cell>
        </row>
        <row r="7">
          <cell r="C7">
            <v>717.58699999999999</v>
          </cell>
        </row>
        <row r="8">
          <cell r="C8">
            <v>0</v>
          </cell>
        </row>
        <row r="11">
          <cell r="C11">
            <v>9.1377979942628453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113.292269</v>
          </cell>
        </row>
        <row r="7">
          <cell r="C7">
            <v>981.53</v>
          </cell>
        </row>
        <row r="8">
          <cell r="C8">
            <v>355.80099999999999</v>
          </cell>
        </row>
        <row r="11">
          <cell r="C11">
            <v>5.5231394474057183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51.206614000000002</v>
          </cell>
        </row>
        <row r="7">
          <cell r="C7">
            <v>162.458</v>
          </cell>
        </row>
        <row r="8">
          <cell r="C8">
            <v>0</v>
          </cell>
        </row>
        <row r="11">
          <cell r="C11">
            <v>20.363223827287637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201.94570899999999</v>
          </cell>
        </row>
        <row r="7">
          <cell r="C7">
            <v>138.34299999999999</v>
          </cell>
        </row>
        <row r="8">
          <cell r="C8">
            <v>0</v>
          </cell>
        </row>
        <row r="11">
          <cell r="C11">
            <v>0.68505045581334933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72.063334999999995</v>
          </cell>
        </row>
        <row r="7">
          <cell r="C7">
            <v>499.161</v>
          </cell>
        </row>
        <row r="8">
          <cell r="C8">
            <v>75.227999999999994</v>
          </cell>
        </row>
        <row r="11">
          <cell r="C11">
            <v>5.8827835264632151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255.53510499999999</v>
          </cell>
        </row>
        <row r="7">
          <cell r="C7">
            <v>352.57299999999998</v>
          </cell>
        </row>
        <row r="8">
          <cell r="C8">
            <v>395.4</v>
          </cell>
        </row>
        <row r="11">
          <cell r="C11">
            <v>10.220888152556942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65.897070999999997</v>
          </cell>
        </row>
        <row r="7">
          <cell r="C7">
            <v>3373.7106847465252</v>
          </cell>
        </row>
        <row r="8">
          <cell r="C8"/>
        </row>
        <row r="11">
          <cell r="C11">
            <v>51.196671317098833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192.382935</v>
          </cell>
        </row>
        <row r="7">
          <cell r="C7">
            <v>325.42</v>
          </cell>
        </row>
        <row r="8">
          <cell r="C8">
            <v>93.570999999999998</v>
          </cell>
        </row>
        <row r="11">
          <cell r="C11">
            <v>8.3781736853732109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182.32030599999999</v>
          </cell>
        </row>
        <row r="7">
          <cell r="C7">
            <v>121.747</v>
          </cell>
        </row>
        <row r="8">
          <cell r="C8">
            <v>252.58999999999997</v>
          </cell>
        </row>
        <row r="11">
          <cell r="C11">
            <v>8.0399618899131902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113.577629</v>
          </cell>
        </row>
        <row r="7">
          <cell r="C7">
            <v>519.99599999999998</v>
          </cell>
        </row>
        <row r="8">
          <cell r="C8">
            <v>0</v>
          </cell>
        </row>
        <row r="11">
          <cell r="C11">
            <v>4.578331178228769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Pipeline"/>
      <sheetName val="NPV"/>
      <sheetName val="Options"/>
    </sheetNames>
    <sheetDataSet>
      <sheetData sheetId="0">
        <row r="4">
          <cell r="C4">
            <v>59.701881999999998</v>
          </cell>
        </row>
        <row r="7">
          <cell r="C7">
            <v>964.827</v>
          </cell>
        </row>
        <row r="8">
          <cell r="C8">
            <v>0</v>
          </cell>
        </row>
        <row r="11">
          <cell r="C11">
            <v>34.937731338792659</v>
          </cell>
        </row>
        <row r="14">
          <cell r="C14" t="str">
            <v>Base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200.623358</v>
          </cell>
        </row>
        <row r="7">
          <cell r="C7">
            <v>9.8195700000000006</v>
          </cell>
        </row>
        <row r="8">
          <cell r="C8">
            <v>1.618465</v>
          </cell>
        </row>
        <row r="11">
          <cell r="C11">
            <v>4.0878116495288649E-2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164.94572600000001</v>
          </cell>
        </row>
        <row r="7">
          <cell r="C7">
            <v>719.33999999999992</v>
          </cell>
        </row>
        <row r="8">
          <cell r="C8">
            <v>291.49</v>
          </cell>
        </row>
        <row r="11">
          <cell r="C11">
            <v>3.1834965721368951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535.34217000000001</v>
          </cell>
        </row>
        <row r="7">
          <cell r="C7">
            <v>545.68299999999999</v>
          </cell>
        </row>
        <row r="8">
          <cell r="C8">
            <v>14.196</v>
          </cell>
        </row>
        <row r="11">
          <cell r="C11">
            <v>0.54460310299961934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65.210589999999996</v>
          </cell>
        </row>
        <row r="7">
          <cell r="C7">
            <v>328.22708602937035</v>
          </cell>
        </row>
        <row r="8">
          <cell r="C8"/>
        </row>
        <row r="11">
          <cell r="C11">
            <v>5.0333402293917349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105.627021</v>
          </cell>
        </row>
        <row r="7">
          <cell r="C7">
            <v>788.48900000000003</v>
          </cell>
        </row>
        <row r="8">
          <cell r="C8">
            <v>847.62300000000005</v>
          </cell>
        </row>
        <row r="11">
          <cell r="C11">
            <v>14.829629866902051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Pipeline"/>
      <sheetName val="NPV"/>
      <sheetName val="Options"/>
    </sheetNames>
    <sheetDataSet>
      <sheetData sheetId="0">
        <row r="4">
          <cell r="C4">
            <v>88.406885000000003</v>
          </cell>
        </row>
        <row r="7">
          <cell r="C7">
            <v>661.4</v>
          </cell>
        </row>
        <row r="8">
          <cell r="C8">
            <v>100</v>
          </cell>
        </row>
        <row r="11">
          <cell r="C11">
            <v>23.020628641109727</v>
          </cell>
        </row>
        <row r="14">
          <cell r="C14" t="str">
            <v>Base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197.83759699999999</v>
          </cell>
        </row>
        <row r="7">
          <cell r="C7">
            <v>137.917</v>
          </cell>
        </row>
        <row r="8">
          <cell r="C8">
            <v>0</v>
          </cell>
        </row>
        <row r="11">
          <cell r="C11">
            <v>0.69712229672906922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70.959241000000006</v>
          </cell>
        </row>
        <row r="7">
          <cell r="C7">
            <v>270.69900000000001</v>
          </cell>
        </row>
        <row r="8">
          <cell r="C8">
            <v>0</v>
          </cell>
        </row>
        <row r="11">
          <cell r="C11">
            <v>3.8148519655107358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46.676946999999998</v>
          </cell>
        </row>
        <row r="7">
          <cell r="C7">
            <v>372.322</v>
          </cell>
        </row>
        <row r="8">
          <cell r="C8">
            <v>0</v>
          </cell>
        </row>
        <row r="11">
          <cell r="C11">
            <v>7.9765713897269253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14.408407</v>
          </cell>
        </row>
        <row r="7">
          <cell r="C7">
            <v>250.584</v>
          </cell>
        </row>
        <row r="8">
          <cell r="C8">
            <v>0</v>
          </cell>
        </row>
        <row r="11">
          <cell r="C11">
            <v>17.391513163113729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129.68627759999998</v>
          </cell>
        </row>
        <row r="7">
          <cell r="C7">
            <v>129.97499999999999</v>
          </cell>
        </row>
        <row r="8">
          <cell r="C8">
            <v>126.87</v>
          </cell>
        </row>
        <row r="11">
          <cell r="C11">
            <v>2.3942394349361681E-2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74.353397000000001</v>
          </cell>
        </row>
        <row r="7">
          <cell r="C7">
            <v>377.815</v>
          </cell>
        </row>
        <row r="8">
          <cell r="C8">
            <v>104.89500000000001</v>
          </cell>
        </row>
        <row r="11">
          <cell r="C11">
            <v>-0.27090436223807979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142.475841</v>
          </cell>
        </row>
        <row r="7">
          <cell r="C7">
            <v>318.87</v>
          </cell>
        </row>
        <row r="8">
          <cell r="C8">
            <v>0</v>
          </cell>
        </row>
        <row r="11">
          <cell r="C11">
            <v>2.2380636447690807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48.880564</v>
          </cell>
        </row>
        <row r="7">
          <cell r="C7">
            <v>109.29499999999999</v>
          </cell>
        </row>
        <row r="8">
          <cell r="C8">
            <v>188.73400000000001</v>
          </cell>
        </row>
        <row r="11">
          <cell r="C11">
            <v>1.2256017952827458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169.215958</v>
          </cell>
        </row>
        <row r="7">
          <cell r="C7">
            <v>528.59299999999996</v>
          </cell>
        </row>
        <row r="8">
          <cell r="C8">
            <v>0</v>
          </cell>
        </row>
        <row r="11">
          <cell r="C11">
            <v>3.1237774867545292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90.038968999999994</v>
          </cell>
        </row>
        <row r="7">
          <cell r="C7">
            <v>122.831</v>
          </cell>
        </row>
        <row r="8">
          <cell r="C8">
            <v>0</v>
          </cell>
        </row>
        <row r="11">
          <cell r="C11">
            <v>1.3641982062233522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22.970351999999998</v>
          </cell>
        </row>
        <row r="7">
          <cell r="C7">
            <v>360.21199999999999</v>
          </cell>
        </row>
        <row r="8">
          <cell r="C8">
            <v>301.48399999999998</v>
          </cell>
        </row>
        <row r="11">
          <cell r="C11">
            <v>158.06464336162114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151.043781</v>
          </cell>
        </row>
        <row r="7">
          <cell r="C7">
            <v>267.86599999999999</v>
          </cell>
        </row>
        <row r="8">
          <cell r="C8">
            <v>259.48</v>
          </cell>
        </row>
        <row r="11">
          <cell r="C11">
            <v>5.5520326255603783E-2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65.176722999999996</v>
          </cell>
        </row>
        <row r="7">
          <cell r="C7">
            <v>673.9</v>
          </cell>
        </row>
        <row r="8">
          <cell r="C8">
            <v>297.01599999999996</v>
          </cell>
        </row>
        <row r="11">
          <cell r="C11">
            <v>5.7824938513708339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140.12669299999999</v>
          </cell>
        </row>
        <row r="7">
          <cell r="C7">
            <v>437.75899999999996</v>
          </cell>
        </row>
        <row r="8">
          <cell r="C8">
            <v>0</v>
          </cell>
        </row>
        <row r="11">
          <cell r="C11">
            <v>1.9003168674395607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40.601602999999997</v>
          </cell>
        </row>
        <row r="7">
          <cell r="C7">
            <v>81.994</v>
          </cell>
        </row>
        <row r="8">
          <cell r="C8">
            <v>732.79399999999998</v>
          </cell>
        </row>
        <row r="11">
          <cell r="C11">
            <v>90.169679701620638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312.02137499999998</v>
          </cell>
        </row>
        <row r="7">
          <cell r="C7">
            <v>172.35900000000001</v>
          </cell>
        </row>
        <row r="8">
          <cell r="C8">
            <v>1299.068</v>
          </cell>
        </row>
        <row r="11">
          <cell r="C11">
            <v>2.6593298705318773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64.526241999999996</v>
          </cell>
        </row>
        <row r="7">
          <cell r="C7">
            <v>292.81799999999998</v>
          </cell>
        </row>
        <row r="8">
          <cell r="C8">
            <v>0</v>
          </cell>
        </row>
        <row r="11">
          <cell r="C11">
            <v>4.5379676690299116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351.12323300000003</v>
          </cell>
        </row>
        <row r="7">
          <cell r="C7">
            <v>660.9559999999999</v>
          </cell>
        </row>
        <row r="8">
          <cell r="C8">
            <v>5.8929999999999998</v>
          </cell>
        </row>
        <row r="11">
          <cell r="C11">
            <v>1.8656213500973313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128.35243600000001</v>
          </cell>
        </row>
        <row r="7">
          <cell r="C7">
            <v>457.41499999999996</v>
          </cell>
        </row>
        <row r="8">
          <cell r="C8">
            <v>0</v>
          </cell>
        </row>
        <row r="11">
          <cell r="C11">
            <v>3.5637422572953734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55.549168000000002</v>
          </cell>
        </row>
        <row r="7">
          <cell r="C7">
            <v>411.08699999999999</v>
          </cell>
        </row>
        <row r="8">
          <cell r="C8">
            <v>38.96</v>
          </cell>
        </row>
        <row r="11">
          <cell r="C11">
            <v>6.6990562306891794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51.498617000000003</v>
          </cell>
        </row>
        <row r="7">
          <cell r="C7">
            <v>880.21100000000001</v>
          </cell>
        </row>
        <row r="8">
          <cell r="C8">
            <v>0</v>
          </cell>
        </row>
        <row r="11">
          <cell r="C11">
            <v>34.810773327462059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219.61586800000001</v>
          </cell>
        </row>
        <row r="7">
          <cell r="C7">
            <v>598.64099999999996</v>
          </cell>
        </row>
        <row r="8">
          <cell r="C8">
            <v>72.795000000000002</v>
          </cell>
        </row>
        <row r="11">
          <cell r="C11">
            <v>1.6233398913836945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71.309857333333341</v>
          </cell>
        </row>
        <row r="7">
          <cell r="C7">
            <v>1342.6579999999999</v>
          </cell>
        </row>
        <row r="8">
          <cell r="C8">
            <v>0</v>
          </cell>
        </row>
        <row r="11">
          <cell r="C11">
            <v>18.82850492497596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72.245485000000002</v>
          </cell>
        </row>
        <row r="7">
          <cell r="C7">
            <v>570.38800000000003</v>
          </cell>
        </row>
        <row r="8">
          <cell r="C8">
            <v>258.45400000000001</v>
          </cell>
        </row>
        <row r="11">
          <cell r="C11">
            <v>40.280656987459565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138.476822</v>
          </cell>
        </row>
        <row r="7">
          <cell r="C7">
            <v>433.29500000000002</v>
          </cell>
        </row>
        <row r="8">
          <cell r="C8">
            <v>50.726999999999997</v>
          </cell>
        </row>
        <row r="11">
          <cell r="C11">
            <v>2.7626861627428165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129.643676</v>
          </cell>
        </row>
        <row r="7">
          <cell r="C7">
            <v>1171.8</v>
          </cell>
        </row>
        <row r="8">
          <cell r="C8">
            <v>0</v>
          </cell>
        </row>
        <row r="11">
          <cell r="C11">
            <v>9.0386205957319508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39.861885999999998</v>
          </cell>
        </row>
        <row r="7">
          <cell r="C7">
            <v>251.03100000000001</v>
          </cell>
        </row>
        <row r="8">
          <cell r="C8">
            <v>363.12400000000002</v>
          </cell>
        </row>
        <row r="11">
          <cell r="C11">
            <v>26.59226394414106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28.583134999999999</v>
          </cell>
        </row>
        <row r="7">
          <cell r="C7">
            <v>26.844999999999999</v>
          </cell>
        </row>
        <row r="8">
          <cell r="C8">
            <v>27.902999999999999</v>
          </cell>
        </row>
        <row r="11">
          <cell r="C11">
            <v>17.174819903109086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98.588873000000007</v>
          </cell>
        </row>
        <row r="7">
          <cell r="C7">
            <v>292</v>
          </cell>
        </row>
        <row r="8">
          <cell r="C8">
            <v>0</v>
          </cell>
        </row>
        <row r="11">
          <cell r="C11">
            <v>-3.2038868532259803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171.61401000000001</v>
          </cell>
        </row>
        <row r="7">
          <cell r="C7">
            <v>201.142</v>
          </cell>
        </row>
        <row r="8">
          <cell r="C8">
            <v>0.15</v>
          </cell>
        </row>
        <row r="11">
          <cell r="C11">
            <v>1.1711864316905127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46.712116999999999</v>
          </cell>
        </row>
        <row r="7">
          <cell r="C7">
            <v>457.46000000000004</v>
          </cell>
        </row>
        <row r="8">
          <cell r="C8">
            <v>0</v>
          </cell>
        </row>
        <row r="11">
          <cell r="C11">
            <v>9.7931763614995244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Pipeline"/>
      <sheetName val="NPV"/>
      <sheetName val="Options"/>
    </sheetNames>
    <sheetDataSet>
      <sheetData sheetId="0">
        <row r="4">
          <cell r="C4">
            <v>29.895244000000002</v>
          </cell>
        </row>
        <row r="7">
          <cell r="C7">
            <v>164.143</v>
          </cell>
        </row>
        <row r="8">
          <cell r="C8">
            <v>299</v>
          </cell>
        </row>
        <row r="11">
          <cell r="C11">
            <v>55.711320977032571</v>
          </cell>
        </row>
        <row r="14">
          <cell r="C14" t="str">
            <v>Base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63.067484999999998</v>
          </cell>
        </row>
        <row r="7">
          <cell r="C7">
            <v>586.84500000000003</v>
          </cell>
        </row>
        <row r="8">
          <cell r="C8">
            <v>49.942</v>
          </cell>
        </row>
        <row r="11">
          <cell r="C11">
            <v>8.5131506353868414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47.978285999999997</v>
          </cell>
        </row>
        <row r="7">
          <cell r="C7">
            <v>436.077</v>
          </cell>
        </row>
        <row r="8">
          <cell r="C8">
            <v>0</v>
          </cell>
        </row>
        <row r="11">
          <cell r="C11">
            <v>9.089049158613129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14.71766</v>
          </cell>
        </row>
        <row r="7">
          <cell r="C7">
            <v>133.34399999999999</v>
          </cell>
        </row>
        <row r="8">
          <cell r="C8">
            <v>176.285</v>
          </cell>
        </row>
        <row r="11">
          <cell r="C11">
            <v>-2.9176513114177118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103.65265599999999</v>
          </cell>
        </row>
        <row r="7">
          <cell r="C7">
            <v>264.76099999999997</v>
          </cell>
        </row>
        <row r="8">
          <cell r="C8">
            <v>0</v>
          </cell>
        </row>
        <row r="11">
          <cell r="C11">
            <v>2.5543098480756727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35.730843</v>
          </cell>
        </row>
        <row r="7">
          <cell r="C7">
            <v>168.018</v>
          </cell>
        </row>
        <row r="8">
          <cell r="C8">
            <v>0</v>
          </cell>
        </row>
        <row r="11">
          <cell r="C11">
            <v>4.7023239837918185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34.142994000000002</v>
          </cell>
        </row>
        <row r="7">
          <cell r="C7">
            <v>684.34100000000001</v>
          </cell>
        </row>
        <row r="8">
          <cell r="C8">
            <v>0</v>
          </cell>
        </row>
        <row r="11">
          <cell r="C11">
            <v>15.172594586639747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93.503698999999997</v>
          </cell>
        </row>
        <row r="7">
          <cell r="C7">
            <v>660.7</v>
          </cell>
        </row>
        <row r="8">
          <cell r="C8">
            <v>0</v>
          </cell>
        </row>
        <row r="11">
          <cell r="C11">
            <v>7.0660306176764198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32.259174999999999</v>
          </cell>
        </row>
        <row r="7">
          <cell r="C7">
            <v>327.78999999999996</v>
          </cell>
        </row>
        <row r="8">
          <cell r="C8">
            <v>0</v>
          </cell>
        </row>
        <row r="11">
          <cell r="C11">
            <v>10.16114020274852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368.41286400000001</v>
          </cell>
        </row>
        <row r="7">
          <cell r="C7">
            <v>797.01900000000001</v>
          </cell>
        </row>
        <row r="8">
          <cell r="C8">
            <v>0</v>
          </cell>
        </row>
        <row r="11">
          <cell r="C11">
            <v>4.7836434609587188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325.83354500000002</v>
          </cell>
        </row>
        <row r="7">
          <cell r="C7">
            <v>455.40699999999998</v>
          </cell>
        </row>
        <row r="8">
          <cell r="C8">
            <v>49.26</v>
          </cell>
        </row>
        <row r="11">
          <cell r="C11">
            <v>1.2464861467839352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72.388316000000003</v>
          </cell>
        </row>
        <row r="7">
          <cell r="C7">
            <v>131.953</v>
          </cell>
        </row>
        <row r="8">
          <cell r="C8">
            <v>73.290999999999997</v>
          </cell>
        </row>
        <row r="11">
          <cell r="C11">
            <v>0.8103793987968998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66.172933999999998</v>
          </cell>
        </row>
        <row r="7">
          <cell r="C7">
            <v>497.25900000000001</v>
          </cell>
        </row>
        <row r="8">
          <cell r="C8">
            <v>0</v>
          </cell>
        </row>
        <row r="11">
          <cell r="C11">
            <v>7.5145375902480014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89.297085999999993</v>
          </cell>
        </row>
        <row r="7">
          <cell r="C7">
            <v>547.86</v>
          </cell>
        </row>
        <row r="8">
          <cell r="C8">
            <v>588.11599999999999</v>
          </cell>
        </row>
        <row r="11">
          <cell r="C11">
            <v>-0.45080978342339162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59.162294000000003</v>
          </cell>
        </row>
        <row r="7">
          <cell r="C7">
            <v>466.12900000000002</v>
          </cell>
        </row>
        <row r="8">
          <cell r="C8">
            <v>0</v>
          </cell>
        </row>
        <row r="11">
          <cell r="C11">
            <v>7.8788188977256359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61.735518999999996</v>
          </cell>
        </row>
        <row r="7">
          <cell r="C7">
            <v>540.51499999999999</v>
          </cell>
        </row>
        <row r="8">
          <cell r="C8">
            <v>0</v>
          </cell>
        </row>
        <row r="11">
          <cell r="C11">
            <v>8.7553325663302513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Pipeline"/>
      <sheetName val="NPV"/>
      <sheetName val="Options"/>
    </sheetNames>
    <sheetDataSet>
      <sheetData sheetId="0">
        <row r="4">
          <cell r="C4">
            <v>254.060227</v>
          </cell>
        </row>
        <row r="7">
          <cell r="C7">
            <v>173.03399999999999</v>
          </cell>
        </row>
        <row r="8">
          <cell r="C8">
            <v>30.109000000000002</v>
          </cell>
        </row>
        <row r="11">
          <cell r="C11">
            <v>3.6845617641851964</v>
          </cell>
        </row>
        <row r="14">
          <cell r="C14" t="str">
            <v>Base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62.029395000000001</v>
          </cell>
        </row>
        <row r="7">
          <cell r="C7">
            <v>246.251</v>
          </cell>
        </row>
        <row r="8">
          <cell r="C8">
            <v>0</v>
          </cell>
        </row>
        <row r="11">
          <cell r="C11">
            <v>3.9699081379078418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59.676938999999997</v>
          </cell>
        </row>
        <row r="7">
          <cell r="C7">
            <v>73.834999999999994</v>
          </cell>
        </row>
        <row r="8">
          <cell r="C8">
            <v>0</v>
          </cell>
        </row>
        <row r="11">
          <cell r="C11">
            <v>1.2372450939549697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42.537944000000003</v>
          </cell>
        </row>
        <row r="7">
          <cell r="C7">
            <v>290.12299999999999</v>
          </cell>
        </row>
        <row r="8">
          <cell r="C8">
            <v>612.05200000000002</v>
          </cell>
        </row>
        <row r="11">
          <cell r="C11">
            <v>29.908820222805119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44.333095</v>
          </cell>
        </row>
        <row r="7">
          <cell r="C7">
            <v>352.42500000000001</v>
          </cell>
        </row>
        <row r="8">
          <cell r="C8">
            <v>14.801</v>
          </cell>
        </row>
        <row r="11">
          <cell r="C11">
            <v>7.6156198884828594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48.410068000000003</v>
          </cell>
        </row>
        <row r="7">
          <cell r="C7">
            <v>59.359702920159791</v>
          </cell>
        </row>
        <row r="8">
          <cell r="C8"/>
        </row>
        <row r="11">
          <cell r="C11">
            <v>1.2261850762151334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94.219633999999999</v>
          </cell>
        </row>
        <row r="7">
          <cell r="C7">
            <v>195.328</v>
          </cell>
        </row>
        <row r="8">
          <cell r="C8">
            <v>84.114000000000004</v>
          </cell>
        </row>
        <row r="11">
          <cell r="C11">
            <v>1.1803696881267869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37.487850000000002</v>
          </cell>
        </row>
        <row r="7">
          <cell r="C7">
            <v>83.888999999999996</v>
          </cell>
        </row>
        <row r="8">
          <cell r="C8">
            <v>292.37900000000002</v>
          </cell>
        </row>
        <row r="11">
          <cell r="C11">
            <v>5.0095930194691807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61.136772999999998</v>
          </cell>
        </row>
        <row r="7">
          <cell r="C7">
            <v>970.91300000000001</v>
          </cell>
        </row>
        <row r="8">
          <cell r="C8">
            <v>0</v>
          </cell>
        </row>
        <row r="11">
          <cell r="C11">
            <v>15.880998494964725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1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321.540637</v>
          </cell>
        </row>
        <row r="7">
          <cell r="C7">
            <v>111.13</v>
          </cell>
        </row>
        <row r="8">
          <cell r="C8">
            <v>319.08499999999998</v>
          </cell>
        </row>
        <row r="11">
          <cell r="C11">
            <v>2.9962755255740356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53.530549999999998</v>
          </cell>
        </row>
        <row r="7">
          <cell r="C7">
            <v>273.30900000000003</v>
          </cell>
        </row>
        <row r="8">
          <cell r="C8">
            <v>0</v>
          </cell>
        </row>
        <row r="11">
          <cell r="C11">
            <v>5.1056639619805892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158.85063700000001</v>
          </cell>
        </row>
        <row r="7">
          <cell r="C7">
            <v>9.3000000000000007</v>
          </cell>
        </row>
        <row r="8">
          <cell r="C8">
            <v>0</v>
          </cell>
        </row>
        <row r="11">
          <cell r="C11">
            <v>5.8545563150621802E-2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66.299346999999997</v>
          </cell>
        </row>
        <row r="7">
          <cell r="C7">
            <v>55.003</v>
          </cell>
        </row>
        <row r="8">
          <cell r="C8">
            <v>29.896999999999998</v>
          </cell>
        </row>
        <row r="11">
          <cell r="C11">
            <v>0.37867642949786523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134.07143199999999</v>
          </cell>
        </row>
        <row r="7">
          <cell r="C7">
            <v>528.14606425476848</v>
          </cell>
        </row>
        <row r="8">
          <cell r="C8"/>
        </row>
        <row r="11">
          <cell r="C11">
            <v>3.9392886044117774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96.042996000000002</v>
          </cell>
        </row>
        <row r="7">
          <cell r="C7">
            <v>143.166</v>
          </cell>
        </row>
        <row r="8">
          <cell r="C8">
            <v>100</v>
          </cell>
        </row>
        <row r="11">
          <cell r="C11">
            <v>0.44944453836071496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18.679863999999998</v>
          </cell>
        </row>
        <row r="7">
          <cell r="C7">
            <v>95.385999999999996</v>
          </cell>
        </row>
        <row r="8">
          <cell r="C8">
            <v>39.235999999999997</v>
          </cell>
        </row>
        <row r="11">
          <cell r="C11">
            <v>25.235480556005236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39.242103999999998</v>
          </cell>
        </row>
        <row r="7">
          <cell r="C7">
            <v>243.733</v>
          </cell>
        </row>
        <row r="8">
          <cell r="C8">
            <v>16.187000000000001</v>
          </cell>
        </row>
        <row r="11">
          <cell r="C11">
            <v>5.7985168175488244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63.597386999999998</v>
          </cell>
        </row>
        <row r="7">
          <cell r="C7">
            <v>461.20499999999998</v>
          </cell>
        </row>
        <row r="8">
          <cell r="C8">
            <v>0</v>
          </cell>
        </row>
        <row r="11">
          <cell r="C11">
            <v>7.2519488890321862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48.058526999999998</v>
          </cell>
        </row>
        <row r="7">
          <cell r="C7">
            <v>310.57500000000005</v>
          </cell>
        </row>
        <row r="8">
          <cell r="C8">
            <v>0</v>
          </cell>
        </row>
        <row r="11">
          <cell r="C11">
            <v>6.4624327749371107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197.847835</v>
          </cell>
        </row>
        <row r="7">
          <cell r="C7">
            <v>92.625</v>
          </cell>
        </row>
        <row r="8">
          <cell r="C8">
            <v>0</v>
          </cell>
        </row>
        <row r="11">
          <cell r="C11">
            <v>0.46816281815770183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64.354693999999995</v>
          </cell>
        </row>
        <row r="7">
          <cell r="C7">
            <v>334.53800000000001</v>
          </cell>
        </row>
        <row r="8">
          <cell r="C8">
            <v>0</v>
          </cell>
        </row>
        <row r="11">
          <cell r="C11">
            <v>5.1983465262067758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85.313400999999999</v>
          </cell>
        </row>
        <row r="7">
          <cell r="C7">
            <v>621.1</v>
          </cell>
        </row>
        <row r="8">
          <cell r="C8">
            <v>0</v>
          </cell>
        </row>
        <row r="11">
          <cell r="C11">
            <v>7.280216152676882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33.447978999999997</v>
          </cell>
        </row>
        <row r="7">
          <cell r="C7">
            <v>223.143</v>
          </cell>
        </row>
        <row r="8">
          <cell r="C8">
            <v>0</v>
          </cell>
        </row>
        <row r="11">
          <cell r="C11">
            <v>6.6713447769146237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49.307729000000002</v>
          </cell>
        </row>
        <row r="7">
          <cell r="C7">
            <v>373.11900000000003</v>
          </cell>
        </row>
        <row r="8">
          <cell r="C8">
            <v>0</v>
          </cell>
        </row>
        <row r="11">
          <cell r="C11">
            <v>7.5671503751470688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249.18757199999999</v>
          </cell>
        </row>
        <row r="7">
          <cell r="C7">
            <v>281.83000000000004</v>
          </cell>
        </row>
        <row r="8">
          <cell r="C8">
            <v>251.82300000000001</v>
          </cell>
        </row>
        <row r="11">
          <cell r="C11">
            <v>4.1169400908759641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85.106684999999999</v>
          </cell>
        </row>
        <row r="7">
          <cell r="C7">
            <v>537.03</v>
          </cell>
        </row>
        <row r="8">
          <cell r="C8">
            <v>99.513999999999996</v>
          </cell>
        </row>
        <row r="11">
          <cell r="C11">
            <v>5.1407947566046071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88.960618999999994</v>
          </cell>
        </row>
        <row r="7">
          <cell r="C7">
            <v>519.02499999999998</v>
          </cell>
        </row>
        <row r="8">
          <cell r="C8">
            <v>9.7899999999999991</v>
          </cell>
        </row>
        <row r="11">
          <cell r="C11">
            <v>0.99873536239443261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53.446221999999999</v>
          </cell>
        </row>
        <row r="7">
          <cell r="C7">
            <v>517.29999999999995</v>
          </cell>
        </row>
        <row r="8">
          <cell r="C8">
            <v>0</v>
          </cell>
        </row>
        <row r="11">
          <cell r="C11">
            <v>9.6788880606004284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84.120943999999994</v>
          </cell>
        </row>
        <row r="7">
          <cell r="C7">
            <v>215.22800000000001</v>
          </cell>
        </row>
        <row r="8">
          <cell r="C8">
            <v>0</v>
          </cell>
        </row>
        <row r="11">
          <cell r="C11">
            <v>2.55855426444097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129.435239</v>
          </cell>
        </row>
        <row r="7">
          <cell r="C7">
            <v>502.29300000000001</v>
          </cell>
        </row>
        <row r="8">
          <cell r="C8">
            <v>0</v>
          </cell>
        </row>
        <row r="11">
          <cell r="C11">
            <v>3.880651079880959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90.563440999999997</v>
          </cell>
        </row>
        <row r="7">
          <cell r="C7">
            <v>136.35300000000001</v>
          </cell>
        </row>
        <row r="8">
          <cell r="C8">
            <v>73.988</v>
          </cell>
        </row>
        <row r="11">
          <cell r="C11">
            <v>0.68863328636110466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41.630778999999997</v>
          </cell>
        </row>
        <row r="7">
          <cell r="C7">
            <v>172.804</v>
          </cell>
        </row>
        <row r="8">
          <cell r="C8">
            <v>40.267000000000003</v>
          </cell>
        </row>
        <row r="11">
          <cell r="C11">
            <v>3.1836300733166683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32.555613000000001</v>
          </cell>
        </row>
        <row r="7">
          <cell r="C7">
            <v>129.46700000000001</v>
          </cell>
        </row>
        <row r="8">
          <cell r="C8">
            <v>1091.557</v>
          </cell>
        </row>
        <row r="11">
          <cell r="C11">
            <v>28.593325361408031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61.772875999999997</v>
          </cell>
        </row>
        <row r="7">
          <cell r="C7">
            <v>34.445</v>
          </cell>
        </row>
        <row r="8">
          <cell r="C8">
            <v>0</v>
          </cell>
        </row>
        <row r="11">
          <cell r="C11">
            <v>0.55760719316354967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642.47340899999995</v>
          </cell>
        </row>
        <row r="7">
          <cell r="C7">
            <v>300.84899999999999</v>
          </cell>
        </row>
        <row r="8">
          <cell r="C8">
            <v>120.131</v>
          </cell>
        </row>
        <row r="11">
          <cell r="C11">
            <v>0.28128479322013467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299.360637</v>
          </cell>
        </row>
        <row r="7">
          <cell r="C7">
            <v>160.49</v>
          </cell>
        </row>
        <row r="8">
          <cell r="C8">
            <v>0</v>
          </cell>
        </row>
        <row r="11">
          <cell r="C11">
            <v>0.53610922801450345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55.214097000000002</v>
          </cell>
        </row>
        <row r="7">
          <cell r="C7">
            <v>361.334</v>
          </cell>
        </row>
        <row r="8">
          <cell r="C8">
            <v>19.587</v>
          </cell>
        </row>
        <row r="11">
          <cell r="C11">
            <v>6.1894881664006931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204.44493299999999</v>
          </cell>
        </row>
        <row r="7">
          <cell r="C7">
            <v>209.24300000000002</v>
          </cell>
        </row>
        <row r="8">
          <cell r="C8">
            <v>0</v>
          </cell>
        </row>
        <row r="11">
          <cell r="C11">
            <v>1.0234687498956017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111.509849</v>
          </cell>
        </row>
        <row r="7">
          <cell r="C7">
            <v>57.344999999999999</v>
          </cell>
        </row>
        <row r="8">
          <cell r="C8">
            <v>0</v>
          </cell>
        </row>
        <row r="11">
          <cell r="C11">
            <v>1.4784761628533534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444.95593400000001</v>
          </cell>
        </row>
        <row r="7">
          <cell r="C7">
            <v>190.61</v>
          </cell>
        </row>
        <row r="8">
          <cell r="C8">
            <v>51.436999999999998</v>
          </cell>
        </row>
        <row r="11">
          <cell r="C11">
            <v>0.31277928748782569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45.651262000000003</v>
          </cell>
        </row>
        <row r="7">
          <cell r="C7">
            <v>115.13200000000001</v>
          </cell>
        </row>
        <row r="8">
          <cell r="C8">
            <v>0</v>
          </cell>
        </row>
        <row r="11">
          <cell r="C11">
            <v>2.5219894249582846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70.168043999999995</v>
          </cell>
        </row>
        <row r="7">
          <cell r="C7">
            <v>145.30500000000001</v>
          </cell>
        </row>
        <row r="8">
          <cell r="C8">
            <v>0</v>
          </cell>
        </row>
        <row r="11">
          <cell r="C11">
            <v>17.332362841178522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102.90249</v>
          </cell>
        </row>
        <row r="7">
          <cell r="C7">
            <v>187.303</v>
          </cell>
        </row>
        <row r="8">
          <cell r="C8">
            <v>14.911999999999999</v>
          </cell>
        </row>
        <row r="11">
          <cell r="C11">
            <v>1.6752850198279943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145.760468</v>
          </cell>
        </row>
        <row r="7">
          <cell r="C7">
            <v>135.839</v>
          </cell>
        </row>
        <row r="8">
          <cell r="C8">
            <v>17.206</v>
          </cell>
        </row>
        <row r="11">
          <cell r="C11">
            <v>3.0666745421795247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62.581651000000001</v>
          </cell>
        </row>
        <row r="7">
          <cell r="C7">
            <v>207.39600000000002</v>
          </cell>
        </row>
        <row r="8">
          <cell r="C8">
            <v>0</v>
          </cell>
        </row>
        <row r="11">
          <cell r="C11">
            <v>3.3140065288466105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53.629989000000002</v>
          </cell>
        </row>
        <row r="7">
          <cell r="C7">
            <v>472.2</v>
          </cell>
        </row>
        <row r="8">
          <cell r="C8">
            <v>0</v>
          </cell>
        </row>
        <row r="11">
          <cell r="C11">
            <v>8.8047752536365422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103.704809</v>
          </cell>
        </row>
        <row r="7">
          <cell r="C7">
            <v>67.835999999999999</v>
          </cell>
        </row>
        <row r="8">
          <cell r="C8">
            <v>0</v>
          </cell>
        </row>
        <row r="11">
          <cell r="C11">
            <v>0.65412588532900151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181.376856</v>
          </cell>
        </row>
        <row r="7">
          <cell r="C7">
            <v>95.070999999999998</v>
          </cell>
        </row>
        <row r="8">
          <cell r="C8">
            <v>0</v>
          </cell>
        </row>
        <row r="11">
          <cell r="C11">
            <v>0.52416279616182115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76.518564999999995</v>
          </cell>
        </row>
        <row r="7">
          <cell r="C7">
            <v>201.565</v>
          </cell>
        </row>
        <row r="8">
          <cell r="C8">
            <v>47.831000000000003</v>
          </cell>
        </row>
        <row r="11">
          <cell r="C11">
            <v>2.0091072016313949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57.436255000000003</v>
          </cell>
        </row>
        <row r="7">
          <cell r="C7">
            <v>183.12299999999999</v>
          </cell>
        </row>
        <row r="8">
          <cell r="C8">
            <v>0</v>
          </cell>
        </row>
        <row r="11">
          <cell r="C11">
            <v>3.188282383661678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165.239947</v>
          </cell>
        </row>
        <row r="7">
          <cell r="C7">
            <v>79.126999999999995</v>
          </cell>
        </row>
        <row r="8">
          <cell r="C8">
            <v>385</v>
          </cell>
        </row>
        <row r="11">
          <cell r="C11">
            <v>2.0994046921099918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71.539314000000005</v>
          </cell>
        </row>
        <row r="7">
          <cell r="C7">
            <v>232.10715300000001</v>
          </cell>
        </row>
        <row r="8">
          <cell r="C8">
            <v>0</v>
          </cell>
        </row>
        <row r="11">
          <cell r="C11">
            <v>3.2444699288002679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32.581533</v>
          </cell>
        </row>
        <row r="7">
          <cell r="C7">
            <v>22.16</v>
          </cell>
        </row>
        <row r="8">
          <cell r="C8">
            <v>0</v>
          </cell>
        </row>
        <row r="11">
          <cell r="C11">
            <v>0.68013988169310513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197.04817499999999</v>
          </cell>
        </row>
        <row r="7">
          <cell r="C7">
            <v>490.6</v>
          </cell>
        </row>
        <row r="8">
          <cell r="C8">
            <v>0</v>
          </cell>
        </row>
        <row r="11">
          <cell r="C11">
            <v>2.119227494140123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59.383780999999999</v>
          </cell>
        </row>
        <row r="7">
          <cell r="C7">
            <v>221.57</v>
          </cell>
        </row>
        <row r="8">
          <cell r="C8">
            <v>0</v>
          </cell>
        </row>
        <row r="11">
          <cell r="C11">
            <v>3.731153460908796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107.225238</v>
          </cell>
        </row>
        <row r="7">
          <cell r="C7">
            <v>377.678</v>
          </cell>
        </row>
        <row r="8">
          <cell r="C8">
            <v>0</v>
          </cell>
        </row>
        <row r="11">
          <cell r="C11">
            <v>3.5222864229035329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87.497607000000002</v>
          </cell>
        </row>
        <row r="7">
          <cell r="C7">
            <v>461.07</v>
          </cell>
        </row>
        <row r="8">
          <cell r="C8">
            <v>3</v>
          </cell>
        </row>
        <row r="11">
          <cell r="C11">
            <v>5.2352288903169661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193.23697799999999</v>
          </cell>
        </row>
        <row r="7">
          <cell r="C7">
            <v>165.03010183986945</v>
          </cell>
        </row>
        <row r="8">
          <cell r="C8"/>
        </row>
        <row r="11">
          <cell r="C11">
            <v>0.85402961455891457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77.944323999999995</v>
          </cell>
        </row>
        <row r="7">
          <cell r="C7">
            <v>256.69200000000001</v>
          </cell>
        </row>
        <row r="8">
          <cell r="C8">
            <v>0</v>
          </cell>
        </row>
        <row r="11">
          <cell r="C11">
            <v>3.2932737988721286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80.900934000000007</v>
          </cell>
        </row>
        <row r="7">
          <cell r="C7">
            <v>182.47800000000001</v>
          </cell>
        </row>
        <row r="8">
          <cell r="C8">
            <v>164.58699999999999</v>
          </cell>
        </row>
        <row r="11">
          <cell r="C11">
            <v>0.22114701419887214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100.363253</v>
          </cell>
        </row>
        <row r="7">
          <cell r="C7">
            <v>208.303</v>
          </cell>
        </row>
        <row r="8">
          <cell r="C8">
            <v>0</v>
          </cell>
        </row>
        <row r="11">
          <cell r="C11">
            <v>2.0754907177032216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59.212299399999992</v>
          </cell>
        </row>
        <row r="7">
          <cell r="C7">
            <v>174.9</v>
          </cell>
        </row>
        <row r="8">
          <cell r="C8">
            <v>0</v>
          </cell>
        </row>
        <row r="11">
          <cell r="C11">
            <v>2.9537782145308822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86.769872500000005</v>
          </cell>
        </row>
        <row r="7">
          <cell r="C7">
            <v>123.38941090418049</v>
          </cell>
        </row>
        <row r="8">
          <cell r="C8">
            <v>201.61593428233837</v>
          </cell>
        </row>
        <row r="11">
          <cell r="C11">
            <v>-1.8627756074192672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125.51164799999999</v>
          </cell>
        </row>
        <row r="7">
          <cell r="C7">
            <v>98.49</v>
          </cell>
        </row>
        <row r="8">
          <cell r="C8">
            <v>50.686</v>
          </cell>
        </row>
        <row r="11">
          <cell r="C11">
            <v>0.24887017971583997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62.158653000000001</v>
          </cell>
        </row>
        <row r="7">
          <cell r="C7">
            <v>257.60000000000002</v>
          </cell>
        </row>
        <row r="8">
          <cell r="C8">
            <v>0</v>
          </cell>
        </row>
        <row r="11">
          <cell r="C11">
            <v>4.1442339492137972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51.620066000000001</v>
          </cell>
        </row>
        <row r="7">
          <cell r="C7">
            <v>93.902999999999992</v>
          </cell>
        </row>
        <row r="8">
          <cell r="C8">
            <v>0</v>
          </cell>
        </row>
        <row r="11">
          <cell r="C11">
            <v>7.8318575009816804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217.89928399999999</v>
          </cell>
        </row>
        <row r="7">
          <cell r="C7">
            <v>330.28</v>
          </cell>
        </row>
        <row r="8">
          <cell r="C8">
            <v>0</v>
          </cell>
        </row>
        <row r="11">
          <cell r="C11">
            <v>1.5157461462792139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25.840425</v>
          </cell>
        </row>
        <row r="7">
          <cell r="C7">
            <v>186.441</v>
          </cell>
        </row>
        <row r="8">
          <cell r="C8">
            <v>0</v>
          </cell>
        </row>
        <row r="11">
          <cell r="C11">
            <v>7.2150903090796685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147.198893</v>
          </cell>
        </row>
        <row r="7">
          <cell r="C7">
            <v>170.6</v>
          </cell>
        </row>
        <row r="8">
          <cell r="C8">
            <v>0</v>
          </cell>
        </row>
        <row r="11">
          <cell r="C11">
            <v>1.1589761072455891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31.784908999999999</v>
          </cell>
        </row>
        <row r="7">
          <cell r="C7">
            <v>95.376000000000005</v>
          </cell>
        </row>
        <row r="8">
          <cell r="C8">
            <v>0</v>
          </cell>
        </row>
        <row r="11">
          <cell r="C11">
            <v>3.0006692798774415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66.050439999999995</v>
          </cell>
        </row>
        <row r="7">
          <cell r="C7">
            <v>45.17</v>
          </cell>
        </row>
        <row r="8">
          <cell r="C8">
            <v>156.744</v>
          </cell>
        </row>
        <row r="11">
          <cell r="C11">
            <v>5.6319579862745197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146.03895749999998</v>
          </cell>
        </row>
        <row r="7">
          <cell r="C7">
            <v>90.252609603340275</v>
          </cell>
        </row>
        <row r="8">
          <cell r="C8"/>
        </row>
        <row r="11">
          <cell r="C11">
            <v>0.61800365565702076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20.011382000000001</v>
          </cell>
        </row>
        <row r="7">
          <cell r="C7">
            <v>225.392</v>
          </cell>
        </row>
        <row r="8">
          <cell r="C8">
            <v>0</v>
          </cell>
        </row>
        <row r="11">
          <cell r="C11">
            <v>11.263190118503559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6.7121719999999998</v>
          </cell>
        </row>
        <row r="7">
          <cell r="C7">
            <v>105.370465</v>
          </cell>
        </row>
        <row r="8">
          <cell r="C8">
            <v>0</v>
          </cell>
        </row>
        <row r="11">
          <cell r="C11">
            <v>15.698415505442947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173.141831</v>
          </cell>
        </row>
        <row r="7">
          <cell r="C7">
            <v>11.308999999999999</v>
          </cell>
        </row>
        <row r="8">
          <cell r="C8">
            <v>0.69199999999999995</v>
          </cell>
        </row>
        <row r="11">
          <cell r="C11">
            <v>6.1319670345868063E-2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66.013192000000004</v>
          </cell>
        </row>
        <row r="7">
          <cell r="C7">
            <v>105.517</v>
          </cell>
        </row>
        <row r="8">
          <cell r="C8">
            <v>0</v>
          </cell>
        </row>
        <row r="11">
          <cell r="C11">
            <v>-2.9847722296294714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65.386190999999997</v>
          </cell>
        </row>
        <row r="7">
          <cell r="C7">
            <v>567.9</v>
          </cell>
        </row>
        <row r="8">
          <cell r="C8">
            <v>0.5</v>
          </cell>
        </row>
        <row r="11">
          <cell r="C11">
            <v>19.041354042449935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345.490881</v>
          </cell>
        </row>
        <row r="7">
          <cell r="C7">
            <v>423.6</v>
          </cell>
        </row>
        <row r="8">
          <cell r="C8">
            <v>0</v>
          </cell>
        </row>
        <row r="11">
          <cell r="C11">
            <v>1.2260815647982328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143.8912</v>
          </cell>
        </row>
        <row r="7">
          <cell r="C7">
            <v>11.901230999999999</v>
          </cell>
        </row>
        <row r="8">
          <cell r="C8">
            <v>0</v>
          </cell>
        </row>
        <row r="11">
          <cell r="C11">
            <v>8.2709929446693059E-2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147.78752299999999</v>
          </cell>
        </row>
        <row r="7">
          <cell r="C7">
            <v>218.00700000000001</v>
          </cell>
        </row>
        <row r="8">
          <cell r="C8">
            <v>201.41500000000002</v>
          </cell>
        </row>
        <row r="11">
          <cell r="C11">
            <v>4.3584162544421092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57.686056000000001</v>
          </cell>
        </row>
        <row r="7">
          <cell r="C7">
            <v>75.468999999999994</v>
          </cell>
        </row>
        <row r="8">
          <cell r="C8">
            <v>9.923</v>
          </cell>
        </row>
        <row r="11">
          <cell r="C11">
            <v>7.851216424026159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47.246679</v>
          </cell>
        </row>
        <row r="7">
          <cell r="C7">
            <v>72.099999999999994</v>
          </cell>
        </row>
        <row r="8">
          <cell r="C8">
            <v>0</v>
          </cell>
        </row>
        <row r="11">
          <cell r="C11">
            <v>1.526033184258305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37.143940000000001</v>
          </cell>
        </row>
        <row r="7">
          <cell r="C7">
            <v>171.59299999999999</v>
          </cell>
        </row>
        <row r="8">
          <cell r="C8">
            <v>0</v>
          </cell>
        </row>
        <row r="11">
          <cell r="C11">
            <v>4.6196768571131654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60.089343999999997</v>
          </cell>
        </row>
        <row r="7">
          <cell r="C7">
            <v>99.67716879460167</v>
          </cell>
        </row>
        <row r="8">
          <cell r="C8"/>
        </row>
        <row r="11">
          <cell r="C11">
            <v>1.6588160588772891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51.336973999999998</v>
          </cell>
        </row>
        <row r="7">
          <cell r="C7">
            <v>288.19299999999998</v>
          </cell>
        </row>
        <row r="8">
          <cell r="C8">
            <v>0</v>
          </cell>
        </row>
        <row r="11">
          <cell r="C11">
            <v>5.6137512117484754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194.51770099999999</v>
          </cell>
        </row>
        <row r="7">
          <cell r="C7">
            <v>326.28100000000001</v>
          </cell>
        </row>
        <row r="8">
          <cell r="C8">
            <v>34.741999999999997</v>
          </cell>
        </row>
        <row r="11">
          <cell r="C11">
            <v>1.4987787666686436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266.16253999999998</v>
          </cell>
        </row>
        <row r="7">
          <cell r="C7">
            <v>201.63</v>
          </cell>
        </row>
        <row r="8">
          <cell r="C8">
            <v>0</v>
          </cell>
        </row>
        <row r="11">
          <cell r="C11">
            <v>0.75754461916391391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195.29785699999999</v>
          </cell>
        </row>
        <row r="7">
          <cell r="C7">
            <v>169.76900000000001</v>
          </cell>
        </row>
        <row r="8">
          <cell r="C8">
            <v>0</v>
          </cell>
        </row>
        <row r="11">
          <cell r="C11">
            <v>0.8692824519830753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70.789260999999996</v>
          </cell>
        </row>
        <row r="7">
          <cell r="C7">
            <v>6.0076150000000004</v>
          </cell>
        </row>
        <row r="8">
          <cell r="C8">
            <v>6.764E-3</v>
          </cell>
        </row>
        <row r="11">
          <cell r="C11">
            <v>8.4770640563686633E-2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20.360596000000001</v>
          </cell>
        </row>
        <row r="7">
          <cell r="C7">
            <v>320.36099999999999</v>
          </cell>
        </row>
        <row r="8">
          <cell r="C8">
            <v>0</v>
          </cell>
        </row>
        <row r="11">
          <cell r="C11">
            <v>20.559310665502302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54.165030000000002</v>
          </cell>
        </row>
        <row r="7">
          <cell r="C7">
            <v>531.178</v>
          </cell>
        </row>
        <row r="8">
          <cell r="C8">
            <v>0</v>
          </cell>
        </row>
        <row r="11">
          <cell r="C11">
            <v>9.8066593889083045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53.925697</v>
          </cell>
        </row>
        <row r="7">
          <cell r="C7">
            <v>43.503999999999998</v>
          </cell>
        </row>
        <row r="8">
          <cell r="C8">
            <v>0</v>
          </cell>
        </row>
        <row r="11">
          <cell r="C11">
            <v>0.80673968850138367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99.447343000000004</v>
          </cell>
        </row>
        <row r="7">
          <cell r="C7">
            <v>143.845</v>
          </cell>
        </row>
        <row r="8">
          <cell r="C8">
            <v>96.676000000000002</v>
          </cell>
        </row>
        <row r="11">
          <cell r="C11">
            <v>-5.410921914670249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19.549365999999999</v>
          </cell>
        </row>
        <row r="7">
          <cell r="C7">
            <v>227.06800000000001</v>
          </cell>
        </row>
        <row r="8">
          <cell r="C8">
            <v>0</v>
          </cell>
        </row>
        <row r="11">
          <cell r="C11">
            <v>11.615108131895429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30.926846999999999</v>
          </cell>
        </row>
        <row r="7">
          <cell r="C7">
            <v>11.135</v>
          </cell>
        </row>
        <row r="8">
          <cell r="C8">
            <v>46.658999999999999</v>
          </cell>
        </row>
        <row r="11">
          <cell r="C11">
            <v>-1.4450079582378448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302.322655</v>
          </cell>
        </row>
        <row r="7">
          <cell r="C7">
            <v>74.867999999999995</v>
          </cell>
        </row>
        <row r="8">
          <cell r="C8">
            <v>0</v>
          </cell>
        </row>
        <row r="11">
          <cell r="C11">
            <v>0.24764270477844275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18.93168</v>
          </cell>
        </row>
        <row r="7">
          <cell r="C7">
            <v>43.009</v>
          </cell>
        </row>
        <row r="8">
          <cell r="C8">
            <v>37.798999999999999</v>
          </cell>
        </row>
        <row r="11">
          <cell r="C11">
            <v>0.27520008789499933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Pipeline"/>
      <sheetName val="NPV"/>
      <sheetName val="Options"/>
    </sheetNames>
    <sheetDataSet>
      <sheetData sheetId="0">
        <row r="4">
          <cell r="C4">
            <v>58.138989000000002</v>
          </cell>
        </row>
        <row r="7">
          <cell r="C7">
            <v>237.934</v>
          </cell>
        </row>
        <row r="8">
          <cell r="C8">
            <v>0</v>
          </cell>
        </row>
        <row r="11">
          <cell r="C11">
            <v>5.206928426284045</v>
          </cell>
        </row>
        <row r="14">
          <cell r="C14" t="str">
            <v>Base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95.649645000000007</v>
          </cell>
        </row>
        <row r="7">
          <cell r="C7">
            <v>115.2</v>
          </cell>
        </row>
        <row r="8">
          <cell r="C8">
            <v>120.7</v>
          </cell>
        </row>
        <row r="11">
          <cell r="C11">
            <v>5.340801290519666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153.58003500000001</v>
          </cell>
        </row>
        <row r="7">
          <cell r="C7">
            <v>211.64499999999998</v>
          </cell>
        </row>
        <row r="8">
          <cell r="C8">
            <v>55.738</v>
          </cell>
        </row>
        <row r="11">
          <cell r="C11">
            <v>1.0151514811153675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95.829137000000003</v>
          </cell>
        </row>
        <row r="7">
          <cell r="C7">
            <v>205.13399999999999</v>
          </cell>
        </row>
        <row r="8">
          <cell r="C8">
            <v>0</v>
          </cell>
        </row>
        <row r="11">
          <cell r="C11">
            <v>2.1406224288548064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61.843443999999998</v>
          </cell>
        </row>
        <row r="7">
          <cell r="C7">
            <v>199.42700000000002</v>
          </cell>
        </row>
        <row r="8">
          <cell r="C8">
            <v>24.882999999999999</v>
          </cell>
        </row>
        <row r="11">
          <cell r="C11">
            <v>2.8223525196947312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100.849644</v>
          </cell>
        </row>
        <row r="7">
          <cell r="C7">
            <v>13.269</v>
          </cell>
        </row>
        <row r="8">
          <cell r="C8">
            <v>0</v>
          </cell>
        </row>
        <row r="11">
          <cell r="C11">
            <v>0.13157210549994605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45.436866999999999</v>
          </cell>
        </row>
        <row r="7">
          <cell r="C7">
            <v>304.72500000000002</v>
          </cell>
        </row>
        <row r="8">
          <cell r="C8">
            <v>0</v>
          </cell>
        </row>
        <row r="11">
          <cell r="C11">
            <v>6.7065583549147441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80.204699000000005</v>
          </cell>
        </row>
        <row r="7">
          <cell r="C7">
            <v>219.465</v>
          </cell>
        </row>
        <row r="8">
          <cell r="C8">
            <v>0</v>
          </cell>
        </row>
        <row r="11">
          <cell r="C11">
            <v>2.7363109984366374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133.242324</v>
          </cell>
        </row>
        <row r="7">
          <cell r="C7">
            <v>11.55382</v>
          </cell>
        </row>
        <row r="8">
          <cell r="C8">
            <v>0</v>
          </cell>
        </row>
        <row r="11">
          <cell r="C11">
            <v>8.6712837581548033E-2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35.067158999999997</v>
          </cell>
        </row>
        <row r="7">
          <cell r="C7">
            <v>41.249000000000002</v>
          </cell>
        </row>
        <row r="8">
          <cell r="C8">
            <v>0</v>
          </cell>
        </row>
        <row r="11">
          <cell r="C11">
            <v>6.1854105204695511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96.722333000000006</v>
          </cell>
        </row>
        <row r="7">
          <cell r="C7">
            <v>107.801</v>
          </cell>
        </row>
        <row r="8">
          <cell r="C8">
            <v>0</v>
          </cell>
        </row>
        <row r="11">
          <cell r="C11">
            <v>1.1145409406119267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29.788039999999999</v>
          </cell>
        </row>
        <row r="7">
          <cell r="C7">
            <v>9.9489520000000002</v>
          </cell>
        </row>
        <row r="8">
          <cell r="C8">
            <v>6.0629939999999998</v>
          </cell>
        </row>
        <row r="11">
          <cell r="C11">
            <v>0.13045363172602162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51.939205999999999</v>
          </cell>
        </row>
        <row r="7">
          <cell r="C7">
            <v>80.563481999999993</v>
          </cell>
        </row>
        <row r="8">
          <cell r="C8">
            <v>0</v>
          </cell>
        </row>
        <row r="11">
          <cell r="C11">
            <v>1.5511111586881015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2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106.66984600000001</v>
          </cell>
        </row>
        <row r="7">
          <cell r="C7">
            <v>217.73117500000001</v>
          </cell>
        </row>
        <row r="8">
          <cell r="C8">
            <v>0</v>
          </cell>
        </row>
        <row r="11">
          <cell r="C11">
            <v>2.0411689260336985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123.025136</v>
          </cell>
        </row>
        <row r="7">
          <cell r="C7">
            <v>300.39999999999998</v>
          </cell>
        </row>
        <row r="8">
          <cell r="C8">
            <v>0</v>
          </cell>
        </row>
        <row r="11">
          <cell r="C11">
            <v>2.4417774266878274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263.35912300000001</v>
          </cell>
        </row>
        <row r="7">
          <cell r="C7">
            <v>178.466916178236</v>
          </cell>
        </row>
        <row r="8">
          <cell r="C8"/>
        </row>
        <row r="11">
          <cell r="C11">
            <v>3.0675701804216629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51.273336</v>
          </cell>
        </row>
        <row r="7">
          <cell r="C7">
            <v>139.69999999999999</v>
          </cell>
        </row>
        <row r="8">
          <cell r="C8">
            <v>581.79999999999995</v>
          </cell>
        </row>
        <row r="11">
          <cell r="C11">
            <v>3.5174726850822866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29.125402000000001</v>
          </cell>
        </row>
        <row r="7">
          <cell r="C7">
            <v>189.50599999999997</v>
          </cell>
        </row>
        <row r="8">
          <cell r="C8">
            <v>0</v>
          </cell>
        </row>
        <row r="11">
          <cell r="C11">
            <v>3.6481054548628329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83.195823000000004</v>
          </cell>
        </row>
        <row r="7">
          <cell r="C7">
            <v>88.811999999999998</v>
          </cell>
        </row>
        <row r="8">
          <cell r="C8">
            <v>35.280999999999999</v>
          </cell>
        </row>
        <row r="11">
          <cell r="C11">
            <v>0.64343374546580301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45.109496999999998</v>
          </cell>
        </row>
        <row r="7">
          <cell r="C7">
            <v>6.8109999999999999</v>
          </cell>
        </row>
        <row r="8">
          <cell r="C8">
            <v>0</v>
          </cell>
        </row>
        <row r="11">
          <cell r="C11">
            <v>0.15098816109609914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423.03767499999998</v>
          </cell>
        </row>
        <row r="7">
          <cell r="C7">
            <v>237.71273215168421</v>
          </cell>
        </row>
        <row r="8">
          <cell r="C8">
            <v>169.6229079867241</v>
          </cell>
        </row>
        <row r="11">
          <cell r="C11">
            <v>5.6822948597497633E-2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48.890121000000001</v>
          </cell>
        </row>
        <row r="7">
          <cell r="C7">
            <v>349.39400000000001</v>
          </cell>
        </row>
        <row r="8">
          <cell r="C8">
            <v>0</v>
          </cell>
        </row>
        <row r="11">
          <cell r="C11">
            <v>7.1465153461166517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34.882725999999998</v>
          </cell>
        </row>
        <row r="7">
          <cell r="C7">
            <v>179.97200000000001</v>
          </cell>
        </row>
        <row r="8">
          <cell r="C8">
            <v>0</v>
          </cell>
        </row>
        <row r="11">
          <cell r="C11">
            <v>5.1593444847171641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28.423069000000002</v>
          </cell>
        </row>
        <row r="7">
          <cell r="C7">
            <v>191.483</v>
          </cell>
        </row>
        <row r="8">
          <cell r="C8">
            <v>0</v>
          </cell>
        </row>
        <row r="11">
          <cell r="C11">
            <v>6.7368868576436975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107.821231</v>
          </cell>
        </row>
        <row r="7">
          <cell r="C7">
            <v>0.01</v>
          </cell>
        </row>
        <row r="8">
          <cell r="C8">
            <v>0</v>
          </cell>
        </row>
        <row r="11">
          <cell r="C11">
            <v>9.2746112312518494E-5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76.297257000000002</v>
          </cell>
        </row>
        <row r="7">
          <cell r="C7">
            <v>48.466000000000001</v>
          </cell>
        </row>
        <row r="8">
          <cell r="C8">
            <v>0</v>
          </cell>
        </row>
        <row r="11">
          <cell r="C11">
            <v>0.63522598197730751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107.764382</v>
          </cell>
        </row>
        <row r="7">
          <cell r="C7">
            <v>7.6239999999999997</v>
          </cell>
        </row>
        <row r="8">
          <cell r="C8">
            <v>0</v>
          </cell>
        </row>
        <row r="11">
          <cell r="C11">
            <v>7.0746937517815481E-2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11.753558</v>
          </cell>
        </row>
        <row r="7">
          <cell r="C7">
            <v>102.039</v>
          </cell>
        </row>
        <row r="8">
          <cell r="C8">
            <v>0</v>
          </cell>
        </row>
        <row r="11">
          <cell r="C11">
            <v>8.6815413681542228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45.020406999999999</v>
          </cell>
        </row>
        <row r="7">
          <cell r="C7">
            <v>18.738</v>
          </cell>
        </row>
        <row r="8">
          <cell r="C8">
            <v>30.068000000000001</v>
          </cell>
        </row>
        <row r="11">
          <cell r="C11">
            <v>6.1005680482349032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174.27055799999999</v>
          </cell>
        </row>
        <row r="7">
          <cell r="C7">
            <v>125.172</v>
          </cell>
        </row>
        <row r="8">
          <cell r="C8">
            <v>0</v>
          </cell>
        </row>
        <row r="11">
          <cell r="C11">
            <v>0.71826246175214514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13.382966</v>
          </cell>
        </row>
        <row r="7">
          <cell r="C7">
            <v>38.411999999999999</v>
          </cell>
        </row>
        <row r="8">
          <cell r="C8">
            <v>0</v>
          </cell>
        </row>
        <row r="11">
          <cell r="C11">
            <v>10.827834147688835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114.151663</v>
          </cell>
        </row>
        <row r="7">
          <cell r="C7">
            <v>236.876</v>
          </cell>
        </row>
        <row r="8">
          <cell r="C8">
            <v>1.597</v>
          </cell>
        </row>
        <row r="11">
          <cell r="C11">
            <v>2.0611088250199212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339.11040100000002</v>
          </cell>
        </row>
        <row r="7">
          <cell r="C7">
            <v>100.051</v>
          </cell>
        </row>
        <row r="8">
          <cell r="C8">
            <v>1.7490000000000001</v>
          </cell>
        </row>
        <row r="11">
          <cell r="C11">
            <v>0.28988199627648698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99.146743000000001</v>
          </cell>
        </row>
        <row r="7">
          <cell r="C7">
            <v>208</v>
          </cell>
        </row>
        <row r="8">
          <cell r="C8">
            <v>75</v>
          </cell>
        </row>
        <row r="11">
          <cell r="C11">
            <v>1.3414459817404187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79.803484999999995</v>
          </cell>
        </row>
        <row r="7">
          <cell r="C7">
            <v>151.75700000000001</v>
          </cell>
        </row>
        <row r="8">
          <cell r="C8">
            <v>0</v>
          </cell>
        </row>
        <row r="11">
          <cell r="C11">
            <v>1.9016337444411107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109.774597</v>
          </cell>
        </row>
        <row r="7">
          <cell r="C7">
            <v>283.74700000000001</v>
          </cell>
        </row>
        <row r="8">
          <cell r="C8">
            <v>0</v>
          </cell>
        </row>
        <row r="11">
          <cell r="C11">
            <v>2.5848147727656885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86.212137999999996</v>
          </cell>
        </row>
        <row r="7">
          <cell r="C7">
            <v>180.47199999999998</v>
          </cell>
        </row>
        <row r="8">
          <cell r="C8">
            <v>0</v>
          </cell>
        </row>
        <row r="11">
          <cell r="C11">
            <v>2.093347922771617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57.184016999999997</v>
          </cell>
        </row>
        <row r="7">
          <cell r="C7">
            <v>146.82599999999999</v>
          </cell>
        </row>
        <row r="8">
          <cell r="C8">
            <v>14.988</v>
          </cell>
        </row>
        <row r="11">
          <cell r="C11">
            <v>2.3055043509797501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252.907464</v>
          </cell>
        </row>
        <row r="7">
          <cell r="C7">
            <v>50.828999999999994</v>
          </cell>
        </row>
        <row r="8">
          <cell r="C8">
            <v>0</v>
          </cell>
        </row>
        <row r="11">
          <cell r="C11">
            <v>0.20097864727313858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181.075321</v>
          </cell>
        </row>
        <row r="7">
          <cell r="C7">
            <v>119.71199999999999</v>
          </cell>
        </row>
        <row r="8">
          <cell r="C8">
            <v>0</v>
          </cell>
        </row>
        <row r="11">
          <cell r="C11">
            <v>0.66111714914480246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Pipeline"/>
      <sheetName val="NPV"/>
      <sheetName val="Options"/>
    </sheetNames>
    <sheetDataSet>
      <sheetData sheetId="0">
        <row r="4">
          <cell r="C4">
            <v>60.462687000000003</v>
          </cell>
        </row>
        <row r="7">
          <cell r="C7">
            <v>170</v>
          </cell>
        </row>
        <row r="8">
          <cell r="C8">
            <v>0</v>
          </cell>
        </row>
        <row r="11">
          <cell r="C11">
            <v>13.314826577100533</v>
          </cell>
        </row>
        <row r="14">
          <cell r="C14" t="str">
            <v>Base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101.742231</v>
          </cell>
        </row>
        <row r="7">
          <cell r="C7">
            <v>110.9422787513957</v>
          </cell>
        </row>
        <row r="8">
          <cell r="C8"/>
        </row>
        <row r="11">
          <cell r="C11">
            <v>1.0904250640168849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69.814144999999996</v>
          </cell>
        </row>
        <row r="7">
          <cell r="C7">
            <v>510.05200000000002</v>
          </cell>
        </row>
        <row r="8">
          <cell r="C8">
            <v>0</v>
          </cell>
        </row>
        <row r="11">
          <cell r="C11">
            <v>4.6276457494128325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169.545445</v>
          </cell>
        </row>
        <row r="7">
          <cell r="C7">
            <v>225.101</v>
          </cell>
        </row>
        <row r="8">
          <cell r="C8">
            <v>0</v>
          </cell>
        </row>
        <row r="11">
          <cell r="C11">
            <v>1.327673533193416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14.855086999999999</v>
          </cell>
        </row>
        <row r="7">
          <cell r="C7">
            <v>0.19301699999999999</v>
          </cell>
        </row>
        <row r="8">
          <cell r="C8">
            <v>0.86770000000000003</v>
          </cell>
        </row>
        <row r="11">
          <cell r="C11">
            <v>-4.5417640435225996E-2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21.002201100000001</v>
          </cell>
        </row>
        <row r="7">
          <cell r="C7">
            <v>314.649</v>
          </cell>
        </row>
        <row r="8">
          <cell r="C8">
            <v>0</v>
          </cell>
        </row>
        <row r="11">
          <cell r="C11">
            <v>17.88638936479413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64.697401999999997</v>
          </cell>
        </row>
        <row r="7">
          <cell r="C7">
            <v>149.900319</v>
          </cell>
        </row>
        <row r="8">
          <cell r="C8">
            <v>0</v>
          </cell>
        </row>
        <row r="11">
          <cell r="C11">
            <v>2.3169449524418306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139.5359</v>
          </cell>
        </row>
        <row r="7">
          <cell r="C7">
            <v>159.01884699999999</v>
          </cell>
        </row>
        <row r="8">
          <cell r="C8">
            <v>0</v>
          </cell>
        </row>
        <row r="11">
          <cell r="C11">
            <v>1.139626769885026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90.986367999999999</v>
          </cell>
        </row>
        <row r="7">
          <cell r="C7">
            <v>102.63199999999999</v>
          </cell>
        </row>
        <row r="8">
          <cell r="C8">
            <v>0</v>
          </cell>
        </row>
        <row r="11">
          <cell r="C11">
            <v>1.1279931516774029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21.601208</v>
          </cell>
        </row>
        <row r="7">
          <cell r="C7">
            <v>95.347786173292846</v>
          </cell>
        </row>
        <row r="8">
          <cell r="C8"/>
        </row>
        <row r="11">
          <cell r="C11">
            <v>4.4140025026976657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71.849716000000001</v>
          </cell>
        </row>
        <row r="7">
          <cell r="C7">
            <v>117.584444</v>
          </cell>
        </row>
        <row r="8">
          <cell r="C8">
            <v>0</v>
          </cell>
        </row>
        <row r="11">
          <cell r="C11">
            <v>4.6607217903431035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82.046255000000002</v>
          </cell>
        </row>
        <row r="7">
          <cell r="C7">
            <v>234.2</v>
          </cell>
        </row>
        <row r="8">
          <cell r="C8">
            <v>0</v>
          </cell>
        </row>
        <row r="11">
          <cell r="C11">
            <v>2.8544873864139197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80.174267</v>
          </cell>
        </row>
        <row r="7">
          <cell r="C7">
            <v>344.1</v>
          </cell>
        </row>
        <row r="8">
          <cell r="C8">
            <v>0</v>
          </cell>
        </row>
        <row r="11">
          <cell r="C11">
            <v>4.2919007915594669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56.234231000000001</v>
          </cell>
        </row>
        <row r="7">
          <cell r="C7">
            <v>97.786173292846556</v>
          </cell>
        </row>
        <row r="8">
          <cell r="C8">
            <v>30.007061648188692</v>
          </cell>
        </row>
        <row r="11">
          <cell r="C11">
            <v>9.908607066338881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87.235985999999997</v>
          </cell>
        </row>
        <row r="7">
          <cell r="C7">
            <v>33.813290021891113</v>
          </cell>
        </row>
        <row r="8">
          <cell r="C8">
            <v>20.922251253442553</v>
          </cell>
        </row>
        <row r="11">
          <cell r="C11">
            <v>3.3566475055148839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29.769466000000001</v>
          </cell>
        </row>
        <row r="7">
          <cell r="C7">
            <v>106.27</v>
          </cell>
        </row>
        <row r="8">
          <cell r="C8">
            <v>0</v>
          </cell>
        </row>
        <row r="11">
          <cell r="C11">
            <v>3.569765074052722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61.574599999999997</v>
          </cell>
        </row>
        <row r="7">
          <cell r="C7">
            <v>46.287999999999997</v>
          </cell>
        </row>
        <row r="8">
          <cell r="C8">
            <v>33.064999999999998</v>
          </cell>
        </row>
        <row r="11">
          <cell r="C11">
            <v>0.21474763944873373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45.896909000000001</v>
          </cell>
        </row>
        <row r="7">
          <cell r="C7">
            <v>318.745</v>
          </cell>
        </row>
        <row r="8">
          <cell r="C8">
            <v>0</v>
          </cell>
        </row>
        <row r="11">
          <cell r="C11">
            <v>6.9448031892518074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19.827188</v>
          </cell>
        </row>
        <row r="7">
          <cell r="C7">
            <v>257.60599999999999</v>
          </cell>
        </row>
        <row r="8">
          <cell r="C8">
            <v>0</v>
          </cell>
        </row>
        <row r="11">
          <cell r="C11">
            <v>12.992563544563152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119.820514</v>
          </cell>
        </row>
        <row r="7">
          <cell r="C7">
            <v>153.76999999999998</v>
          </cell>
        </row>
        <row r="8">
          <cell r="C8">
            <v>0</v>
          </cell>
        </row>
        <row r="11">
          <cell r="C11">
            <v>1.2833361739710112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14.678208</v>
          </cell>
        </row>
        <row r="7">
          <cell r="C7">
            <v>8.8763529999999999</v>
          </cell>
        </row>
        <row r="8">
          <cell r="C8">
            <v>0</v>
          </cell>
        </row>
        <row r="11">
          <cell r="C11">
            <v>0.60473001881428579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80.571641999999997</v>
          </cell>
        </row>
        <row r="7">
          <cell r="C7">
            <v>27.42</v>
          </cell>
        </row>
        <row r="8">
          <cell r="C8">
            <v>0</v>
          </cell>
        </row>
        <row r="11">
          <cell r="C11">
            <v>1.4663877795737905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63.700187</v>
          </cell>
        </row>
        <row r="7">
          <cell r="C7">
            <v>113.907</v>
          </cell>
        </row>
        <row r="8">
          <cell r="C8">
            <v>0</v>
          </cell>
        </row>
        <row r="11">
          <cell r="C11">
            <v>7.8694394403750803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103.882937</v>
          </cell>
        </row>
        <row r="7">
          <cell r="C7">
            <v>156.267</v>
          </cell>
        </row>
        <row r="8">
          <cell r="C8">
            <v>0</v>
          </cell>
        </row>
        <row r="11">
          <cell r="C11">
            <v>1.5042605120030443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111.656919</v>
          </cell>
        </row>
        <row r="7">
          <cell r="C7">
            <v>172.798</v>
          </cell>
        </row>
        <row r="8">
          <cell r="C8">
            <v>9.8480000000000008</v>
          </cell>
        </row>
        <row r="11">
          <cell r="C11">
            <v>1.4593811244245418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63.180610000000001</v>
          </cell>
        </row>
        <row r="7">
          <cell r="C7">
            <v>15.174128</v>
          </cell>
        </row>
        <row r="8">
          <cell r="C8">
            <v>21.499655999999998</v>
          </cell>
        </row>
        <row r="11">
          <cell r="C11">
            <v>-0.10011818499378208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67.160362000000006</v>
          </cell>
        </row>
        <row r="7">
          <cell r="C7">
            <v>3.017096</v>
          </cell>
        </row>
        <row r="8">
          <cell r="C8">
            <v>1.4424999999999999</v>
          </cell>
        </row>
        <row r="11">
          <cell r="C11">
            <v>2.34453173435843E-2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24.505140999999998</v>
          </cell>
        </row>
        <row r="7">
          <cell r="C7">
            <v>204.10199999999998</v>
          </cell>
        </row>
        <row r="8">
          <cell r="C8">
            <v>0</v>
          </cell>
        </row>
        <row r="11">
          <cell r="C11">
            <v>8.3289461586856408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30.255351999999998</v>
          </cell>
        </row>
        <row r="7">
          <cell r="C7">
            <v>147.60599999999999</v>
          </cell>
        </row>
        <row r="8">
          <cell r="C8">
            <v>52.850999999999999</v>
          </cell>
        </row>
        <row r="11">
          <cell r="C11">
            <v>3.1318425910232346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62.7532</v>
          </cell>
        </row>
        <row r="7">
          <cell r="C7">
            <v>86.397999999999996</v>
          </cell>
        </row>
        <row r="8">
          <cell r="C8">
            <v>0</v>
          </cell>
        </row>
        <row r="11">
          <cell r="C11">
            <v>1.3767903469464504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94.553190999999998</v>
          </cell>
        </row>
        <row r="7">
          <cell r="C7">
            <v>99.881</v>
          </cell>
        </row>
        <row r="8">
          <cell r="C8">
            <v>0</v>
          </cell>
        </row>
        <row r="11">
          <cell r="C11">
            <v>6.0895393331204382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Pipeline"/>
      <sheetName val="NPV"/>
      <sheetName val="Options"/>
    </sheetNames>
    <sheetDataSet>
      <sheetData sheetId="0">
        <row r="4">
          <cell r="C4">
            <v>36.292113000000001</v>
          </cell>
        </row>
        <row r="7">
          <cell r="C7">
            <v>288.00699999999995</v>
          </cell>
        </row>
        <row r="8">
          <cell r="C8">
            <v>0</v>
          </cell>
        </row>
        <row r="11">
          <cell r="C11">
            <v>6.7806113550292677</v>
          </cell>
        </row>
        <row r="14">
          <cell r="C14" t="str">
            <v>Base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24.225339000000002</v>
          </cell>
        </row>
        <row r="7">
          <cell r="C7">
            <v>24.588000000000001</v>
          </cell>
        </row>
        <row r="8">
          <cell r="C8">
            <v>22.838999999999999</v>
          </cell>
        </row>
        <row r="11">
          <cell r="C11">
            <v>3.1292978824892494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38.936669000000002</v>
          </cell>
        </row>
        <row r="7">
          <cell r="C7">
            <v>223</v>
          </cell>
        </row>
        <row r="8">
          <cell r="C8">
            <v>0</v>
          </cell>
        </row>
        <row r="11">
          <cell r="C11">
            <v>5.7272490361206811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277.106245</v>
          </cell>
        </row>
        <row r="7">
          <cell r="C7">
            <v>155.548</v>
          </cell>
        </row>
        <row r="8">
          <cell r="C8">
            <v>49.563000000000002</v>
          </cell>
        </row>
        <row r="11">
          <cell r="C11">
            <v>0.89795320445414872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81.261151999999996</v>
          </cell>
        </row>
        <row r="7">
          <cell r="C7">
            <v>88.756</v>
          </cell>
        </row>
        <row r="8">
          <cell r="C8">
            <v>0</v>
          </cell>
        </row>
        <row r="11">
          <cell r="C11">
            <v>1.0922316237899261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294.75874599999997</v>
          </cell>
        </row>
        <row r="7">
          <cell r="C7">
            <v>160.08000000000001</v>
          </cell>
        </row>
        <row r="8">
          <cell r="C8">
            <v>0</v>
          </cell>
        </row>
        <row r="11">
          <cell r="C11">
            <v>-0.42449278008330682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16.581171000000001</v>
          </cell>
        </row>
        <row r="7">
          <cell r="C7">
            <v>164.346</v>
          </cell>
        </row>
        <row r="8">
          <cell r="C8">
            <v>0</v>
          </cell>
        </row>
        <row r="11">
          <cell r="C11">
            <v>9.9116039512528999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69.259517000000002</v>
          </cell>
        </row>
        <row r="7">
          <cell r="C7">
            <v>117.238</v>
          </cell>
        </row>
        <row r="8">
          <cell r="C8">
            <v>0</v>
          </cell>
        </row>
        <row r="11">
          <cell r="C11">
            <v>1.6927348771433102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127.66769499999999</v>
          </cell>
        </row>
        <row r="7">
          <cell r="C7">
            <v>219.107</v>
          </cell>
        </row>
        <row r="8">
          <cell r="C8">
            <v>116.61699999999999</v>
          </cell>
        </row>
        <row r="11">
          <cell r="C11">
            <v>-0.68084196200802749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2.7861579999999999</v>
          </cell>
        </row>
        <row r="7">
          <cell r="C7">
            <v>23.998999999999999</v>
          </cell>
        </row>
        <row r="8">
          <cell r="C8">
            <v>0</v>
          </cell>
        </row>
        <row r="11">
          <cell r="C11">
            <v>8.613653640604733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21.777868000000002</v>
          </cell>
        </row>
        <row r="7">
          <cell r="C7">
            <v>41.384287</v>
          </cell>
        </row>
        <row r="8">
          <cell r="C8">
            <v>0</v>
          </cell>
        </row>
        <row r="11">
          <cell r="C11">
            <v>1.9002910202229162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45.212398999999998</v>
          </cell>
        </row>
        <row r="7">
          <cell r="C7">
            <v>268.3</v>
          </cell>
        </row>
        <row r="8">
          <cell r="C8">
            <v>0</v>
          </cell>
        </row>
        <row r="11">
          <cell r="C11">
            <v>5.9342128693502865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41.597354000000003</v>
          </cell>
        </row>
        <row r="7">
          <cell r="C7">
            <v>16.090999999999998</v>
          </cell>
        </row>
        <row r="8">
          <cell r="C8">
            <v>0</v>
          </cell>
        </row>
        <row r="11">
          <cell r="C11">
            <v>0.38682748907538678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57.009010000000004</v>
          </cell>
        </row>
        <row r="7">
          <cell r="C7">
            <v>189.982</v>
          </cell>
        </row>
        <row r="8">
          <cell r="C8">
            <v>0</v>
          </cell>
        </row>
        <row r="11">
          <cell r="C11">
            <v>3.3324907764579668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23.099173</v>
          </cell>
        </row>
        <row r="7">
          <cell r="C7">
            <v>236.55100000000002</v>
          </cell>
        </row>
        <row r="8">
          <cell r="C8">
            <v>0</v>
          </cell>
        </row>
        <row r="11">
          <cell r="C11">
            <v>10.240669655143066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27.601554</v>
          </cell>
        </row>
        <row r="7">
          <cell r="C7">
            <v>87.548999999999992</v>
          </cell>
        </row>
        <row r="8">
          <cell r="C8">
            <v>22.420999999999999</v>
          </cell>
        </row>
        <row r="11">
          <cell r="C11">
            <v>2.3595772904670507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180.08791500000001</v>
          </cell>
        </row>
        <row r="7">
          <cell r="C7">
            <v>179.87899999999999</v>
          </cell>
        </row>
        <row r="8">
          <cell r="C8">
            <v>0</v>
          </cell>
        </row>
        <row r="11">
          <cell r="C11">
            <v>0.99883992770975205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154.50096600000001</v>
          </cell>
        </row>
        <row r="7">
          <cell r="C7">
            <v>105.306</v>
          </cell>
        </row>
        <row r="8">
          <cell r="C8">
            <v>0</v>
          </cell>
        </row>
        <row r="11">
          <cell r="C11">
            <v>-1.2139637571779212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105.361064</v>
          </cell>
        </row>
        <row r="7">
          <cell r="C7">
            <v>103.99257300399482</v>
          </cell>
        </row>
        <row r="8">
          <cell r="C8">
            <v>5.4824734147302081</v>
          </cell>
        </row>
        <row r="11">
          <cell r="C11">
            <v>0.93497631714562612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71.671914000000001</v>
          </cell>
        </row>
        <row r="7">
          <cell r="C7">
            <v>174.608</v>
          </cell>
        </row>
        <row r="8">
          <cell r="C8">
            <v>0</v>
          </cell>
        </row>
        <row r="11">
          <cell r="C11">
            <v>2.4362123216075964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12.835148</v>
          </cell>
        </row>
        <row r="7">
          <cell r="C7">
            <v>53.14</v>
          </cell>
        </row>
        <row r="8">
          <cell r="C8">
            <v>0</v>
          </cell>
        </row>
        <row r="11">
          <cell r="C11">
            <v>4.1401937866240424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4.6813510000000003</v>
          </cell>
        </row>
        <row r="7">
          <cell r="C7">
            <v>1.391</v>
          </cell>
        </row>
        <row r="8">
          <cell r="C8">
            <v>0</v>
          </cell>
        </row>
        <row r="11">
          <cell r="C11">
            <v>0.29713644629509728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54.771040999999997</v>
          </cell>
        </row>
        <row r="7">
          <cell r="C7">
            <v>261.30700000000002</v>
          </cell>
        </row>
        <row r="8">
          <cell r="C8">
            <v>0</v>
          </cell>
        </row>
        <row r="11">
          <cell r="C11">
            <v>4.7708970877511723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76.027666999999994</v>
          </cell>
        </row>
        <row r="7">
          <cell r="C7">
            <v>1.175</v>
          </cell>
        </row>
        <row r="8">
          <cell r="C8">
            <v>17.459</v>
          </cell>
        </row>
        <row r="11">
          <cell r="C11">
            <v>-0.21418518603234268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83.408050000000003</v>
          </cell>
        </row>
        <row r="7">
          <cell r="C7">
            <v>32.996000000000002</v>
          </cell>
        </row>
        <row r="8">
          <cell r="C8">
            <v>0</v>
          </cell>
        </row>
        <row r="11">
          <cell r="C11">
            <v>0.39559730745413663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79.681360999999995</v>
          </cell>
        </row>
        <row r="7">
          <cell r="C7">
            <v>37.241568000000001</v>
          </cell>
        </row>
        <row r="8">
          <cell r="C8">
            <v>0</v>
          </cell>
        </row>
        <row r="11">
          <cell r="C11">
            <v>0.46738117337127316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138.27699699999999</v>
          </cell>
        </row>
        <row r="7">
          <cell r="C7">
            <v>138.22900000000001</v>
          </cell>
        </row>
        <row r="8">
          <cell r="C8">
            <v>9.7050000000000001</v>
          </cell>
        </row>
        <row r="11">
          <cell r="C11">
            <v>0.92946768290028747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115.38169173913043</v>
          </cell>
        </row>
        <row r="7">
          <cell r="C7">
            <v>210.84200000000001</v>
          </cell>
        </row>
        <row r="8">
          <cell r="C8">
            <v>0</v>
          </cell>
        </row>
        <row r="11">
          <cell r="C11">
            <v>1.8273436350430565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31.364812000000001</v>
          </cell>
        </row>
        <row r="7">
          <cell r="C7">
            <v>2.938463</v>
          </cell>
        </row>
        <row r="8">
          <cell r="C8">
            <v>0</v>
          </cell>
        </row>
        <row r="11">
          <cell r="C11">
            <v>9.3686612883252737E-2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40.374640999999997</v>
          </cell>
        </row>
        <row r="7">
          <cell r="C7">
            <v>112.93994854119133</v>
          </cell>
        </row>
        <row r="8">
          <cell r="C8"/>
        </row>
        <row r="11">
          <cell r="C11">
            <v>2.7972991398534375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28.224395000000001</v>
          </cell>
        </row>
        <row r="7">
          <cell r="C7">
            <v>25.643000000000001</v>
          </cell>
        </row>
        <row r="8">
          <cell r="C8">
            <v>25.472000000000001</v>
          </cell>
        </row>
        <row r="11">
          <cell r="C11">
            <v>3.1821767884484249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93.719323000000003</v>
          </cell>
        </row>
        <row r="7">
          <cell r="C7">
            <v>38.609126202666964</v>
          </cell>
        </row>
        <row r="8">
          <cell r="C8"/>
        </row>
        <row r="11">
          <cell r="C11">
            <v>0.41196548338987643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59.095488000000003</v>
          </cell>
        </row>
        <row r="7">
          <cell r="C7">
            <v>142.494</v>
          </cell>
        </row>
        <row r="8">
          <cell r="C8">
            <v>0</v>
          </cell>
        </row>
        <row r="11">
          <cell r="C11">
            <v>2.4112500771632512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17.105643000000001</v>
          </cell>
        </row>
        <row r="7">
          <cell r="C7">
            <v>263.89999999999998</v>
          </cell>
        </row>
        <row r="8">
          <cell r="C8">
            <v>0</v>
          </cell>
        </row>
        <row r="11">
          <cell r="C11">
            <v>15.427657411066042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71.624791000000002</v>
          </cell>
        </row>
        <row r="7">
          <cell r="C7">
            <v>182.76400000000001</v>
          </cell>
        </row>
        <row r="8">
          <cell r="C8">
            <v>0</v>
          </cell>
        </row>
        <row r="11">
          <cell r="C11">
            <v>2.5516863288299159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128.67454799999999</v>
          </cell>
        </row>
        <row r="7">
          <cell r="C7">
            <v>46.097000000000001</v>
          </cell>
        </row>
        <row r="8">
          <cell r="C8">
            <v>0</v>
          </cell>
        </row>
        <row r="11">
          <cell r="C11">
            <v>2.9260792274211269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37.736237000000003</v>
          </cell>
        </row>
        <row r="7">
          <cell r="C7">
            <v>78.387</v>
          </cell>
        </row>
        <row r="8">
          <cell r="C8">
            <v>0</v>
          </cell>
        </row>
        <row r="11">
          <cell r="C11">
            <v>2.0772341449943723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79.649257000000006</v>
          </cell>
        </row>
        <row r="7">
          <cell r="C7">
            <v>15.585057552432739</v>
          </cell>
        </row>
        <row r="8">
          <cell r="C8"/>
        </row>
        <row r="11">
          <cell r="C11">
            <v>0.19567109775340072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37.181978999999998</v>
          </cell>
        </row>
        <row r="7">
          <cell r="C7">
            <v>23.952000000000002</v>
          </cell>
        </row>
        <row r="8">
          <cell r="C8">
            <v>205.928</v>
          </cell>
        </row>
        <row r="11">
          <cell r="C11">
            <v>-4.8941988805921275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14.725645999999999</v>
          </cell>
        </row>
        <row r="7">
          <cell r="C7">
            <v>115.036</v>
          </cell>
        </row>
        <row r="8">
          <cell r="C8">
            <v>0</v>
          </cell>
        </row>
        <row r="11">
          <cell r="C11">
            <v>7.8119493025976592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72.317284999999998</v>
          </cell>
        </row>
        <row r="7">
          <cell r="C7">
            <v>110.197</v>
          </cell>
        </row>
        <row r="8">
          <cell r="C8">
            <v>31.568999999999999</v>
          </cell>
        </row>
        <row r="11">
          <cell r="C11">
            <v>1.0872642688397387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92.696842000000004</v>
          </cell>
        </row>
        <row r="7">
          <cell r="C7">
            <v>118.32599999999999</v>
          </cell>
        </row>
        <row r="8">
          <cell r="C8">
            <v>0</v>
          </cell>
        </row>
        <row r="11">
          <cell r="C11">
            <v>1.2764836152670658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3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7.2644140000000004</v>
          </cell>
        </row>
        <row r="7">
          <cell r="C7">
            <v>17.391999999999999</v>
          </cell>
        </row>
        <row r="8">
          <cell r="C8">
            <v>0</v>
          </cell>
        </row>
        <row r="11">
          <cell r="C11">
            <v>2.3941366777829565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277.79810500000002</v>
          </cell>
        </row>
        <row r="7">
          <cell r="C7">
            <v>79.903000000000006</v>
          </cell>
        </row>
        <row r="8">
          <cell r="C8">
            <v>36.323999999999998</v>
          </cell>
        </row>
        <row r="11">
          <cell r="C11">
            <v>0.15687292035343439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243.447554</v>
          </cell>
        </row>
        <row r="7">
          <cell r="C7">
            <v>11.242068</v>
          </cell>
        </row>
        <row r="8">
          <cell r="C8">
            <v>0</v>
          </cell>
        </row>
        <row r="11">
          <cell r="C11">
            <v>4.6178603215705341E-2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61.617947999999998</v>
          </cell>
        </row>
        <row r="7">
          <cell r="C7">
            <v>148.80000000000001</v>
          </cell>
        </row>
        <row r="8">
          <cell r="C8">
            <v>0</v>
          </cell>
        </row>
        <row r="11">
          <cell r="C11">
            <v>2.4148808071310652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2.8740130000000002</v>
          </cell>
        </row>
        <row r="7">
          <cell r="C7">
            <v>96.295000000000002</v>
          </cell>
        </row>
        <row r="8">
          <cell r="C8">
            <v>7.0910000000000002</v>
          </cell>
        </row>
        <row r="11">
          <cell r="C11">
            <v>31.038133787147103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43.295766999999998</v>
          </cell>
        </row>
        <row r="7">
          <cell r="C7">
            <v>26.686</v>
          </cell>
        </row>
        <row r="8">
          <cell r="C8">
            <v>0.41199999999999998</v>
          </cell>
        </row>
        <row r="11">
          <cell r="C11">
            <v>0.60684916379931553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47.747559000000003</v>
          </cell>
        </row>
        <row r="7">
          <cell r="C7">
            <v>75.267250000000004</v>
          </cell>
        </row>
        <row r="8">
          <cell r="C8">
            <v>0</v>
          </cell>
        </row>
        <row r="11">
          <cell r="C11">
            <v>1.5763580709958387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63.726616999999997</v>
          </cell>
        </row>
        <row r="7">
          <cell r="C7">
            <v>0.995977</v>
          </cell>
        </row>
        <row r="8">
          <cell r="C8">
            <v>3.6</v>
          </cell>
        </row>
        <row r="11">
          <cell r="C11">
            <v>-4.0862407618468127E-2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67.016316000000003</v>
          </cell>
        </row>
        <row r="7">
          <cell r="C7">
            <v>266.32</v>
          </cell>
        </row>
        <row r="8">
          <cell r="C8">
            <v>25.354000000000003</v>
          </cell>
        </row>
        <row r="11">
          <cell r="C11">
            <v>3.595631845832886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100.257009</v>
          </cell>
        </row>
        <row r="7">
          <cell r="C7">
            <v>15.123931925711464</v>
          </cell>
        </row>
        <row r="8">
          <cell r="C8"/>
        </row>
        <row r="11">
          <cell r="C11">
            <v>0.15085161702471558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59.385314999999999</v>
          </cell>
        </row>
        <row r="7">
          <cell r="C7">
            <v>68.08</v>
          </cell>
        </row>
        <row r="8">
          <cell r="C8">
            <v>0</v>
          </cell>
        </row>
        <row r="11">
          <cell r="C11">
            <v>1.1464113644930569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45.245334999999997</v>
          </cell>
        </row>
        <row r="7">
          <cell r="C7">
            <v>18.683999999999997</v>
          </cell>
        </row>
        <row r="8">
          <cell r="C8">
            <v>0</v>
          </cell>
        </row>
        <row r="11">
          <cell r="C11">
            <v>0.41294864984423252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Pipeline"/>
      <sheetName val="NPV"/>
      <sheetName val="Options"/>
    </sheetNames>
    <sheetDataSet>
      <sheetData sheetId="0">
        <row r="4">
          <cell r="C4">
            <v>23.140084999999999</v>
          </cell>
        </row>
        <row r="7">
          <cell r="C7">
            <v>36.563000000000002</v>
          </cell>
        </row>
        <row r="8">
          <cell r="C8">
            <v>0</v>
          </cell>
        </row>
        <row r="11">
          <cell r="C11">
            <v>7.0697125649814163</v>
          </cell>
        </row>
        <row r="14">
          <cell r="C14" t="str">
            <v>Base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14.983107</v>
          </cell>
        </row>
        <row r="7">
          <cell r="C7">
            <v>3.8624019999999999</v>
          </cell>
        </row>
        <row r="8">
          <cell r="C8">
            <v>0</v>
          </cell>
        </row>
        <row r="11">
          <cell r="C11">
            <v>0.25778378276281411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15.458902999999999</v>
          </cell>
        </row>
        <row r="7">
          <cell r="C7">
            <v>27.71</v>
          </cell>
        </row>
        <row r="8">
          <cell r="C8">
            <v>0</v>
          </cell>
        </row>
        <row r="11">
          <cell r="C11">
            <v>1.7924945903341267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3.9539279999999999</v>
          </cell>
        </row>
        <row r="7">
          <cell r="C7">
            <v>86.643000000000001</v>
          </cell>
        </row>
        <row r="8">
          <cell r="C8">
            <v>0</v>
          </cell>
        </row>
        <row r="11">
          <cell r="C11">
            <v>21.913145611149218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8.9112500000000008</v>
          </cell>
        </row>
        <row r="7">
          <cell r="C7">
            <v>0.43736900000000001</v>
          </cell>
        </row>
        <row r="8">
          <cell r="C8">
            <v>0</v>
          </cell>
        </row>
        <row r="11">
          <cell r="C11">
            <v>4.9080544255856361E-2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100.33944099999999</v>
          </cell>
        </row>
        <row r="7">
          <cell r="C7">
            <v>206.33300000000003</v>
          </cell>
        </row>
        <row r="8">
          <cell r="C8">
            <v>0</v>
          </cell>
        </row>
        <row r="11">
          <cell r="C11">
            <v>2.7035522217742165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72.292859000000007</v>
          </cell>
        </row>
        <row r="7">
          <cell r="C7">
            <v>18.029595453778199</v>
          </cell>
        </row>
        <row r="8">
          <cell r="C8"/>
        </row>
        <row r="11">
          <cell r="C11">
            <v>0.24939663063786421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17.151024</v>
          </cell>
        </row>
        <row r="7">
          <cell r="C7">
            <v>176.232</v>
          </cell>
        </row>
        <row r="8">
          <cell r="C8">
            <v>0</v>
          </cell>
        </row>
        <row r="11">
          <cell r="C11">
            <v>10.27530484477195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31.420342999999999</v>
          </cell>
        </row>
        <row r="7">
          <cell r="C7">
            <v>220.00299999999999</v>
          </cell>
        </row>
        <row r="8">
          <cell r="C8">
            <v>0</v>
          </cell>
        </row>
        <row r="11">
          <cell r="C11">
            <v>7.0019286549481654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Pipeline"/>
      <sheetName val="NPV"/>
      <sheetName val="Options"/>
    </sheetNames>
    <sheetDataSet>
      <sheetData sheetId="0">
        <row r="4">
          <cell r="C4">
            <v>103.39751800000001</v>
          </cell>
        </row>
        <row r="7">
          <cell r="C7">
            <v>54.974000000000004</v>
          </cell>
        </row>
        <row r="8">
          <cell r="C8">
            <v>0</v>
          </cell>
        </row>
        <row r="11">
          <cell r="C11">
            <v>0.86976909125716229</v>
          </cell>
        </row>
        <row r="14">
          <cell r="C14" t="str">
            <v>Base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23.457849</v>
          </cell>
        </row>
        <row r="7">
          <cell r="C7">
            <v>43.181001999999999</v>
          </cell>
        </row>
        <row r="8">
          <cell r="C8">
            <v>0</v>
          </cell>
        </row>
        <row r="11">
          <cell r="C11">
            <v>1.8407911995682127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76.428963999999993</v>
          </cell>
        </row>
        <row r="7">
          <cell r="C7">
            <v>20.428999999999998</v>
          </cell>
        </row>
        <row r="8">
          <cell r="C8">
            <v>0.8650000000000001</v>
          </cell>
        </row>
        <row r="11">
          <cell r="C11">
            <v>0.25597625528458035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32.724283999999997</v>
          </cell>
        </row>
        <row r="7">
          <cell r="C7">
            <v>17.756</v>
          </cell>
        </row>
        <row r="8">
          <cell r="C8">
            <v>0</v>
          </cell>
        </row>
        <row r="11">
          <cell r="C11">
            <v>0.54259399533386277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32.557174000000003</v>
          </cell>
        </row>
        <row r="7">
          <cell r="C7">
            <v>0.16600000000000001</v>
          </cell>
        </row>
        <row r="8">
          <cell r="C8">
            <v>0</v>
          </cell>
        </row>
        <row r="11">
          <cell r="C11">
            <v>5.0987226348331088E-3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57.453747</v>
          </cell>
        </row>
        <row r="7">
          <cell r="C7">
            <v>110.506</v>
          </cell>
        </row>
        <row r="8">
          <cell r="C8">
            <v>0</v>
          </cell>
        </row>
        <row r="11">
          <cell r="C11">
            <v>1.9233906537027081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9.0821970000000007</v>
          </cell>
        </row>
        <row r="7">
          <cell r="C7">
            <v>8.8602050000000006</v>
          </cell>
        </row>
        <row r="8">
          <cell r="C8">
            <v>8.3028860000000009</v>
          </cell>
        </row>
        <row r="11">
          <cell r="C11">
            <v>6.1363896863280948E-2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47.385594400000002</v>
          </cell>
        </row>
        <row r="7">
          <cell r="C7">
            <v>74.523781999999997</v>
          </cell>
        </row>
        <row r="8">
          <cell r="C8">
            <v>6.1176870000000001</v>
          </cell>
        </row>
        <row r="11">
          <cell r="C11">
            <v>1.4436052953679945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10.037710000000001</v>
          </cell>
        </row>
        <row r="7">
          <cell r="C7">
            <v>9.9</v>
          </cell>
        </row>
        <row r="8">
          <cell r="C8">
            <v>0</v>
          </cell>
        </row>
        <row r="11">
          <cell r="C11">
            <v>0.98628073534700644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13.644467000000001</v>
          </cell>
        </row>
        <row r="7">
          <cell r="C7">
            <v>155.09800000000001</v>
          </cell>
        </row>
        <row r="8">
          <cell r="C8">
            <v>0</v>
          </cell>
        </row>
        <row r="11">
          <cell r="C11">
            <v>11.367098472956108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49.845993</v>
          </cell>
        </row>
        <row r="7">
          <cell r="C7">
            <v>11.542</v>
          </cell>
        </row>
        <row r="8">
          <cell r="C8">
            <v>0</v>
          </cell>
        </row>
        <row r="11">
          <cell r="C11">
            <v>0.23155321632372736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27.855257000000002</v>
          </cell>
        </row>
        <row r="7">
          <cell r="C7">
            <v>61.424999999999997</v>
          </cell>
        </row>
        <row r="8">
          <cell r="C8">
            <v>0</v>
          </cell>
        </row>
        <row r="11">
          <cell r="C11">
            <v>2.2051492829522266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34.763801999999998</v>
          </cell>
        </row>
        <row r="7">
          <cell r="C7">
            <v>13.863999999999999</v>
          </cell>
        </row>
        <row r="8">
          <cell r="C8">
            <v>0</v>
          </cell>
        </row>
        <row r="11">
          <cell r="C11">
            <v>0.39880563121375501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84.068191999999996</v>
          </cell>
        </row>
        <row r="7">
          <cell r="C7">
            <v>13.4</v>
          </cell>
        </row>
        <row r="8">
          <cell r="C8">
            <v>0.16866999999999999</v>
          </cell>
        </row>
        <row r="11">
          <cell r="C11">
            <v>0.15738806420387869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224.23001199999999</v>
          </cell>
        </row>
        <row r="7">
          <cell r="C7">
            <v>78.084999999999994</v>
          </cell>
        </row>
        <row r="8">
          <cell r="C8">
            <v>0</v>
          </cell>
        </row>
        <row r="11">
          <cell r="C11">
            <v>0.3482361674225839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139.395319</v>
          </cell>
        </row>
        <row r="7">
          <cell r="C7">
            <v>4.8680000000000003</v>
          </cell>
        </row>
        <row r="8">
          <cell r="C8">
            <v>0</v>
          </cell>
        </row>
        <row r="11">
          <cell r="C11">
            <v>3.4922263063941195E-2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5.3104990000000001</v>
          </cell>
        </row>
        <row r="7">
          <cell r="C7">
            <v>92.849000000000004</v>
          </cell>
        </row>
        <row r="8">
          <cell r="C8">
            <v>0</v>
          </cell>
        </row>
        <row r="11">
          <cell r="C11">
            <v>17.484044343102219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187.89591200000001</v>
          </cell>
        </row>
        <row r="7">
          <cell r="C7">
            <v>116.834</v>
          </cell>
        </row>
        <row r="8">
          <cell r="C8"/>
        </row>
        <row r="11">
          <cell r="C11">
            <v>0.62180171328048905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124.49798</v>
          </cell>
        </row>
        <row r="7">
          <cell r="C7">
            <v>170.60900000000001</v>
          </cell>
        </row>
        <row r="8">
          <cell r="C8">
            <v>59.207000000000001</v>
          </cell>
        </row>
        <row r="11">
          <cell r="C11">
            <v>0.8948096989204164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19.341293</v>
          </cell>
        </row>
        <row r="7">
          <cell r="C7">
            <v>117.941</v>
          </cell>
        </row>
        <row r="8">
          <cell r="C8">
            <v>0</v>
          </cell>
        </row>
        <row r="11">
          <cell r="C11">
            <v>6.097886009999435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28.206697999999999</v>
          </cell>
        </row>
        <row r="7">
          <cell r="C7">
            <v>1.971408</v>
          </cell>
        </row>
        <row r="8">
          <cell r="C8">
            <v>0</v>
          </cell>
        </row>
        <row r="11">
          <cell r="C11">
            <v>6.9891484639570359E-2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40.496308999999997</v>
          </cell>
        </row>
        <row r="7">
          <cell r="C7">
            <v>176.38600000000002</v>
          </cell>
        </row>
        <row r="8">
          <cell r="C8">
            <v>0</v>
          </cell>
        </row>
        <row r="11">
          <cell r="C11">
            <v>4.3556068282667448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21.884846</v>
          </cell>
        </row>
        <row r="7">
          <cell r="C7">
            <v>73.87</v>
          </cell>
        </row>
        <row r="8">
          <cell r="C8">
            <v>0</v>
          </cell>
        </row>
        <row r="11">
          <cell r="C11">
            <v>3.3753950107759501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23.470877000000002</v>
          </cell>
        </row>
        <row r="7">
          <cell r="C7">
            <v>0.183</v>
          </cell>
        </row>
        <row r="8">
          <cell r="C8">
            <v>0</v>
          </cell>
        </row>
        <row r="11">
          <cell r="C11">
            <v>7.7968965539719709E-3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3.8284690000000001</v>
          </cell>
        </row>
        <row r="7">
          <cell r="C7">
            <v>24.192</v>
          </cell>
        </row>
        <row r="8">
          <cell r="C8">
            <v>69.914000000000001</v>
          </cell>
        </row>
        <row r="11">
          <cell r="C11">
            <v>-11.942632942829105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12.155683</v>
          </cell>
        </row>
        <row r="7">
          <cell r="C7">
            <v>3.4216150000000001</v>
          </cell>
        </row>
        <row r="8">
          <cell r="C8">
            <v>0.15354100000000001</v>
          </cell>
        </row>
        <row r="11">
          <cell r="C11">
            <v>0.26885153224216196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63.408082</v>
          </cell>
        </row>
        <row r="7">
          <cell r="C7">
            <v>57.164000000000001</v>
          </cell>
        </row>
        <row r="8">
          <cell r="C8">
            <v>0</v>
          </cell>
        </row>
        <row r="11">
          <cell r="C11">
            <v>0.90152545538280127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52.479526999999997</v>
          </cell>
        </row>
        <row r="7">
          <cell r="C7">
            <v>1.560902</v>
          </cell>
        </row>
        <row r="8">
          <cell r="C8">
            <v>2.7</v>
          </cell>
        </row>
        <row r="11">
          <cell r="C11">
            <v>-2.1705569106977664E-2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8.9676930000000006</v>
          </cell>
        </row>
        <row r="7">
          <cell r="C7">
            <v>53.463032999999996</v>
          </cell>
        </row>
        <row r="8">
          <cell r="C8">
            <v>0</v>
          </cell>
        </row>
        <row r="11">
          <cell r="C11">
            <v>5.9617376509209219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68.774956000000003</v>
          </cell>
        </row>
        <row r="7">
          <cell r="C7">
            <v>5.1702859999999999</v>
          </cell>
        </row>
        <row r="8">
          <cell r="C8">
            <v>0.13637199999999999</v>
          </cell>
        </row>
        <row r="11">
          <cell r="C11">
            <v>7.3193998117570588E-2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51.999996000000003</v>
          </cell>
        </row>
        <row r="7">
          <cell r="C7">
            <v>30.497</v>
          </cell>
        </row>
        <row r="8">
          <cell r="C8">
            <v>0.61</v>
          </cell>
        </row>
        <row r="11">
          <cell r="C11">
            <v>0.57475004421154186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92.981204000000005</v>
          </cell>
        </row>
        <row r="7">
          <cell r="C7">
            <v>16.563704999999999</v>
          </cell>
        </row>
        <row r="8">
          <cell r="C8">
            <v>6.4101610000000004</v>
          </cell>
        </row>
        <row r="11">
          <cell r="C11">
            <v>0.10919996260749644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24.787445999999999</v>
          </cell>
        </row>
        <row r="7">
          <cell r="C7">
            <v>3.6421030000000001</v>
          </cell>
        </row>
        <row r="8">
          <cell r="C8">
            <v>0</v>
          </cell>
        </row>
        <row r="11">
          <cell r="C11">
            <v>0.14693337102983503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42.853361999999997</v>
          </cell>
        </row>
        <row r="7">
          <cell r="C7">
            <v>89.959000000000003</v>
          </cell>
        </row>
        <row r="8">
          <cell r="C8">
            <v>0</v>
          </cell>
        </row>
        <row r="11">
          <cell r="C11">
            <v>2.0992285272740099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77.795248999999998</v>
          </cell>
        </row>
        <row r="7">
          <cell r="C7">
            <v>34.519999999999996</v>
          </cell>
        </row>
        <row r="8">
          <cell r="C8">
            <v>0</v>
          </cell>
        </row>
        <row r="11">
          <cell r="C11">
            <v>0.44372889660652665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25.936364999999999</v>
          </cell>
        </row>
        <row r="7">
          <cell r="C7">
            <v>1.97342</v>
          </cell>
        </row>
        <row r="8">
          <cell r="C8">
            <v>0.32</v>
          </cell>
        </row>
        <row r="11">
          <cell r="C11">
            <v>6.3749102852307948E-2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49.221246000000001</v>
          </cell>
        </row>
        <row r="7">
          <cell r="C7">
            <v>25.415921000000001</v>
          </cell>
        </row>
        <row r="8">
          <cell r="C8">
            <v>0</v>
          </cell>
        </row>
        <row r="11">
          <cell r="C11">
            <v>0.51636078046459855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95.093745999999996</v>
          </cell>
        </row>
        <row r="7">
          <cell r="C7">
            <v>34.012</v>
          </cell>
        </row>
        <row r="8">
          <cell r="C8">
            <v>0</v>
          </cell>
        </row>
        <row r="11">
          <cell r="C11">
            <v>0.35766810574482999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189.852307</v>
          </cell>
        </row>
        <row r="7">
          <cell r="C7">
            <v>42.7</v>
          </cell>
        </row>
        <row r="8">
          <cell r="C8">
            <v>33.924999999999997</v>
          </cell>
        </row>
        <row r="11">
          <cell r="C11">
            <v>0.64449841421758247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47.391376000000001</v>
          </cell>
        </row>
        <row r="7">
          <cell r="C7">
            <v>7.7610600939248</v>
          </cell>
        </row>
        <row r="8">
          <cell r="C8">
            <v>11.164787173581404</v>
          </cell>
        </row>
        <row r="11">
          <cell r="C11">
            <v>-7.1821655477076751E-2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58.234827000000003</v>
          </cell>
        </row>
        <row r="7">
          <cell r="C7">
            <v>50.774000000000001</v>
          </cell>
        </row>
        <row r="8">
          <cell r="C8">
            <v>9.0999999999999998E-2</v>
          </cell>
        </row>
        <row r="11">
          <cell r="C11">
            <v>0.87032112244447812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46.125824999999999</v>
          </cell>
        </row>
        <row r="7">
          <cell r="C7">
            <v>0.205035</v>
          </cell>
        </row>
        <row r="8">
          <cell r="C8">
            <v>0</v>
          </cell>
        </row>
        <row r="11">
          <cell r="C11">
            <v>4.4451237457541412E-3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53.458058000000001</v>
          </cell>
        </row>
        <row r="7">
          <cell r="C7">
            <v>79.430999999999997</v>
          </cell>
        </row>
        <row r="8">
          <cell r="C8">
            <v>0</v>
          </cell>
        </row>
        <row r="11">
          <cell r="C11">
            <v>1.4858564446916496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30.487731</v>
          </cell>
        </row>
        <row r="7">
          <cell r="C7">
            <v>109.52800000000001</v>
          </cell>
        </row>
        <row r="8">
          <cell r="C8">
            <v>0</v>
          </cell>
        </row>
        <row r="11">
          <cell r="C11">
            <v>3.5925271054116821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127.51050499999999</v>
          </cell>
        </row>
        <row r="7">
          <cell r="C7">
            <v>4.1150000000000002</v>
          </cell>
        </row>
        <row r="8">
          <cell r="C8">
            <v>0</v>
          </cell>
        </row>
        <row r="11">
          <cell r="C11">
            <v>3.2271850856523551E-2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14.541826</v>
          </cell>
        </row>
        <row r="7">
          <cell r="C7">
            <v>28.402819000000001</v>
          </cell>
        </row>
        <row r="8">
          <cell r="C8">
            <v>5.0672930000000003</v>
          </cell>
        </row>
        <row r="11">
          <cell r="C11">
            <v>1.6047177293965698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55.971338000000003</v>
          </cell>
        </row>
        <row r="7">
          <cell r="C7">
            <v>5.5962540000000001</v>
          </cell>
        </row>
        <row r="8">
          <cell r="C8">
            <v>4.3224999999999998</v>
          </cell>
        </row>
        <row r="11">
          <cell r="C11">
            <v>2.2757254793515928E-2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16.101068000000001</v>
          </cell>
        </row>
        <row r="7">
          <cell r="C7">
            <v>12.670142999999999</v>
          </cell>
        </row>
        <row r="8">
          <cell r="C8">
            <v>0</v>
          </cell>
        </row>
        <row r="11">
          <cell r="C11">
            <v>0.7869132035216545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33.311011999999998</v>
          </cell>
        </row>
        <row r="7">
          <cell r="C7">
            <v>196.57599999999999</v>
          </cell>
        </row>
        <row r="8">
          <cell r="C8">
            <v>39.601999999999997</v>
          </cell>
        </row>
        <row r="11">
          <cell r="C11">
            <v>4.7202139080263921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17.178785999999999</v>
          </cell>
        </row>
        <row r="7">
          <cell r="C7">
            <v>11.198</v>
          </cell>
        </row>
        <row r="8">
          <cell r="C8">
            <v>0</v>
          </cell>
        </row>
        <row r="11">
          <cell r="C11">
            <v>0.6518504858259484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72.483851999999999</v>
          </cell>
        </row>
        <row r="7">
          <cell r="C7">
            <v>34.823999999999998</v>
          </cell>
        </row>
        <row r="8">
          <cell r="C8">
            <v>0</v>
          </cell>
        </row>
        <row r="11">
          <cell r="C11">
            <v>0.48043804294506864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43.643619000000001</v>
          </cell>
        </row>
        <row r="7">
          <cell r="C7">
            <v>13.084144</v>
          </cell>
        </row>
        <row r="8">
          <cell r="C8">
            <v>0.34368599999999999</v>
          </cell>
        </row>
        <row r="11">
          <cell r="C11">
            <v>0.29192029194462538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62.974308999999998</v>
          </cell>
        </row>
        <row r="7">
          <cell r="C7">
            <v>31.486000000000001</v>
          </cell>
        </row>
        <row r="8">
          <cell r="C8">
            <v>0</v>
          </cell>
        </row>
        <row r="11">
          <cell r="C11">
            <v>0.49998166712714548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6.5801489999999996</v>
          </cell>
        </row>
        <row r="7">
          <cell r="C7">
            <v>136.04</v>
          </cell>
        </row>
        <row r="8">
          <cell r="C8">
            <v>0</v>
          </cell>
        </row>
        <row r="11">
          <cell r="C11">
            <v>20.674303879744972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61.921897000000001</v>
          </cell>
        </row>
        <row r="7">
          <cell r="C7">
            <v>158.101</v>
          </cell>
        </row>
        <row r="8">
          <cell r="C8">
            <v>0</v>
          </cell>
        </row>
        <row r="11">
          <cell r="C11">
            <v>2.5532325019047786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51.905796000000002</v>
          </cell>
        </row>
        <row r="7">
          <cell r="C7">
            <v>17.076000000000001</v>
          </cell>
        </row>
        <row r="8">
          <cell r="C8">
            <v>0</v>
          </cell>
        </row>
        <row r="11">
          <cell r="C11">
            <v>0.3289806017039022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35.421413000000001</v>
          </cell>
        </row>
        <row r="7">
          <cell r="C7">
            <v>10.064141000000001</v>
          </cell>
        </row>
        <row r="8">
          <cell r="C8">
            <v>0.14305000000000001</v>
          </cell>
        </row>
        <row r="11">
          <cell r="C11">
            <v>0.28008738668895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86.267032</v>
          </cell>
        </row>
        <row r="7">
          <cell r="C7">
            <v>43.627000000000002</v>
          </cell>
        </row>
        <row r="8">
          <cell r="C8">
            <v>0</v>
          </cell>
        </row>
        <row r="11">
          <cell r="C11">
            <v>0.50572042399696793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45.129508000000001</v>
          </cell>
        </row>
        <row r="7">
          <cell r="C7">
            <v>9.4789999999999992</v>
          </cell>
        </row>
        <row r="8">
          <cell r="C8">
            <v>0</v>
          </cell>
        </row>
        <row r="11">
          <cell r="C11">
            <v>0.21003995877819007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2.669746</v>
          </cell>
        </row>
        <row r="7">
          <cell r="C7">
            <v>22.925000000000001</v>
          </cell>
        </row>
        <row r="8">
          <cell r="C8">
            <v>0</v>
          </cell>
        </row>
        <row r="11">
          <cell r="C11">
            <v>8.5869592088535764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22.747985</v>
          </cell>
        </row>
        <row r="7">
          <cell r="C7">
            <v>72.626000000000005</v>
          </cell>
        </row>
        <row r="8">
          <cell r="C8">
            <v>0</v>
          </cell>
        </row>
        <row r="11">
          <cell r="C11">
            <v>3.1926344245435367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23.804981000000002</v>
          </cell>
        </row>
        <row r="7">
          <cell r="C7">
            <v>93.538000000000011</v>
          </cell>
        </row>
        <row r="8">
          <cell r="C8">
            <v>0</v>
          </cell>
        </row>
        <row r="11">
          <cell r="C11">
            <v>3.9293457113030255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37.423917000000003</v>
          </cell>
        </row>
        <row r="7">
          <cell r="C7">
            <v>118</v>
          </cell>
        </row>
        <row r="8">
          <cell r="C8">
            <v>0</v>
          </cell>
        </row>
        <row r="11">
          <cell r="C11">
            <v>3.1530638548605157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5.103002</v>
          </cell>
        </row>
        <row r="7">
          <cell r="C7">
            <v>8.8069769999999998</v>
          </cell>
        </row>
        <row r="8">
          <cell r="C8">
            <v>0</v>
          </cell>
        </row>
        <row r="11">
          <cell r="C11">
            <v>1.7258423571066599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107.20751300000001</v>
          </cell>
        </row>
        <row r="7">
          <cell r="C7">
            <v>113.8</v>
          </cell>
        </row>
        <row r="8">
          <cell r="C8">
            <v>0</v>
          </cell>
        </row>
        <row r="11">
          <cell r="C11">
            <v>1.0614927705673014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9.4216630000000006</v>
          </cell>
        </row>
        <row r="7">
          <cell r="C7">
            <v>51.067</v>
          </cell>
        </row>
        <row r="8">
          <cell r="C8">
            <v>0</v>
          </cell>
        </row>
        <row r="11">
          <cell r="C11">
            <v>5.4201683927773683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18.125738500000001</v>
          </cell>
        </row>
        <row r="7">
          <cell r="C7">
            <v>23.104384133611692</v>
          </cell>
        </row>
        <row r="8">
          <cell r="C8"/>
        </row>
        <row r="11">
          <cell r="C11">
            <v>1.2746727055348224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64.307255999999995</v>
          </cell>
        </row>
        <row r="7">
          <cell r="C7">
            <v>88.039000000000001</v>
          </cell>
        </row>
        <row r="8">
          <cell r="C8">
            <v>0</v>
          </cell>
        </row>
        <row r="11">
          <cell r="C11">
            <v>1.3690368004506366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15.539434</v>
          </cell>
        </row>
        <row r="7">
          <cell r="C7">
            <v>9.6372160000000004</v>
          </cell>
        </row>
        <row r="8">
          <cell r="C8">
            <v>8.4386770000000002</v>
          </cell>
        </row>
        <row r="11">
          <cell r="C11">
            <v>7.71288709743225E-2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237.38149799999999</v>
          </cell>
        </row>
        <row r="7">
          <cell r="C7">
            <v>5.7549999999999999</v>
          </cell>
        </row>
        <row r="8">
          <cell r="C8">
            <v>0</v>
          </cell>
        </row>
        <row r="11">
          <cell r="C11">
            <v>2.42436754696021E-2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159.6909728</v>
          </cell>
        </row>
        <row r="7">
          <cell r="C7">
            <v>30.117999999999999</v>
          </cell>
        </row>
        <row r="8">
          <cell r="C8">
            <v>0</v>
          </cell>
        </row>
        <row r="11">
          <cell r="C11">
            <v>0.1886017692291245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48.599066000000001</v>
          </cell>
        </row>
        <row r="7">
          <cell r="C7">
            <v>21.986999999999998</v>
          </cell>
        </row>
        <row r="8">
          <cell r="C8">
            <v>0</v>
          </cell>
        </row>
        <row r="11">
          <cell r="C11">
            <v>0.45241610198846205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12.803006</v>
          </cell>
        </row>
        <row r="7">
          <cell r="C7">
            <v>5.5910000000000002</v>
          </cell>
        </row>
        <row r="8">
          <cell r="C8">
            <v>0</v>
          </cell>
        </row>
        <row r="11">
          <cell r="C11">
            <v>0.43669432006827147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26.281882</v>
          </cell>
        </row>
        <row r="7">
          <cell r="C7">
            <v>23.48</v>
          </cell>
        </row>
        <row r="8">
          <cell r="C8">
            <v>9.5350000000000001</v>
          </cell>
        </row>
        <row r="11">
          <cell r="C11">
            <v>0.53059366144327114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6.5115400000000001</v>
          </cell>
        </row>
        <row r="7">
          <cell r="C7">
            <v>1.082155</v>
          </cell>
        </row>
        <row r="8">
          <cell r="C8">
            <v>1.651</v>
          </cell>
        </row>
        <row r="11">
          <cell r="C11">
            <v>-8.7359518639215927E-2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27.753789000000001</v>
          </cell>
        </row>
        <row r="7">
          <cell r="C7">
            <v>18.411000000000001</v>
          </cell>
        </row>
        <row r="8">
          <cell r="C8">
            <v>0</v>
          </cell>
        </row>
        <row r="11">
          <cell r="C11">
            <v>0.66336888271363603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11.351456000000001</v>
          </cell>
        </row>
        <row r="7">
          <cell r="C7">
            <v>136.15300000000002</v>
          </cell>
        </row>
        <row r="8">
          <cell r="C8">
            <v>0</v>
          </cell>
        </row>
        <row r="11">
          <cell r="C11">
            <v>11.994320376170247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25.400473000000002</v>
          </cell>
        </row>
        <row r="7">
          <cell r="C7">
            <v>23.024000000000001</v>
          </cell>
        </row>
        <row r="8">
          <cell r="C8">
            <v>3.0870000000000002</v>
          </cell>
        </row>
        <row r="11">
          <cell r="C11">
            <v>0.78490664327392645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50.615437</v>
          </cell>
        </row>
        <row r="7">
          <cell r="C7">
            <v>6.968</v>
          </cell>
        </row>
        <row r="8">
          <cell r="C8">
            <v>0</v>
          </cell>
        </row>
        <row r="11">
          <cell r="C11">
            <v>0.13766551101791336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4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31.881979000000001</v>
          </cell>
        </row>
        <row r="7">
          <cell r="C7">
            <v>10.077</v>
          </cell>
        </row>
        <row r="8">
          <cell r="C8">
            <v>0</v>
          </cell>
        </row>
        <row r="11">
          <cell r="C11">
            <v>0.31607197282201333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9.3614899999999999</v>
          </cell>
        </row>
        <row r="7">
          <cell r="C7">
            <v>118.19</v>
          </cell>
        </row>
        <row r="8">
          <cell r="C8">
            <v>0</v>
          </cell>
        </row>
        <row r="11">
          <cell r="C11">
            <v>12.625126982990956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42.606152000000002</v>
          </cell>
        </row>
        <row r="7">
          <cell r="C7">
            <v>18.728945</v>
          </cell>
        </row>
        <row r="8">
          <cell r="C8">
            <v>0</v>
          </cell>
        </row>
        <row r="11">
          <cell r="C11">
            <v>0.43958311466381661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60.326421000000003</v>
          </cell>
        </row>
        <row r="7">
          <cell r="C7">
            <v>45.089785999999997</v>
          </cell>
        </row>
        <row r="8">
          <cell r="C8">
            <v>0</v>
          </cell>
        </row>
        <row r="11">
          <cell r="C11">
            <v>0.74743015170749139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33.992553000000001</v>
          </cell>
        </row>
        <row r="7">
          <cell r="C7">
            <v>9.6100329999999996</v>
          </cell>
        </row>
        <row r="8">
          <cell r="C8">
            <v>0</v>
          </cell>
        </row>
        <row r="11">
          <cell r="C11">
            <v>0.28270995120607739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32.449767000000001</v>
          </cell>
        </row>
        <row r="7">
          <cell r="C7">
            <v>0.36799999999999999</v>
          </cell>
        </row>
        <row r="8">
          <cell r="C8">
            <v>0</v>
          </cell>
        </row>
        <row r="11">
          <cell r="C11">
            <v>1.1340605311588215E-2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6.7819760000000002</v>
          </cell>
        </row>
        <row r="7">
          <cell r="C7">
            <v>5.5410000000000004</v>
          </cell>
        </row>
        <row r="8">
          <cell r="C8">
            <v>85.191999999999993</v>
          </cell>
        </row>
        <row r="11">
          <cell r="C11">
            <v>-11.744512218857748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12.848513000000001</v>
          </cell>
        </row>
        <row r="7">
          <cell r="C7">
            <v>9.6999999999999993</v>
          </cell>
        </row>
        <row r="8">
          <cell r="C8">
            <v>5.3739999999999997</v>
          </cell>
        </row>
        <row r="11">
          <cell r="C11">
            <v>0.33669265852009483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21.03593</v>
          </cell>
        </row>
        <row r="7">
          <cell r="C7">
            <v>13.756</v>
          </cell>
        </row>
        <row r="8">
          <cell r="C8">
            <v>0</v>
          </cell>
        </row>
        <row r="11">
          <cell r="C11">
            <v>0.65392877804784477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17.050319999999999</v>
          </cell>
        </row>
        <row r="7">
          <cell r="C7">
            <v>23.880141999999999</v>
          </cell>
        </row>
        <row r="8">
          <cell r="C8">
            <v>0</v>
          </cell>
        </row>
        <row r="11">
          <cell r="C11">
            <v>1.4005685523790756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35.927467999999998</v>
          </cell>
        </row>
        <row r="7">
          <cell r="C7">
            <v>11.167999999999999</v>
          </cell>
        </row>
        <row r="8">
          <cell r="C8">
            <v>121.502</v>
          </cell>
        </row>
        <row r="11">
          <cell r="C11">
            <v>1.8771717917677544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25.478169999999999</v>
          </cell>
        </row>
        <row r="7">
          <cell r="C7">
            <v>3.5920299999999998</v>
          </cell>
        </row>
        <row r="8">
          <cell r="C8">
            <v>0</v>
          </cell>
        </row>
        <row r="11">
          <cell r="C11">
            <v>0.14098461545707561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9.2813590000000001</v>
          </cell>
        </row>
        <row r="7">
          <cell r="C7">
            <v>5.6526959999999997</v>
          </cell>
        </row>
        <row r="8">
          <cell r="C8">
            <v>0</v>
          </cell>
        </row>
        <row r="11">
          <cell r="C11">
            <v>0.60903753426626417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17.849471000000001</v>
          </cell>
        </row>
        <row r="7">
          <cell r="C7">
            <v>6.9624920000000001</v>
          </cell>
        </row>
        <row r="8">
          <cell r="C8">
            <v>1</v>
          </cell>
        </row>
        <row r="11">
          <cell r="C11">
            <v>0.33404306491772218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9.9496090000000006</v>
          </cell>
        </row>
        <row r="7">
          <cell r="C7">
            <v>71.099999999999994</v>
          </cell>
        </row>
        <row r="8">
          <cell r="C8">
            <v>0</v>
          </cell>
        </row>
        <row r="11">
          <cell r="C11">
            <v>7.1460094562509937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14.692796</v>
          </cell>
        </row>
        <row r="7">
          <cell r="C7">
            <v>0.76100000000000001</v>
          </cell>
        </row>
        <row r="8">
          <cell r="C8">
            <v>0</v>
          </cell>
        </row>
        <row r="11">
          <cell r="C11">
            <v>5.1794090110554865E-2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34.141460000000002</v>
          </cell>
        </row>
        <row r="7">
          <cell r="C7">
            <v>18.617000000000001</v>
          </cell>
        </row>
        <row r="8">
          <cell r="C8">
            <v>0</v>
          </cell>
        </row>
        <row r="11">
          <cell r="C11">
            <v>0.54529009597129119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12.544627</v>
          </cell>
        </row>
        <row r="7">
          <cell r="C7">
            <v>67.710999999999999</v>
          </cell>
        </row>
        <row r="8">
          <cell r="C8">
            <v>0</v>
          </cell>
        </row>
        <row r="11">
          <cell r="C11">
            <v>5.3976096698610485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25.524999999999999</v>
          </cell>
        </row>
        <row r="7">
          <cell r="C7">
            <v>2.7941099999999999</v>
          </cell>
        </row>
        <row r="8">
          <cell r="C8">
            <v>0</v>
          </cell>
        </row>
        <row r="11">
          <cell r="C11">
            <v>0.10946562193927523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44.289230000000003</v>
          </cell>
        </row>
        <row r="7">
          <cell r="C7">
            <v>19.896000000000001</v>
          </cell>
        </row>
        <row r="8">
          <cell r="C8">
            <v>0</v>
          </cell>
        </row>
        <row r="11">
          <cell r="C11">
            <v>0.4492288531545931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30.407267999999998</v>
          </cell>
        </row>
        <row r="7">
          <cell r="C7">
            <v>5.7060000000000004</v>
          </cell>
        </row>
        <row r="8">
          <cell r="C8">
            <v>0</v>
          </cell>
        </row>
        <row r="11">
          <cell r="C11">
            <v>0.18765250465776803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48.307896</v>
          </cell>
        </row>
        <row r="7">
          <cell r="C7">
            <v>86.572999999999993</v>
          </cell>
        </row>
        <row r="8">
          <cell r="C8">
            <v>0</v>
          </cell>
        </row>
        <row r="11">
          <cell r="C11">
            <v>1.7921086855035042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15.119096000000001</v>
          </cell>
        </row>
        <row r="7">
          <cell r="C7">
            <v>24.938172000000002</v>
          </cell>
        </row>
        <row r="8">
          <cell r="C8">
            <v>0</v>
          </cell>
        </row>
        <row r="11">
          <cell r="C11">
            <v>1.649448617827415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31.441435999999999</v>
          </cell>
        </row>
        <row r="7">
          <cell r="C7">
            <v>36.472999999999999</v>
          </cell>
        </row>
        <row r="8">
          <cell r="C8">
            <v>0</v>
          </cell>
        </row>
        <row r="11">
          <cell r="C11">
            <v>1.1600297136555722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1.0170630000000001</v>
          </cell>
        </row>
        <row r="7">
          <cell r="C7">
            <v>115.98099999999999</v>
          </cell>
        </row>
        <row r="8">
          <cell r="C8">
            <v>0</v>
          </cell>
        </row>
        <row r="11">
          <cell r="C11">
            <v>114.03521709078001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8.1017250000000001</v>
          </cell>
        </row>
        <row r="7">
          <cell r="C7">
            <v>2.429719</v>
          </cell>
        </row>
        <row r="8">
          <cell r="C8">
            <v>5.9025999999999995E-2</v>
          </cell>
        </row>
        <row r="11">
          <cell r="C11">
            <v>0.2926158318135953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17.588986999999999</v>
          </cell>
        </row>
        <row r="7">
          <cell r="C7">
            <v>6.5273810000000001</v>
          </cell>
        </row>
        <row r="8">
          <cell r="C8">
            <v>0</v>
          </cell>
        </row>
        <row r="11">
          <cell r="C11">
            <v>0.37110613590197095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6.236828</v>
          </cell>
        </row>
        <row r="7">
          <cell r="C7">
            <v>30.381</v>
          </cell>
        </row>
        <row r="8">
          <cell r="C8">
            <v>0</v>
          </cell>
        </row>
        <row r="11">
          <cell r="C11">
            <v>4.8712262066550496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7.1311229999999997</v>
          </cell>
        </row>
        <row r="7">
          <cell r="C7">
            <v>1.379721</v>
          </cell>
        </row>
        <row r="8">
          <cell r="C8">
            <v>1.676361</v>
          </cell>
        </row>
        <row r="11">
          <cell r="C11">
            <v>-4.1597936257725468E-2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37.777104999999999</v>
          </cell>
        </row>
        <row r="7">
          <cell r="C7">
            <v>120.66399999999999</v>
          </cell>
        </row>
        <row r="8">
          <cell r="C8">
            <v>0</v>
          </cell>
        </row>
        <row r="11">
          <cell r="C11">
            <v>3.1941039420569677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8.6997870000000006</v>
          </cell>
        </row>
        <row r="7">
          <cell r="C7">
            <v>22.804424999999998</v>
          </cell>
        </row>
        <row r="8">
          <cell r="C8">
            <v>0</v>
          </cell>
        </row>
        <row r="11">
          <cell r="C11">
            <v>2.6212624515979526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43.022002000000001</v>
          </cell>
        </row>
        <row r="7">
          <cell r="C7">
            <v>0.30487399999999998</v>
          </cell>
        </row>
        <row r="8">
          <cell r="C8">
            <v>3.6044</v>
          </cell>
        </row>
        <row r="11">
          <cell r="C11">
            <v>-7.6693920473528868E-2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9.979298</v>
          </cell>
        </row>
        <row r="7">
          <cell r="C7">
            <v>26.094000000000001</v>
          </cell>
        </row>
        <row r="8">
          <cell r="C8">
            <v>0</v>
          </cell>
        </row>
        <row r="11">
          <cell r="C11">
            <v>2.6148131862581918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16.930738999999999</v>
          </cell>
        </row>
        <row r="7">
          <cell r="C7">
            <v>8.3833929999999999</v>
          </cell>
        </row>
        <row r="8">
          <cell r="C8">
            <v>0.65241099999999996</v>
          </cell>
        </row>
        <row r="11">
          <cell r="C11">
            <v>0.4566240138720466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4.5773590000000004</v>
          </cell>
        </row>
        <row r="7">
          <cell r="C7">
            <v>20.088000000000001</v>
          </cell>
        </row>
        <row r="8">
          <cell r="C8">
            <v>0</v>
          </cell>
        </row>
        <row r="11">
          <cell r="C11">
            <v>4.38855680753902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9.0153829999999999</v>
          </cell>
        </row>
        <row r="7">
          <cell r="C7">
            <v>1.2370000000000001</v>
          </cell>
        </row>
        <row r="8">
          <cell r="C8">
            <v>0</v>
          </cell>
        </row>
        <row r="11">
          <cell r="C11">
            <v>0.13720992219631714</v>
          </cell>
        </row>
        <row r="14">
          <cell r="C14" t="str">
            <v>revenue jump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42.022086999999999</v>
          </cell>
        </row>
        <row r="7">
          <cell r="C7">
            <v>8.1134149999999998</v>
          </cell>
        </row>
        <row r="8">
          <cell r="C8">
            <v>0</v>
          </cell>
        </row>
        <row r="11">
          <cell r="C11">
            <v>0.19307501314725278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4.7646959999999998</v>
          </cell>
        </row>
        <row r="7">
          <cell r="C7">
            <v>9.0237999999999999E-2</v>
          </cell>
        </row>
        <row r="8">
          <cell r="C8">
            <v>0</v>
          </cell>
        </row>
        <row r="11">
          <cell r="C11">
            <v>1.8938878786810324E-2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103.38400799999999</v>
          </cell>
        </row>
        <row r="7">
          <cell r="C7">
            <v>0.35400000000000004</v>
          </cell>
        </row>
        <row r="8">
          <cell r="C8">
            <v>1.0820000000000001</v>
          </cell>
        </row>
        <row r="11">
          <cell r="C11">
            <v>-7.0417080367013822E-3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22.189738999999999</v>
          </cell>
        </row>
        <row r="7">
          <cell r="C7">
            <v>2.1080000000000001</v>
          </cell>
        </row>
        <row r="8">
          <cell r="C8">
            <v>7.3879999999999999</v>
          </cell>
        </row>
        <row r="11">
          <cell r="C11">
            <v>-0.23794781903473491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9.9412610000000008</v>
          </cell>
        </row>
        <row r="7">
          <cell r="C7">
            <v>15.593999999999999</v>
          </cell>
        </row>
        <row r="8">
          <cell r="C8">
            <v>0</v>
          </cell>
        </row>
        <row r="11">
          <cell r="C11">
            <v>1.5686138810760524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9.6410309999999999</v>
          </cell>
        </row>
        <row r="7">
          <cell r="C7">
            <v>10.3</v>
          </cell>
        </row>
        <row r="8">
          <cell r="C8">
            <v>0</v>
          </cell>
        </row>
        <row r="11">
          <cell r="C11">
            <v>1.068350469986042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36.271118999999999</v>
          </cell>
        </row>
        <row r="7">
          <cell r="C7">
            <v>3.1552720000000001</v>
          </cell>
        </row>
        <row r="8">
          <cell r="C8">
            <v>0.12</v>
          </cell>
        </row>
        <row r="11">
          <cell r="C11">
            <v>8.3682888305706804E-2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26.654364999999999</v>
          </cell>
        </row>
        <row r="7">
          <cell r="C7">
            <v>9.4364000000000003E-2</v>
          </cell>
        </row>
        <row r="8">
          <cell r="C8">
            <v>5.9462000000000001E-2</v>
          </cell>
        </row>
        <row r="11">
          <cell r="C11">
            <v>1.3094290559913923E-3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8.4930000000000003</v>
          </cell>
        </row>
        <row r="7">
          <cell r="C7">
            <v>0.56599999999999995</v>
          </cell>
        </row>
        <row r="8">
          <cell r="C8">
            <v>80.805999999999997</v>
          </cell>
        </row>
        <row r="11">
          <cell r="C11">
            <v>-9.4477805251383487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20.234992999999999</v>
          </cell>
        </row>
        <row r="7">
          <cell r="C7">
            <v>0.57732799999999995</v>
          </cell>
        </row>
        <row r="8">
          <cell r="C8">
            <v>0.47584399999999999</v>
          </cell>
        </row>
        <row r="11">
          <cell r="C11">
            <v>5.0152723057527108E-3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8.3402151199999999</v>
          </cell>
        </row>
        <row r="7">
          <cell r="C7">
            <v>23.234000000000002</v>
          </cell>
        </row>
        <row r="8">
          <cell r="C8">
            <v>5.5370000000000008</v>
          </cell>
        </row>
        <row r="11">
          <cell r="C11">
            <v>2.1218877145701254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41.119819999999997</v>
          </cell>
        </row>
        <row r="7">
          <cell r="C7">
            <v>6.5289999999999999</v>
          </cell>
        </row>
        <row r="8">
          <cell r="C8">
            <v>0</v>
          </cell>
        </row>
        <row r="11">
          <cell r="C11">
            <v>0.15877987792748122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91.879176999999999</v>
          </cell>
        </row>
        <row r="7">
          <cell r="C7">
            <v>42.990371000000003</v>
          </cell>
        </row>
        <row r="8">
          <cell r="C8">
            <v>0</v>
          </cell>
        </row>
        <row r="11">
          <cell r="C11">
            <v>0.4679011328105388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11.574362000000001</v>
          </cell>
        </row>
        <row r="7">
          <cell r="C7">
            <v>9.1890000000000001</v>
          </cell>
        </row>
        <row r="8">
          <cell r="C8">
            <v>0</v>
          </cell>
        </row>
        <row r="11">
          <cell r="C11">
            <v>0.79390985006344195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4.0491239999999999</v>
          </cell>
        </row>
        <row r="7">
          <cell r="C7">
            <v>91.317999999999998</v>
          </cell>
        </row>
        <row r="8">
          <cell r="C8">
            <v>0</v>
          </cell>
        </row>
        <row r="11">
          <cell r="C11">
            <v>22.552532350207105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10.866707999999999</v>
          </cell>
        </row>
        <row r="7">
          <cell r="C7">
            <v>26.308</v>
          </cell>
        </row>
        <row r="8">
          <cell r="C8">
            <v>17.032</v>
          </cell>
        </row>
        <row r="11">
          <cell r="C11">
            <v>2.897737167774276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19.263200000000001</v>
          </cell>
        </row>
        <row r="7">
          <cell r="C7">
            <v>2.169</v>
          </cell>
        </row>
        <row r="8">
          <cell r="C8">
            <v>0</v>
          </cell>
        </row>
        <row r="11">
          <cell r="C11">
            <v>0.11259811453964035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43.497864</v>
          </cell>
        </row>
        <row r="7">
          <cell r="C7">
            <v>0.1</v>
          </cell>
        </row>
        <row r="8">
          <cell r="C8">
            <v>0</v>
          </cell>
        </row>
        <row r="11">
          <cell r="C11">
            <v>2.2989634617460756E-3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5.1683000000000003</v>
          </cell>
        </row>
        <row r="7">
          <cell r="C7">
            <v>3.7879999999999998</v>
          </cell>
        </row>
        <row r="8">
          <cell r="C8">
            <v>15.559000000000001</v>
          </cell>
        </row>
        <row r="11">
          <cell r="C11">
            <v>-2.2775380686105682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5.4113340000000001</v>
          </cell>
        </row>
        <row r="7">
          <cell r="C7">
            <v>19.865531000000001</v>
          </cell>
        </row>
        <row r="8">
          <cell r="C8">
            <v>0</v>
          </cell>
        </row>
        <row r="11">
          <cell r="C11">
            <v>3.6710968127267694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16.673127000000001</v>
          </cell>
        </row>
        <row r="7">
          <cell r="C7">
            <v>11.331023</v>
          </cell>
        </row>
        <row r="8">
          <cell r="C8">
            <v>0</v>
          </cell>
        </row>
        <row r="11">
          <cell r="C11">
            <v>0.67959795424097713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98.087424999999996</v>
          </cell>
        </row>
        <row r="7">
          <cell r="C7">
            <v>57.418000000000006</v>
          </cell>
        </row>
        <row r="8">
          <cell r="C8">
            <v>0</v>
          </cell>
        </row>
        <row r="11">
          <cell r="C11">
            <v>0.58537575025544819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1.9469816191625</v>
          </cell>
        </row>
        <row r="7">
          <cell r="C7">
            <v>7.694</v>
          </cell>
        </row>
        <row r="8">
          <cell r="C8">
            <v>0.69299999999999995</v>
          </cell>
        </row>
        <row r="11">
          <cell r="C11">
            <v>3.595822339099175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33.274560999999999</v>
          </cell>
        </row>
        <row r="7">
          <cell r="C7">
            <v>7.3140000000000001</v>
          </cell>
        </row>
        <row r="8">
          <cell r="C8">
            <v>0.4</v>
          </cell>
        </row>
        <row r="11">
          <cell r="C11">
            <v>0.20778636268108841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23.697683000000001</v>
          </cell>
        </row>
        <row r="7">
          <cell r="C7">
            <v>2.6259999999999999</v>
          </cell>
        </row>
        <row r="8">
          <cell r="C8">
            <v>0</v>
          </cell>
        </row>
        <row r="11">
          <cell r="C11">
            <v>0.11081252120724207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23.432182999999998</v>
          </cell>
        </row>
        <row r="7">
          <cell r="C7">
            <v>31.677263264502333</v>
          </cell>
        </row>
        <row r="8">
          <cell r="C8">
            <v>8.5556743374781963</v>
          </cell>
        </row>
        <row r="11">
          <cell r="C11">
            <v>0.98674497920335191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67.779255000000006</v>
          </cell>
        </row>
        <row r="7">
          <cell r="C7">
            <v>100.15600000000001</v>
          </cell>
        </row>
        <row r="8">
          <cell r="C8">
            <v>32.778999999999996</v>
          </cell>
        </row>
        <row r="11">
          <cell r="C11">
            <v>0.99406521951296167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36.438702999999997</v>
          </cell>
        </row>
        <row r="7">
          <cell r="C7">
            <v>4.8</v>
          </cell>
        </row>
        <row r="8">
          <cell r="C8">
            <v>0</v>
          </cell>
        </row>
        <row r="11">
          <cell r="C11">
            <v>0.13172806946504106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1.608266</v>
          </cell>
        </row>
        <row r="7">
          <cell r="C7">
            <v>1.306</v>
          </cell>
        </row>
        <row r="8">
          <cell r="C8">
            <v>0</v>
          </cell>
        </row>
        <row r="11">
          <cell r="C11">
            <v>0.81205472229096431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24.014202000000001</v>
          </cell>
        </row>
        <row r="7">
          <cell r="C7">
            <v>4.4258410000000001</v>
          </cell>
        </row>
        <row r="8">
          <cell r="C8">
            <v>0</v>
          </cell>
        </row>
        <row r="11">
          <cell r="C11">
            <v>0.18430098156082805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15.910724</v>
          </cell>
        </row>
        <row r="7">
          <cell r="C7">
            <v>16.981999999999999</v>
          </cell>
        </row>
        <row r="8">
          <cell r="C8">
            <v>22.285999999999998</v>
          </cell>
        </row>
        <row r="11">
          <cell r="C11">
            <v>-0.33336006582729977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33.414448</v>
          </cell>
        </row>
        <row r="7">
          <cell r="C7">
            <v>45.663781999999998</v>
          </cell>
        </row>
        <row r="8">
          <cell r="C8">
            <v>0</v>
          </cell>
        </row>
        <row r="11">
          <cell r="C11">
            <v>1.3665879502184204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15.138782000000001</v>
          </cell>
        </row>
        <row r="7">
          <cell r="C7">
            <v>4.117</v>
          </cell>
        </row>
        <row r="8">
          <cell r="C8">
            <v>0</v>
          </cell>
        </row>
        <row r="11">
          <cell r="C11">
            <v>0.27195054397374901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8.2442530000000005</v>
          </cell>
        </row>
        <row r="7">
          <cell r="C7">
            <v>23.266608999999999</v>
          </cell>
        </row>
        <row r="8">
          <cell r="C8">
            <v>0</v>
          </cell>
        </row>
        <row r="11">
          <cell r="C11">
            <v>2.8221609647350703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4.7975050000000001</v>
          </cell>
        </row>
        <row r="7">
          <cell r="C7">
            <v>2.2010000000000001</v>
          </cell>
        </row>
        <row r="8">
          <cell r="C8">
            <v>0.35499999999999998</v>
          </cell>
        </row>
        <row r="11">
          <cell r="C11">
            <v>0.38478334050720114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13.338943</v>
          </cell>
        </row>
        <row r="7">
          <cell r="C7">
            <v>15.765000000000001</v>
          </cell>
        </row>
        <row r="8">
          <cell r="C8">
            <v>0</v>
          </cell>
        </row>
        <row r="11">
          <cell r="C11">
            <v>1.1818777544817456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24.897580999999999</v>
          </cell>
        </row>
        <row r="7">
          <cell r="C7">
            <v>7.8919110000000003</v>
          </cell>
        </row>
        <row r="8">
          <cell r="C8">
            <v>0</v>
          </cell>
        </row>
        <row r="11">
          <cell r="C11">
            <v>0.31697501054419708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7.0185279999999999</v>
          </cell>
        </row>
        <row r="7">
          <cell r="C7">
            <v>7.8875099999999998</v>
          </cell>
        </row>
        <row r="8">
          <cell r="C8">
            <v>0</v>
          </cell>
        </row>
        <row r="11">
          <cell r="C11">
            <v>1.1238125715249694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7.5896249999999998</v>
          </cell>
        </row>
        <row r="7">
          <cell r="C7">
            <v>8.5869999999999997</v>
          </cell>
        </row>
        <row r="8">
          <cell r="C8">
            <v>0</v>
          </cell>
        </row>
        <row r="11">
          <cell r="C11">
            <v>1.1314129485975921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27.452570000000001</v>
          </cell>
        </row>
        <row r="7">
          <cell r="C7">
            <v>17.007522999999999</v>
          </cell>
        </row>
        <row r="8">
          <cell r="C8"/>
        </row>
        <row r="11">
          <cell r="C11">
            <v>0.61952389157007881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4.5950680000000004</v>
          </cell>
        </row>
        <row r="7">
          <cell r="C7">
            <v>4.1980000000000004</v>
          </cell>
        </row>
        <row r="8">
          <cell r="C8">
            <v>0</v>
          </cell>
        </row>
        <row r="11">
          <cell r="C11">
            <v>0.91358822111011195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14.852359</v>
          </cell>
        </row>
        <row r="7">
          <cell r="C7">
            <v>4.6589999999999998</v>
          </cell>
        </row>
        <row r="8">
          <cell r="C8">
            <v>4.62</v>
          </cell>
        </row>
        <row r="11">
          <cell r="C11">
            <v>2.6258454970015002E-3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49.88279</v>
          </cell>
        </row>
        <row r="7">
          <cell r="C7">
            <v>3.431</v>
          </cell>
        </row>
        <row r="8">
          <cell r="C8">
            <v>1.7549999999999999</v>
          </cell>
        </row>
        <row r="11">
          <cell r="C11">
            <v>3.3598762218392357E-2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1.4025570000000001</v>
          </cell>
        </row>
        <row r="7">
          <cell r="C7">
            <v>12.167135999999999</v>
          </cell>
        </row>
        <row r="8">
          <cell r="C8">
            <v>0</v>
          </cell>
        </row>
        <row r="11">
          <cell r="C11">
            <v>8.6749672205835484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1.6188374679999999</v>
          </cell>
        </row>
        <row r="7">
          <cell r="C7">
            <v>48.336812804453714</v>
          </cell>
        </row>
        <row r="8">
          <cell r="C8">
            <v>6.889352818371608E-2</v>
          </cell>
        </row>
        <row r="11">
          <cell r="C11">
            <v>29.816408521791146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19.456793999999999</v>
          </cell>
        </row>
        <row r="7">
          <cell r="C7">
            <v>0.67670399999999997</v>
          </cell>
        </row>
        <row r="8">
          <cell r="C8">
            <v>0.19684199999999999</v>
          </cell>
        </row>
        <row r="11">
          <cell r="C11">
            <v>2.4662953208015672E-2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1.780939</v>
          </cell>
        </row>
        <row r="7">
          <cell r="C7">
            <v>7.4920140000000002</v>
          </cell>
        </row>
        <row r="8">
          <cell r="C8">
            <v>0</v>
          </cell>
        </row>
        <row r="11">
          <cell r="C11">
            <v>4.2067774359481147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3.2178100000000001</v>
          </cell>
        </row>
        <row r="7">
          <cell r="C7">
            <v>24.155000000000001</v>
          </cell>
        </row>
        <row r="8">
          <cell r="C8">
            <v>0</v>
          </cell>
        </row>
        <row r="11">
          <cell r="C11">
            <v>7.5066582551486887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15.289502000000001</v>
          </cell>
        </row>
        <row r="7">
          <cell r="C7">
            <v>12.617594</v>
          </cell>
        </row>
        <row r="8">
          <cell r="C8">
            <v>0</v>
          </cell>
        </row>
        <row r="11">
          <cell r="C11">
            <v>0.82524558353829969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12.344735999999999</v>
          </cell>
        </row>
        <row r="7">
          <cell r="C7">
            <v>8.8510000000000009</v>
          </cell>
        </row>
        <row r="8">
          <cell r="C8">
            <v>27.431000000000001</v>
          </cell>
        </row>
        <row r="11">
          <cell r="C11">
            <v>-1.5050949651738197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9.8583829999999999</v>
          </cell>
        </row>
        <row r="7">
          <cell r="C7">
            <v>17.956</v>
          </cell>
        </row>
        <row r="8">
          <cell r="C8">
            <v>0</v>
          </cell>
        </row>
        <row r="11">
          <cell r="C11">
            <v>1.8213940359184666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3.2648790000000001</v>
          </cell>
        </row>
        <row r="7">
          <cell r="C7">
            <v>9.5289999999999999</v>
          </cell>
        </row>
        <row r="8">
          <cell r="C8">
            <v>0</v>
          </cell>
        </row>
        <row r="11">
          <cell r="C11">
            <v>2.9186380260953007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9.4521080000000008</v>
          </cell>
        </row>
        <row r="7">
          <cell r="C7">
            <v>33.993982000000003</v>
          </cell>
        </row>
        <row r="8">
          <cell r="C8">
            <v>0</v>
          </cell>
        </row>
        <row r="11">
          <cell r="C11">
            <v>3.596444517984771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4.4243870000000003</v>
          </cell>
        </row>
        <row r="7">
          <cell r="C7">
            <v>16.838526999999999</v>
          </cell>
        </row>
        <row r="8">
          <cell r="C8">
            <v>0</v>
          </cell>
        </row>
        <row r="11">
          <cell r="C11">
            <v>3.8058440638217221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51.364519999999999</v>
          </cell>
        </row>
        <row r="7">
          <cell r="C7">
            <v>29.135000000000002</v>
          </cell>
        </row>
        <row r="8">
          <cell r="C8">
            <v>76.197000000000003</v>
          </cell>
        </row>
        <row r="11">
          <cell r="C11">
            <v>2.2908834556993281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3.8877290000000002</v>
          </cell>
        </row>
        <row r="7">
          <cell r="C7">
            <v>2.3644370000000001</v>
          </cell>
        </row>
        <row r="8">
          <cell r="C8">
            <v>1.300549</v>
          </cell>
        </row>
        <row r="11">
          <cell r="C11">
            <v>0.27365281890790233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11.828435000000001</v>
          </cell>
        </row>
        <row r="7">
          <cell r="C7">
            <v>1.6377423389618515</v>
          </cell>
        </row>
        <row r="8">
          <cell r="C8">
            <v>0.32051282051282054</v>
          </cell>
        </row>
        <row r="11">
          <cell r="C11">
            <v>0.11136126786417908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11.61725</v>
          </cell>
        </row>
        <row r="7">
          <cell r="C7">
            <v>12.996</v>
          </cell>
        </row>
        <row r="8">
          <cell r="C8">
            <v>0</v>
          </cell>
        </row>
        <row r="11">
          <cell r="C11">
            <v>1.1186812713852246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15.979411000000001</v>
          </cell>
        </row>
        <row r="7">
          <cell r="C7">
            <v>0.77900000000000003</v>
          </cell>
        </row>
        <row r="8">
          <cell r="C8">
            <v>0</v>
          </cell>
        </row>
        <row r="11">
          <cell r="C11">
            <v>4.8750232408441084E-2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2.2932769999999998</v>
          </cell>
        </row>
        <row r="7">
          <cell r="C7">
            <v>7.149985</v>
          </cell>
        </row>
        <row r="8">
          <cell r="C8">
            <v>0</v>
          </cell>
        </row>
        <row r="11">
          <cell r="C11">
            <v>3.1178026029999866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45.892668</v>
          </cell>
        </row>
        <row r="7">
          <cell r="C7">
            <v>11.337</v>
          </cell>
        </row>
        <row r="8">
          <cell r="C8">
            <v>1.6540000000000001</v>
          </cell>
        </row>
        <row r="11">
          <cell r="C11">
            <v>0.21099230927258358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9.0109370000000002</v>
          </cell>
        </row>
        <row r="7">
          <cell r="C7">
            <v>10.443</v>
          </cell>
        </row>
        <row r="8">
          <cell r="C8">
            <v>0</v>
          </cell>
        </row>
        <row r="11">
          <cell r="C11">
            <v>1.1589249819413896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7.1922664999999997</v>
          </cell>
        </row>
        <row r="7">
          <cell r="C7">
            <v>10.4</v>
          </cell>
        </row>
        <row r="8">
          <cell r="C8">
            <v>0</v>
          </cell>
        </row>
        <row r="11">
          <cell r="C11">
            <v>1.4459975864353749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2.6258900000000001</v>
          </cell>
        </row>
        <row r="7">
          <cell r="C7">
            <v>28.712</v>
          </cell>
        </row>
        <row r="8">
          <cell r="C8">
            <v>0</v>
          </cell>
        </row>
        <row r="11">
          <cell r="C11">
            <v>10.934197548259828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5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6.588101</v>
          </cell>
        </row>
        <row r="7">
          <cell r="C7">
            <v>12.634</v>
          </cell>
        </row>
        <row r="8">
          <cell r="C8">
            <v>0</v>
          </cell>
        </row>
        <row r="11">
          <cell r="C11">
            <v>1.9176998045415516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44.376911</v>
          </cell>
        </row>
        <row r="7">
          <cell r="C7">
            <v>31.73</v>
          </cell>
        </row>
        <row r="8">
          <cell r="C8">
            <v>0</v>
          </cell>
        </row>
        <row r="11">
          <cell r="C11">
            <v>0.71501146170358731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  <sheetName val="Assumptions"/>
      <sheetName val="NPV"/>
    </sheetNames>
    <sheetDataSet>
      <sheetData sheetId="0">
        <row r="4">
          <cell r="C4">
            <v>22.681460000000001</v>
          </cell>
        </row>
        <row r="7">
          <cell r="C7">
            <v>65.10499999999999</v>
          </cell>
        </row>
        <row r="8">
          <cell r="C8">
            <v>125.354</v>
          </cell>
        </row>
        <row r="11">
          <cell r="C11">
            <v>-6.0457855966577529</v>
          </cell>
        </row>
        <row r="14">
          <cell r="C14" t="str">
            <v>Base</v>
          </cell>
        </row>
        <row r="15">
          <cell r="C15" t="str">
            <v>DCF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6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12.784146</v>
          </cell>
        </row>
        <row r="7">
          <cell r="C7">
            <v>7.3612549999999999</v>
          </cell>
        </row>
        <row r="8">
          <cell r="C8">
            <v>0</v>
          </cell>
        </row>
        <row r="11">
          <cell r="C11">
            <v>0.57581124308186094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7.5426380000000002</v>
          </cell>
        </row>
        <row r="7">
          <cell r="C7">
            <v>8.9773700000000005</v>
          </cell>
        </row>
        <row r="8">
          <cell r="C8">
            <v>0</v>
          </cell>
        </row>
        <row r="11">
          <cell r="C11">
            <v>1.1902162081754422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5.8948119999999999</v>
          </cell>
        </row>
        <row r="7">
          <cell r="C7">
            <v>1.9257114610550103</v>
          </cell>
        </row>
        <row r="8">
          <cell r="C8">
            <v>10.782430619306547</v>
          </cell>
        </row>
        <row r="11">
          <cell r="C11">
            <v>-1.5024599865528427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1.926345</v>
          </cell>
        </row>
        <row r="7">
          <cell r="C7">
            <v>18.100000000000001</v>
          </cell>
        </row>
        <row r="8">
          <cell r="C8">
            <v>0</v>
          </cell>
        </row>
        <row r="11">
          <cell r="C11">
            <v>9.3960323825690626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5.1793779999999998</v>
          </cell>
        </row>
        <row r="7">
          <cell r="C7">
            <v>7.3780000000000001</v>
          </cell>
        </row>
        <row r="8">
          <cell r="C8">
            <v>1.1970000000000001</v>
          </cell>
        </row>
        <row r="11">
          <cell r="C11">
            <v>1.193386541781658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8.0712020249999998</v>
          </cell>
        </row>
        <row r="7">
          <cell r="C7">
            <v>4.3966597077244254</v>
          </cell>
        </row>
        <row r="8">
          <cell r="C8"/>
        </row>
        <row r="11">
          <cell r="C11">
            <v>0.54473419127734268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21.765478999999999</v>
          </cell>
        </row>
        <row r="7">
          <cell r="C7">
            <v>9.8111409999999992</v>
          </cell>
        </row>
        <row r="8">
          <cell r="C8">
            <v>0</v>
          </cell>
        </row>
        <row r="11">
          <cell r="C11">
            <v>0.45076614210971416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12.591136000000001</v>
          </cell>
        </row>
        <row r="7">
          <cell r="C7">
            <v>41.233428000000004</v>
          </cell>
        </row>
        <row r="8">
          <cell r="C8">
            <v>0</v>
          </cell>
        </row>
        <row r="11">
          <cell r="C11">
            <v>3.2747980801732268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5.493735</v>
          </cell>
        </row>
        <row r="7">
          <cell r="C7">
            <v>2.234083</v>
          </cell>
        </row>
        <row r="8">
          <cell r="C8">
            <v>0</v>
          </cell>
        </row>
        <row r="11">
          <cell r="C11">
            <v>0.40666013195030337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6.5459949999999996</v>
          </cell>
        </row>
        <row r="7">
          <cell r="C7">
            <v>1.7170000000000001</v>
          </cell>
        </row>
        <row r="8">
          <cell r="C8">
            <v>0</v>
          </cell>
        </row>
        <row r="11">
          <cell r="C11">
            <v>0.26229778666192077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1.461449</v>
          </cell>
        </row>
        <row r="7">
          <cell r="C7">
            <v>19.984999999999999</v>
          </cell>
        </row>
        <row r="8">
          <cell r="C8">
            <v>0</v>
          </cell>
        </row>
        <row r="11">
          <cell r="C11">
            <v>13.674784409171993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31.144753999999999</v>
          </cell>
        </row>
        <row r="7">
          <cell r="C7">
            <v>6.4630000000000001</v>
          </cell>
        </row>
        <row r="8">
          <cell r="C8">
            <v>3.9929999999999999</v>
          </cell>
        </row>
        <row r="11">
          <cell r="C11">
            <v>7.9307096148519912E-2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2.5404800000000001</v>
          </cell>
        </row>
        <row r="7">
          <cell r="C7">
            <v>0.124</v>
          </cell>
        </row>
        <row r="8">
          <cell r="C8">
            <v>0</v>
          </cell>
        </row>
        <row r="11">
          <cell r="C11">
            <v>4.8809673762438589E-2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6.6581929999999998</v>
          </cell>
        </row>
        <row r="7">
          <cell r="C7">
            <v>3.5150000000000001</v>
          </cell>
        </row>
        <row r="8">
          <cell r="C8">
            <v>0.124</v>
          </cell>
        </row>
        <row r="11">
          <cell r="C11">
            <v>0.50929734238704105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4.825723</v>
          </cell>
        </row>
        <row r="7">
          <cell r="C7">
            <v>7.5914440000000001</v>
          </cell>
        </row>
        <row r="8">
          <cell r="C8">
            <v>0</v>
          </cell>
        </row>
        <row r="11">
          <cell r="C11">
            <v>1.5731205458746804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15.368277000000001</v>
          </cell>
        </row>
        <row r="7">
          <cell r="C7">
            <v>5.016</v>
          </cell>
        </row>
        <row r="8">
          <cell r="C8">
            <v>0</v>
          </cell>
        </row>
        <row r="11">
          <cell r="C11">
            <v>0.32638662095952592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4.4758839999999998</v>
          </cell>
        </row>
        <row r="7">
          <cell r="C7">
            <v>8.2962959999999999</v>
          </cell>
        </row>
        <row r="8">
          <cell r="C8">
            <v>0</v>
          </cell>
        </row>
        <row r="11">
          <cell r="C11">
            <v>1.8535547391308622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6.6227939999999998</v>
          </cell>
        </row>
        <row r="7">
          <cell r="C7">
            <v>3.79</v>
          </cell>
        </row>
        <row r="8">
          <cell r="C8">
            <v>0</v>
          </cell>
        </row>
        <row r="11">
          <cell r="C11">
            <v>0.57226602548712824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1.509118</v>
          </cell>
        </row>
        <row r="7">
          <cell r="C7">
            <v>0.27837099999999998</v>
          </cell>
        </row>
        <row r="8">
          <cell r="C8">
            <v>13.907026</v>
          </cell>
        </row>
        <row r="11">
          <cell r="C11">
            <v>-9.0308743252681367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26.723870000000002</v>
          </cell>
        </row>
        <row r="7">
          <cell r="C7">
            <v>0.57199999999999995</v>
          </cell>
        </row>
        <row r="8">
          <cell r="C8">
            <v>1.7109999999999999</v>
          </cell>
        </row>
        <row r="11">
          <cell r="C11">
            <v>-4.2621072471913678E-2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5.2699210000000001</v>
          </cell>
        </row>
        <row r="7">
          <cell r="C7">
            <v>10.656385999999999</v>
          </cell>
        </row>
        <row r="8">
          <cell r="C8">
            <v>0</v>
          </cell>
        </row>
        <row r="11">
          <cell r="C11">
            <v>2.0221149425200111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5.6114030000000001</v>
          </cell>
        </row>
        <row r="7">
          <cell r="C7">
            <v>6.9</v>
          </cell>
        </row>
        <row r="8">
          <cell r="C8">
            <v>1.5</v>
          </cell>
        </row>
        <row r="11">
          <cell r="C11">
            <v>0.96232617760656292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5.1472040000000003</v>
          </cell>
        </row>
        <row r="7">
          <cell r="C7">
            <v>1.8892910000000001</v>
          </cell>
        </row>
        <row r="8">
          <cell r="C8">
            <v>0</v>
          </cell>
        </row>
        <row r="11">
          <cell r="C11">
            <v>0.36705189846759523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0.97386899999999998</v>
          </cell>
        </row>
        <row r="7">
          <cell r="C7">
            <v>7.2619999999999996</v>
          </cell>
        </row>
        <row r="8">
          <cell r="C8">
            <v>0</v>
          </cell>
        </row>
        <row r="11">
          <cell r="C11">
            <v>7.456855080098042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4.7884250000000002</v>
          </cell>
        </row>
        <row r="7">
          <cell r="C7">
            <v>5.3380000000000001</v>
          </cell>
        </row>
        <row r="8">
          <cell r="C8">
            <v>0.14000000000000001</v>
          </cell>
        </row>
        <row r="11">
          <cell r="C11">
            <v>1.0855343876117931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3.652285</v>
          </cell>
        </row>
        <row r="7">
          <cell r="C7">
            <v>2.1680000000000001</v>
          </cell>
        </row>
        <row r="8">
          <cell r="C8">
            <v>0</v>
          </cell>
        </row>
        <row r="11">
          <cell r="C11">
            <v>0.5936009922555332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30.442139000000001</v>
          </cell>
        </row>
        <row r="7">
          <cell r="C7">
            <v>9.9640000000000004</v>
          </cell>
        </row>
        <row r="8">
          <cell r="C8">
            <v>3.621</v>
          </cell>
        </row>
        <row r="11">
          <cell r="C11">
            <v>0.20836249384446998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6.5925570000000002</v>
          </cell>
        </row>
        <row r="7">
          <cell r="C7">
            <v>8.7141149999999996</v>
          </cell>
        </row>
        <row r="8">
          <cell r="C8">
            <v>0</v>
          </cell>
        </row>
        <row r="11">
          <cell r="C11">
            <v>1.3218110969688999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10.711059000000001</v>
          </cell>
        </row>
        <row r="7">
          <cell r="C7">
            <v>0.24008350730688932</v>
          </cell>
        </row>
        <row r="8">
          <cell r="C8">
            <v>2.9352818371607516</v>
          </cell>
        </row>
        <row r="11">
          <cell r="C11">
            <v>-0.2516276242950265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2.7933859999999999</v>
          </cell>
        </row>
        <row r="7">
          <cell r="C7">
            <v>0.196325</v>
          </cell>
        </row>
        <row r="8">
          <cell r="C8">
            <v>0</v>
          </cell>
        </row>
        <row r="11">
          <cell r="C11">
            <v>7.0282087760159179E-2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2.343181</v>
          </cell>
        </row>
        <row r="7">
          <cell r="C7">
            <v>6.4717659999999997</v>
          </cell>
        </row>
        <row r="8">
          <cell r="C8">
            <v>0</v>
          </cell>
        </row>
        <row r="11">
          <cell r="C11">
            <v>2.7619573562605706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8.189838</v>
          </cell>
        </row>
        <row r="7">
          <cell r="C7">
            <v>10.987394</v>
          </cell>
        </row>
        <row r="8">
          <cell r="C8">
            <v>0</v>
          </cell>
        </row>
        <row r="11">
          <cell r="C11">
            <v>1.3415886858812103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60.603741999999997</v>
          </cell>
        </row>
        <row r="7">
          <cell r="C7">
            <v>6.7278099999999998</v>
          </cell>
        </row>
        <row r="8">
          <cell r="C8">
            <v>0</v>
          </cell>
        </row>
        <row r="11">
          <cell r="C11">
            <v>0.11101311202862688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4.1619709894000003</v>
          </cell>
        </row>
        <row r="7">
          <cell r="C7">
            <v>32.339409780101086</v>
          </cell>
        </row>
        <row r="8">
          <cell r="C8"/>
        </row>
        <row r="11">
          <cell r="C11">
            <v>7.7702150885879222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11.205045</v>
          </cell>
        </row>
        <row r="7">
          <cell r="C7">
            <v>2.1183390000000002</v>
          </cell>
        </row>
        <row r="8">
          <cell r="C8">
            <v>7.3210000000000003E-3</v>
          </cell>
        </row>
        <row r="11">
          <cell r="C11">
            <v>0.18839888639447677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3.5675919999999999</v>
          </cell>
        </row>
        <row r="7">
          <cell r="C7">
            <v>2.3881350000000001</v>
          </cell>
        </row>
        <row r="8">
          <cell r="C8">
            <v>0</v>
          </cell>
        </row>
        <row r="11">
          <cell r="C11">
            <v>0.66939689291824855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10.735649</v>
          </cell>
        </row>
        <row r="7">
          <cell r="C7">
            <v>17.838452999999998</v>
          </cell>
        </row>
        <row r="8">
          <cell r="C8">
            <v>0</v>
          </cell>
        </row>
        <row r="11">
          <cell r="C11">
            <v>1.6616091863659102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19.339786</v>
          </cell>
        </row>
        <row r="7">
          <cell r="C7">
            <v>7.2290000000000001</v>
          </cell>
        </row>
        <row r="8">
          <cell r="C8">
            <v>0</v>
          </cell>
        </row>
        <row r="11">
          <cell r="C11">
            <v>0.37378903778976663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1.6324110000000001</v>
          </cell>
        </row>
        <row r="7">
          <cell r="C7">
            <v>5.0279999999999996</v>
          </cell>
        </row>
        <row r="8">
          <cell r="C8">
            <v>0</v>
          </cell>
        </row>
        <row r="11">
          <cell r="C11">
            <v>3.0801066643143176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5.4235420000000003</v>
          </cell>
        </row>
        <row r="7">
          <cell r="C7">
            <v>5.0999999999999996</v>
          </cell>
        </row>
        <row r="8">
          <cell r="C8">
            <v>0.17599999999999999</v>
          </cell>
        </row>
        <row r="11">
          <cell r="C11">
            <v>0.90789377126608395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4.0221429999999998</v>
          </cell>
        </row>
        <row r="7">
          <cell r="C7">
            <v>4.4127640000000001</v>
          </cell>
        </row>
        <row r="8">
          <cell r="C8">
            <v>0</v>
          </cell>
        </row>
        <row r="11">
          <cell r="C11">
            <v>1.0971176310737834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8.7181929999999994</v>
          </cell>
        </row>
        <row r="7">
          <cell r="C7">
            <v>12.956</v>
          </cell>
        </row>
        <row r="8">
          <cell r="C8">
            <v>0</v>
          </cell>
        </row>
        <row r="11">
          <cell r="C11">
            <v>1.4860877707112012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1.8019700000000001</v>
          </cell>
        </row>
        <row r="7">
          <cell r="C7">
            <v>9.7970000000000006</v>
          </cell>
        </row>
        <row r="8">
          <cell r="C8">
            <v>0</v>
          </cell>
        </row>
        <row r="11">
          <cell r="C11">
            <v>5.4368274721554748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3.516988</v>
          </cell>
        </row>
        <row r="7">
          <cell r="C7">
            <v>1.0226059999999999</v>
          </cell>
        </row>
        <row r="8">
          <cell r="C8">
            <v>0.15003</v>
          </cell>
        </row>
        <row r="11">
          <cell r="C11">
            <v>0.24810320649373838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2.186115</v>
          </cell>
        </row>
        <row r="7">
          <cell r="C7">
            <v>10.946999999999999</v>
          </cell>
        </row>
        <row r="8">
          <cell r="C8">
            <v>0</v>
          </cell>
        </row>
        <row r="11">
          <cell r="C11">
            <v>5.0075133284388054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1.0013939999999999</v>
          </cell>
        </row>
        <row r="7">
          <cell r="C7">
            <v>8.766</v>
          </cell>
        </row>
        <row r="8">
          <cell r="C8">
            <v>0</v>
          </cell>
        </row>
        <row r="11">
          <cell r="C11">
            <v>8.7537972066938696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7.5775059999999996</v>
          </cell>
        </row>
        <row r="7">
          <cell r="C7">
            <v>15.15</v>
          </cell>
        </row>
        <row r="8">
          <cell r="C8">
            <v>0</v>
          </cell>
        </row>
        <row r="11">
          <cell r="C11">
            <v>1.9993385686530636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3.4682248960000002</v>
          </cell>
        </row>
        <row r="7">
          <cell r="C7">
            <v>1.661</v>
          </cell>
        </row>
        <row r="8">
          <cell r="C8">
            <v>0</v>
          </cell>
        </row>
        <row r="11">
          <cell r="C11">
            <v>0.47891934629604827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5.0923261000000002</v>
          </cell>
        </row>
        <row r="7">
          <cell r="C7">
            <v>2.8660000000000001</v>
          </cell>
        </row>
        <row r="8">
          <cell r="C8">
            <v>0</v>
          </cell>
        </row>
        <row r="11">
          <cell r="C11">
            <v>0.562807633234643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1.3092124999999999</v>
          </cell>
        </row>
        <row r="7">
          <cell r="C7">
            <v>5.5289999999999999</v>
          </cell>
        </row>
        <row r="8">
          <cell r="C8">
            <v>0</v>
          </cell>
        </row>
        <row r="11">
          <cell r="C11">
            <v>4.2231494123375697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1.983546</v>
          </cell>
        </row>
        <row r="7">
          <cell r="C7">
            <v>2.5295350000000001</v>
          </cell>
        </row>
        <row r="8">
          <cell r="C8">
            <v>0.184285</v>
          </cell>
        </row>
        <row r="11">
          <cell r="C11">
            <v>1.1823522116452052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14.850612</v>
          </cell>
        </row>
        <row r="7">
          <cell r="C7">
            <v>1.67</v>
          </cell>
        </row>
        <row r="8">
          <cell r="C8">
            <v>0</v>
          </cell>
        </row>
        <row r="11">
          <cell r="C11">
            <v>0.11245327801978801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1.8363240000000001</v>
          </cell>
        </row>
        <row r="7">
          <cell r="C7">
            <v>0.74132399999999998</v>
          </cell>
        </row>
        <row r="8">
          <cell r="C8">
            <v>6.5613609999999998</v>
          </cell>
        </row>
        <row r="11">
          <cell r="C11">
            <v>-3.1693954879422148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2.584184</v>
          </cell>
        </row>
        <row r="7">
          <cell r="C7">
            <v>4.0709999999999997</v>
          </cell>
        </row>
        <row r="8">
          <cell r="C8">
            <v>0.6</v>
          </cell>
        </row>
        <row r="11">
          <cell r="C11">
            <v>1.3431706101423118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0.77008100000000002</v>
          </cell>
        </row>
        <row r="7">
          <cell r="C7">
            <v>1.5218739999999999</v>
          </cell>
        </row>
        <row r="8">
          <cell r="C8"/>
        </row>
        <row r="11">
          <cell r="C11">
            <v>1.9762518488314864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6.3311159999999997</v>
          </cell>
        </row>
        <row r="7">
          <cell r="C7">
            <v>0.83200600000000002</v>
          </cell>
        </row>
        <row r="8">
          <cell r="C8">
            <v>0.20065</v>
          </cell>
        </row>
        <row r="11">
          <cell r="C11">
            <v>9.9722702916831732E-2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4.5119569999999998</v>
          </cell>
        </row>
        <row r="7">
          <cell r="C7">
            <v>3.8641839999999998</v>
          </cell>
        </row>
        <row r="8">
          <cell r="C8">
            <v>0</v>
          </cell>
        </row>
        <row r="11">
          <cell r="C11">
            <v>0.85643192078293295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0.56905942857142855</v>
          </cell>
        </row>
        <row r="7">
          <cell r="C7">
            <v>11.482792</v>
          </cell>
        </row>
        <row r="8">
          <cell r="C8">
            <v>0</v>
          </cell>
        </row>
        <row r="11">
          <cell r="C11">
            <v>20.178546252763962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3.9491070000000001</v>
          </cell>
        </row>
        <row r="7">
          <cell r="C7">
            <v>5.9422490000000003</v>
          </cell>
        </row>
        <row r="8">
          <cell r="C8">
            <v>0.150394</v>
          </cell>
        </row>
        <row r="11">
          <cell r="C11">
            <v>1.466623973470458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1.5882499999999999</v>
          </cell>
        </row>
        <row r="7">
          <cell r="C7">
            <v>5.2272420000000004</v>
          </cell>
        </row>
        <row r="8">
          <cell r="C8">
            <v>0</v>
          </cell>
        </row>
        <row r="11">
          <cell r="C11">
            <v>3.2911959704076819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7.369243</v>
          </cell>
        </row>
        <row r="7">
          <cell r="C7">
            <v>3.1434220000000002</v>
          </cell>
        </row>
        <row r="8">
          <cell r="C8">
            <v>0</v>
          </cell>
        </row>
        <row r="11">
          <cell r="C11">
            <v>0.42655968869529748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0.81970900000000002</v>
          </cell>
        </row>
        <row r="7">
          <cell r="C7">
            <v>15.154203000000001</v>
          </cell>
        </row>
        <row r="8">
          <cell r="C8">
            <v>0</v>
          </cell>
        </row>
        <row r="11">
          <cell r="C11">
            <v>18.487296101421357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2.369688</v>
          </cell>
        </row>
        <row r="7">
          <cell r="C7">
            <v>4.5847739999999995</v>
          </cell>
        </row>
        <row r="8">
          <cell r="C8">
            <v>0</v>
          </cell>
        </row>
        <row r="11">
          <cell r="C11">
            <v>1.9347584998531451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2.7560570000000002</v>
          </cell>
        </row>
        <row r="7">
          <cell r="C7">
            <v>4.0317800000000004</v>
          </cell>
        </row>
        <row r="8">
          <cell r="C8">
            <v>0</v>
          </cell>
        </row>
        <row r="11">
          <cell r="C11">
            <v>1.4628797590180465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0.92945590049999993</v>
          </cell>
        </row>
        <row r="7">
          <cell r="C7">
            <v>8.7170000000000005</v>
          </cell>
        </row>
        <row r="8">
          <cell r="C8">
            <v>0</v>
          </cell>
        </row>
        <row r="11">
          <cell r="C11">
            <v>9.3786052628324796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2.2581780892199999</v>
          </cell>
        </row>
        <row r="7">
          <cell r="C7">
            <v>11.380335782581447</v>
          </cell>
        </row>
        <row r="8">
          <cell r="C8">
            <v>8.1345263972049234E-2</v>
          </cell>
        </row>
        <row r="11">
          <cell r="C11">
            <v>5.0035869945546221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0.15807599999999999</v>
          </cell>
        </row>
        <row r="7">
          <cell r="C7">
            <v>10.347204</v>
          </cell>
        </row>
        <row r="8">
          <cell r="C8">
            <v>0</v>
          </cell>
        </row>
        <row r="11">
          <cell r="C11">
            <v>65.457147195020113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3.8773369999999998</v>
          </cell>
        </row>
        <row r="7">
          <cell r="C7">
            <v>13.748301</v>
          </cell>
        </row>
        <row r="8">
          <cell r="C8">
            <v>0</v>
          </cell>
        </row>
        <row r="11">
          <cell r="C11">
            <v>3.5458101784807461</v>
          </cell>
        </row>
        <row r="14">
          <cell r="C14" t="str">
            <v>small 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2.090077</v>
          </cell>
        </row>
        <row r="7">
          <cell r="C7">
            <v>5.0999999999999996</v>
          </cell>
        </row>
        <row r="8">
          <cell r="C8">
            <v>0</v>
          </cell>
        </row>
        <row r="11">
          <cell r="C11">
            <v>2.440101489083895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5.5602559999999999</v>
          </cell>
        </row>
        <row r="7">
          <cell r="C7">
            <v>2.2290000000000001</v>
          </cell>
        </row>
        <row r="8">
          <cell r="C8">
            <v>0</v>
          </cell>
        </row>
        <row r="11">
          <cell r="C11">
            <v>0.40088082275348474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0.65518500000000002</v>
          </cell>
        </row>
        <row r="7">
          <cell r="C7">
            <v>8.2891080000000006</v>
          </cell>
        </row>
        <row r="8">
          <cell r="C8">
            <v>0</v>
          </cell>
        </row>
        <row r="11">
          <cell r="C11">
            <v>12.651553378053528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0.83061300000000005</v>
          </cell>
        </row>
        <row r="7">
          <cell r="C7">
            <v>3.125</v>
          </cell>
        </row>
        <row r="8">
          <cell r="C8">
            <v>0</v>
          </cell>
        </row>
        <row r="11">
          <cell r="C11">
            <v>3.7622815920290194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0.36544399999999999</v>
          </cell>
        </row>
        <row r="7">
          <cell r="C7">
            <v>1.5449999999999999</v>
          </cell>
        </row>
        <row r="8">
          <cell r="C8">
            <v>0</v>
          </cell>
        </row>
        <row r="11">
          <cell r="C11">
            <v>4.2277339346110487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externalLinks/externalLink6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Yearly Model"/>
      <sheetName val="Quarterly Model"/>
    </sheetNames>
    <sheetDataSet>
      <sheetData sheetId="0">
        <row r="4">
          <cell r="C4">
            <v>0.95807699999999996</v>
          </cell>
        </row>
        <row r="7">
          <cell r="C7">
            <v>28.175865000000002</v>
          </cell>
        </row>
        <row r="8">
          <cell r="C8">
            <v>0.99956500000000004</v>
          </cell>
        </row>
        <row r="11">
          <cell r="C11">
            <v>28.36546540622518</v>
          </cell>
        </row>
        <row r="14">
          <cell r="C14" t="str">
            <v>pre-revenue</v>
          </cell>
        </row>
        <row r="15">
          <cell r="C15" t="str">
            <v>Net cash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Pharma/PBH.xlsx" TargetMode="External"/><Relationship Id="rId671" Type="http://schemas.openxmlformats.org/officeDocument/2006/relationships/hyperlink" Target="Pharma/GOVX.xlsx" TargetMode="External"/><Relationship Id="rId21" Type="http://schemas.openxmlformats.org/officeDocument/2006/relationships/hyperlink" Target="Pharma/HLN.xlsx" TargetMode="External"/><Relationship Id="rId324" Type="http://schemas.openxmlformats.org/officeDocument/2006/relationships/hyperlink" Target="Pharma/INCR.xlsx" TargetMode="External"/><Relationship Id="rId531" Type="http://schemas.openxmlformats.org/officeDocument/2006/relationships/hyperlink" Target="Pharma/CVM.xlsx" TargetMode="External"/><Relationship Id="rId629" Type="http://schemas.openxmlformats.org/officeDocument/2006/relationships/hyperlink" Target="Pharma/ACXP.xlsx" TargetMode="External"/><Relationship Id="rId170" Type="http://schemas.openxmlformats.org/officeDocument/2006/relationships/hyperlink" Target="Pharma/AAPG.xlsx" TargetMode="External"/><Relationship Id="rId268" Type="http://schemas.openxmlformats.org/officeDocument/2006/relationships/hyperlink" Target="Pharma/NNNN.xlsx" TargetMode="External"/><Relationship Id="rId475" Type="http://schemas.openxmlformats.org/officeDocument/2006/relationships/hyperlink" Target="Pharma/GANX.xlsx" TargetMode="External"/><Relationship Id="rId32" Type="http://schemas.openxmlformats.org/officeDocument/2006/relationships/hyperlink" Target="Pharma/BNTX.xlsx" TargetMode="External"/><Relationship Id="rId128" Type="http://schemas.openxmlformats.org/officeDocument/2006/relationships/hyperlink" Target="Pharma/SLS.xlsx" TargetMode="External"/><Relationship Id="rId335" Type="http://schemas.openxmlformats.org/officeDocument/2006/relationships/hyperlink" Target="Pharma/IKT.xlsx" TargetMode="External"/><Relationship Id="rId542" Type="http://schemas.openxmlformats.org/officeDocument/2006/relationships/hyperlink" Target="Pharma/SHPH.xlsx" TargetMode="External"/><Relationship Id="rId181" Type="http://schemas.openxmlformats.org/officeDocument/2006/relationships/hyperlink" Target="Pharma/KARD.xlsx" TargetMode="External"/><Relationship Id="rId402" Type="http://schemas.openxmlformats.org/officeDocument/2006/relationships/hyperlink" Target="Pharma/CUE.xlsx" TargetMode="External"/><Relationship Id="rId279" Type="http://schemas.openxmlformats.org/officeDocument/2006/relationships/hyperlink" Target="Pharma/ASMB.xlsx" TargetMode="External"/><Relationship Id="rId486" Type="http://schemas.openxmlformats.org/officeDocument/2006/relationships/hyperlink" Target="Pharma/KLRS.xlsx" TargetMode="External"/><Relationship Id="rId43" Type="http://schemas.openxmlformats.org/officeDocument/2006/relationships/hyperlink" Target="Pharma/CORT.xlsx" TargetMode="External"/><Relationship Id="rId139" Type="http://schemas.openxmlformats.org/officeDocument/2006/relationships/hyperlink" Target="Pharma/PHVS.xlsx" TargetMode="External"/><Relationship Id="rId346" Type="http://schemas.openxmlformats.org/officeDocument/2006/relationships/hyperlink" Target="Pharma/KROS.xlsx" TargetMode="External"/><Relationship Id="rId553" Type="http://schemas.openxmlformats.org/officeDocument/2006/relationships/hyperlink" Target="Pharma/CNTX.xlsx" TargetMode="External"/><Relationship Id="rId192" Type="http://schemas.openxmlformats.org/officeDocument/2006/relationships/hyperlink" Target="Pharma/TYRA.xlsx" TargetMode="External"/><Relationship Id="rId206" Type="http://schemas.openxmlformats.org/officeDocument/2006/relationships/hyperlink" Target="Pharma/ANRO.xlsx" TargetMode="External"/><Relationship Id="rId413" Type="http://schemas.openxmlformats.org/officeDocument/2006/relationships/hyperlink" Target="Pharma/GNLX.xlsx" TargetMode="External"/><Relationship Id="rId497" Type="http://schemas.openxmlformats.org/officeDocument/2006/relationships/hyperlink" Target="Pharma/CLGN.xlsx" TargetMode="External"/><Relationship Id="rId620" Type="http://schemas.openxmlformats.org/officeDocument/2006/relationships/hyperlink" Target="Pharma/SNTI.xlsx" TargetMode="External"/><Relationship Id="rId357" Type="http://schemas.openxmlformats.org/officeDocument/2006/relationships/hyperlink" Target="Pharma/CAMP.xlsx" TargetMode="External"/><Relationship Id="rId54" Type="http://schemas.openxmlformats.org/officeDocument/2006/relationships/hyperlink" Target="Pharma/AXSM.xlsx" TargetMode="External"/><Relationship Id="rId217" Type="http://schemas.openxmlformats.org/officeDocument/2006/relationships/hyperlink" Target="Pharma/AKTS.xlsx" TargetMode="External"/><Relationship Id="rId564" Type="http://schemas.openxmlformats.org/officeDocument/2006/relationships/hyperlink" Target="Pharma/AKTX.xlsx" TargetMode="External"/><Relationship Id="rId424" Type="http://schemas.openxmlformats.org/officeDocument/2006/relationships/hyperlink" Target="Pharma/COYA.xlsx" TargetMode="External"/><Relationship Id="rId631" Type="http://schemas.openxmlformats.org/officeDocument/2006/relationships/hyperlink" Target="Pharma/AQB.xlsx" TargetMode="External"/><Relationship Id="rId270" Type="http://schemas.openxmlformats.org/officeDocument/2006/relationships/hyperlink" Target="Pharma/KMDA.xlsx" TargetMode="External"/><Relationship Id="rId65" Type="http://schemas.openxmlformats.org/officeDocument/2006/relationships/hyperlink" Target="Pharma/AMRX.xlsx" TargetMode="External"/><Relationship Id="rId130" Type="http://schemas.openxmlformats.org/officeDocument/2006/relationships/hyperlink" Target="Pharma/BCRX.xlsx" TargetMode="External"/><Relationship Id="rId368" Type="http://schemas.openxmlformats.org/officeDocument/2006/relationships/hyperlink" Target="Pharma/SLGL.xlsx" TargetMode="External"/><Relationship Id="rId575" Type="http://schemas.openxmlformats.org/officeDocument/2006/relationships/hyperlink" Target="Pharma/LPCN.xlsx" TargetMode="External"/><Relationship Id="rId228" Type="http://schemas.openxmlformats.org/officeDocument/2006/relationships/hyperlink" Target="Pharma/GYRE.xlsx" TargetMode="External"/><Relationship Id="rId435" Type="http://schemas.openxmlformats.org/officeDocument/2006/relationships/hyperlink" Target="Pharma/ANIX.xlsx" TargetMode="External"/><Relationship Id="rId642" Type="http://schemas.openxmlformats.org/officeDocument/2006/relationships/hyperlink" Target="Pharma/AZTR.xlsx" TargetMode="External"/><Relationship Id="rId281" Type="http://schemas.openxmlformats.org/officeDocument/2006/relationships/hyperlink" Target="Pharma/DMAC.xlsx" TargetMode="External"/><Relationship Id="rId502" Type="http://schemas.openxmlformats.org/officeDocument/2006/relationships/hyperlink" Target="Pharma/IMA.xlsx" TargetMode="External"/><Relationship Id="rId76" Type="http://schemas.openxmlformats.org/officeDocument/2006/relationships/hyperlink" Target="Pharma/PTCT.xlsx" TargetMode="External"/><Relationship Id="rId141" Type="http://schemas.openxmlformats.org/officeDocument/2006/relationships/hyperlink" Target="Pharma/MLYS.xlsx" TargetMode="External"/><Relationship Id="rId379" Type="http://schemas.openxmlformats.org/officeDocument/2006/relationships/hyperlink" Target="Pharma/MDWD.xlsx" TargetMode="External"/><Relationship Id="rId586" Type="http://schemas.openxmlformats.org/officeDocument/2006/relationships/hyperlink" Target="Pharma/KZIA.xlsx" TargetMode="External"/><Relationship Id="rId7" Type="http://schemas.openxmlformats.org/officeDocument/2006/relationships/hyperlink" Target="Pharma/AMGN.xlsx" TargetMode="External"/><Relationship Id="rId239" Type="http://schemas.openxmlformats.org/officeDocument/2006/relationships/hyperlink" Target="Pharma/CLYM.xlsx" TargetMode="External"/><Relationship Id="rId446" Type="http://schemas.openxmlformats.org/officeDocument/2006/relationships/hyperlink" Target="Pharma/ALP.xlsx" TargetMode="External"/><Relationship Id="rId653" Type="http://schemas.openxmlformats.org/officeDocument/2006/relationships/hyperlink" Target="Pharma/SXTP.xlsx" TargetMode="External"/><Relationship Id="rId292" Type="http://schemas.openxmlformats.org/officeDocument/2006/relationships/hyperlink" Target="Pharma/GALT.xlsx" TargetMode="External"/><Relationship Id="rId306" Type="http://schemas.openxmlformats.org/officeDocument/2006/relationships/hyperlink" Target="Pharma/GTBP.xlsx" TargetMode="External"/><Relationship Id="rId87" Type="http://schemas.openxmlformats.org/officeDocument/2006/relationships/hyperlink" Target="Pharma/DNTH.xlsx" TargetMode="External"/><Relationship Id="rId513" Type="http://schemas.openxmlformats.org/officeDocument/2006/relationships/hyperlink" Target="Pharma/GRCE.xlsx" TargetMode="External"/><Relationship Id="rId597" Type="http://schemas.openxmlformats.org/officeDocument/2006/relationships/hyperlink" Target="Pharma/QNTM.xlsx" TargetMode="External"/><Relationship Id="rId152" Type="http://schemas.openxmlformats.org/officeDocument/2006/relationships/hyperlink" Target="Pharma/ANIP.xlsx" TargetMode="External"/><Relationship Id="rId457" Type="http://schemas.openxmlformats.org/officeDocument/2006/relationships/hyperlink" Target="Pharma/CRDF.xlsx" TargetMode="External"/><Relationship Id="rId664" Type="http://schemas.openxmlformats.org/officeDocument/2006/relationships/hyperlink" Target="Pharma/CLDI.xlsx" TargetMode="External"/><Relationship Id="rId14" Type="http://schemas.openxmlformats.org/officeDocument/2006/relationships/hyperlink" Target="Pharma/SNY.xlsx" TargetMode="External"/><Relationship Id="rId317" Type="http://schemas.openxmlformats.org/officeDocument/2006/relationships/hyperlink" Target="Pharma/ANIK.xlsx" TargetMode="External"/><Relationship Id="rId524" Type="http://schemas.openxmlformats.org/officeDocument/2006/relationships/hyperlink" Target="Pharma/ELUT.xlsx" TargetMode="External"/><Relationship Id="rId98" Type="http://schemas.openxmlformats.org/officeDocument/2006/relationships/hyperlink" Target="Pharma/XENE.xlsx" TargetMode="External"/><Relationship Id="rId163" Type="http://schemas.openxmlformats.org/officeDocument/2006/relationships/hyperlink" Target="Pharma/OCUL.xlsx" TargetMode="External"/><Relationship Id="rId370" Type="http://schemas.openxmlformats.org/officeDocument/2006/relationships/hyperlink" Target="Pharma/SION.xlsx" TargetMode="External"/><Relationship Id="rId230" Type="http://schemas.openxmlformats.org/officeDocument/2006/relationships/hyperlink" Target="Pharma/ATTO.xlsx" TargetMode="External"/><Relationship Id="rId468" Type="http://schemas.openxmlformats.org/officeDocument/2006/relationships/hyperlink" Target="Pharma/ONCY.xlsx" TargetMode="External"/><Relationship Id="rId675" Type="http://schemas.openxmlformats.org/officeDocument/2006/relationships/hyperlink" Target="Pharma/PPBT.xlsx" TargetMode="External"/><Relationship Id="rId25" Type="http://schemas.openxmlformats.org/officeDocument/2006/relationships/hyperlink" Target="Pharma/BIIB.xlsx" TargetMode="External"/><Relationship Id="rId328" Type="http://schemas.openxmlformats.org/officeDocument/2006/relationships/hyperlink" Target="Pharma/VNDA.xlsx" TargetMode="External"/><Relationship Id="rId535" Type="http://schemas.openxmlformats.org/officeDocument/2006/relationships/hyperlink" Target="Pharma/BCTX.xlsx" TargetMode="External"/><Relationship Id="rId174" Type="http://schemas.openxmlformats.org/officeDocument/2006/relationships/hyperlink" Target="Pharma/ANAB.xlsx" TargetMode="External"/><Relationship Id="rId381" Type="http://schemas.openxmlformats.org/officeDocument/2006/relationships/hyperlink" Target="Pharma/UPB.xlsx" TargetMode="External"/><Relationship Id="rId602" Type="http://schemas.openxmlformats.org/officeDocument/2006/relationships/hyperlink" Target="Pharma/TOVX.xlsx" TargetMode="External"/><Relationship Id="rId241" Type="http://schemas.openxmlformats.org/officeDocument/2006/relationships/hyperlink" Target="Pharma/IMMX.xlsx" TargetMode="External"/><Relationship Id="rId479" Type="http://schemas.openxmlformats.org/officeDocument/2006/relationships/hyperlink" Target="Pharma/PLRX.xlsx" TargetMode="External"/><Relationship Id="rId36" Type="http://schemas.openxmlformats.org/officeDocument/2006/relationships/hyperlink" Target="Pharma/ASND.xlsx" TargetMode="External"/><Relationship Id="rId339" Type="http://schemas.openxmlformats.org/officeDocument/2006/relationships/hyperlink" Target="Pharma/LXEO.xlsx" TargetMode="External"/><Relationship Id="rId546" Type="http://schemas.openxmlformats.org/officeDocument/2006/relationships/hyperlink" Target="Pharma/EDSA.xlsx" TargetMode="External"/><Relationship Id="rId101" Type="http://schemas.openxmlformats.org/officeDocument/2006/relationships/hyperlink" Target="Pharma/TARS.xlsx" TargetMode="External"/><Relationship Id="rId185" Type="http://schemas.openxmlformats.org/officeDocument/2006/relationships/hyperlink" Target="Pharma/OMER.xlsx" TargetMode="External"/><Relationship Id="rId406" Type="http://schemas.openxmlformats.org/officeDocument/2006/relationships/hyperlink" Target="Pharma/SPRB.xlsx" TargetMode="External"/><Relationship Id="rId392" Type="http://schemas.openxmlformats.org/officeDocument/2006/relationships/hyperlink" Target="Pharma/RNA.xlsx" TargetMode="External"/><Relationship Id="rId613" Type="http://schemas.openxmlformats.org/officeDocument/2006/relationships/hyperlink" Target="Pharma/RGNT.xlsx" TargetMode="External"/><Relationship Id="rId252" Type="http://schemas.openxmlformats.org/officeDocument/2006/relationships/hyperlink" Target="Pharma/VALN.xlsx" TargetMode="External"/><Relationship Id="rId47" Type="http://schemas.openxmlformats.org/officeDocument/2006/relationships/hyperlink" Target="Pharma/MDGL.xlsx" TargetMode="External"/><Relationship Id="rId112" Type="http://schemas.openxmlformats.org/officeDocument/2006/relationships/hyperlink" Target="Pharma/HCM.xlsx" TargetMode="External"/><Relationship Id="rId557" Type="http://schemas.openxmlformats.org/officeDocument/2006/relationships/hyperlink" Target="Pharma/COCP.xlsx" TargetMode="External"/><Relationship Id="rId196" Type="http://schemas.openxmlformats.org/officeDocument/2006/relationships/hyperlink" Target="Pharma/REPL.xlsx" TargetMode="External"/><Relationship Id="rId417" Type="http://schemas.openxmlformats.org/officeDocument/2006/relationships/hyperlink" Target="Pharma/VTVT.xlsx" TargetMode="External"/><Relationship Id="rId624" Type="http://schemas.openxmlformats.org/officeDocument/2006/relationships/hyperlink" Target="Pharma/TRAW.xlsx" TargetMode="External"/><Relationship Id="rId263" Type="http://schemas.openxmlformats.org/officeDocument/2006/relationships/hyperlink" Target="Pharma/MNPR.xlsx" TargetMode="External"/><Relationship Id="rId470" Type="http://schemas.openxmlformats.org/officeDocument/2006/relationships/hyperlink" Target="Pharma/PDSB.xlsx" TargetMode="External"/><Relationship Id="rId58" Type="http://schemas.openxmlformats.org/officeDocument/2006/relationships/hyperlink" Target="Pharma/ARWR.xlsx" TargetMode="External"/><Relationship Id="rId123" Type="http://schemas.openxmlformats.org/officeDocument/2006/relationships/hyperlink" Target="Pharma/AUPH.xlsx" TargetMode="External"/><Relationship Id="rId330" Type="http://schemas.openxmlformats.org/officeDocument/2006/relationships/hyperlink" Target="Pharma/BCYC.xlsx" TargetMode="External"/><Relationship Id="rId568" Type="http://schemas.openxmlformats.org/officeDocument/2006/relationships/hyperlink" Target="Pharma/TCRX.xlsx" TargetMode="External"/><Relationship Id="rId428" Type="http://schemas.openxmlformats.org/officeDocument/2006/relationships/hyperlink" Target="Pharma/BDTX.xlsx" TargetMode="External"/><Relationship Id="rId635" Type="http://schemas.openxmlformats.org/officeDocument/2006/relationships/hyperlink" Target="Pharma/AIM.xlsx" TargetMode="External"/><Relationship Id="rId274" Type="http://schemas.openxmlformats.org/officeDocument/2006/relationships/hyperlink" Target="Pharma/PRTA.xlsx" TargetMode="External"/><Relationship Id="rId481" Type="http://schemas.openxmlformats.org/officeDocument/2006/relationships/hyperlink" Target="Pharma/SKYE.xlsx" TargetMode="External"/><Relationship Id="rId69" Type="http://schemas.openxmlformats.org/officeDocument/2006/relationships/hyperlink" Target="Pharma/COGT.xlsx" TargetMode="External"/><Relationship Id="rId134" Type="http://schemas.openxmlformats.org/officeDocument/2006/relationships/hyperlink" Target="Pharma/IMNM.xlsx" TargetMode="External"/><Relationship Id="rId579" Type="http://schemas.openxmlformats.org/officeDocument/2006/relationships/hyperlink" Target="Pharma/HIND.xlsx" TargetMode="External"/><Relationship Id="rId341" Type="http://schemas.openxmlformats.org/officeDocument/2006/relationships/hyperlink" Target="Pharma/ACB.xlsx" TargetMode="External"/><Relationship Id="rId439" Type="http://schemas.openxmlformats.org/officeDocument/2006/relationships/hyperlink" Target="Pharma/RLYB.xlsx" TargetMode="External"/><Relationship Id="rId646" Type="http://schemas.openxmlformats.org/officeDocument/2006/relationships/hyperlink" Target="Pharma/PMCB.xlsx" TargetMode="External"/><Relationship Id="rId201" Type="http://schemas.openxmlformats.org/officeDocument/2006/relationships/hyperlink" Target="Pharma/GRML.xlsx" TargetMode="External"/><Relationship Id="rId285" Type="http://schemas.openxmlformats.org/officeDocument/2006/relationships/hyperlink" Target="Pharma/PROK.xlsx" TargetMode="External"/><Relationship Id="rId506" Type="http://schemas.openxmlformats.org/officeDocument/2006/relationships/hyperlink" Target="Pharma/ACET.xlsx" TargetMode="External"/><Relationship Id="rId38" Type="http://schemas.openxmlformats.org/officeDocument/2006/relationships/hyperlink" Target="Pharma/NBIX.xlsx" TargetMode="External"/><Relationship Id="rId103" Type="http://schemas.openxmlformats.org/officeDocument/2006/relationships/hyperlink" Target="Pharma/AMLX.xlsx" TargetMode="External"/><Relationship Id="rId310" Type="http://schemas.openxmlformats.org/officeDocument/2006/relationships/hyperlink" Target="Pharma/ARCT.xlsx" TargetMode="External"/><Relationship Id="rId492" Type="http://schemas.openxmlformats.org/officeDocument/2006/relationships/hyperlink" Target="Pharma/IBIO.xlsx" TargetMode="External"/><Relationship Id="rId548" Type="http://schemas.openxmlformats.org/officeDocument/2006/relationships/hyperlink" Target="Pharma/ABVC.xlsx" TargetMode="External"/><Relationship Id="rId91" Type="http://schemas.openxmlformats.org/officeDocument/2006/relationships/hyperlink" Target="Pharma/TLX.xlsx" TargetMode="External"/><Relationship Id="rId145" Type="http://schemas.openxmlformats.org/officeDocument/2006/relationships/hyperlink" Target="Pharma/PVLA.xlsx" TargetMode="External"/><Relationship Id="rId187" Type="http://schemas.openxmlformats.org/officeDocument/2006/relationships/hyperlink" Target="Pharma/SNDX.xlsx" TargetMode="External"/><Relationship Id="rId352" Type="http://schemas.openxmlformats.org/officeDocument/2006/relationships/hyperlink" Target="Pharma/ALEC.xlsx" TargetMode="External"/><Relationship Id="rId394" Type="http://schemas.openxmlformats.org/officeDocument/2006/relationships/hyperlink" Target="Pharma/ORGO.xlsx" TargetMode="External"/><Relationship Id="rId408" Type="http://schemas.openxmlformats.org/officeDocument/2006/relationships/hyperlink" Target="Pharma/NERV.xlsx" TargetMode="External"/><Relationship Id="rId615" Type="http://schemas.openxmlformats.org/officeDocument/2006/relationships/hyperlink" Target="Pharma/SNGX.xlsx" TargetMode="External"/><Relationship Id="rId212" Type="http://schemas.openxmlformats.org/officeDocument/2006/relationships/hyperlink" Target="Pharma/SGP.xlsx" TargetMode="External"/><Relationship Id="rId254" Type="http://schemas.openxmlformats.org/officeDocument/2006/relationships/hyperlink" Target="Pharma/SGMT.xlsx" TargetMode="External"/><Relationship Id="rId657" Type="http://schemas.openxmlformats.org/officeDocument/2006/relationships/hyperlink" Target="Pharma/SCNI.xlsx" TargetMode="External"/><Relationship Id="rId49" Type="http://schemas.openxmlformats.org/officeDocument/2006/relationships/hyperlink" Target="Pharma/PCVX.xlsx" TargetMode="External"/><Relationship Id="rId114" Type="http://schemas.openxmlformats.org/officeDocument/2006/relationships/hyperlink" Target="Pharma/ADMA.xlsx" TargetMode="External"/><Relationship Id="rId296" Type="http://schemas.openxmlformats.org/officeDocument/2006/relationships/hyperlink" Target="Pharma/FENC.xlsx" TargetMode="External"/><Relationship Id="rId461" Type="http://schemas.openxmlformats.org/officeDocument/2006/relationships/hyperlink" Target="Pharma/HRTX.xlsx" TargetMode="External"/><Relationship Id="rId517" Type="http://schemas.openxmlformats.org/officeDocument/2006/relationships/hyperlink" Target="Pharma/EXOZ.xlsx" TargetMode="External"/><Relationship Id="rId559" Type="http://schemas.openxmlformats.org/officeDocument/2006/relationships/hyperlink" Target="Pharma/JAGX.xlsx" TargetMode="External"/><Relationship Id="rId60" Type="http://schemas.openxmlformats.org/officeDocument/2006/relationships/hyperlink" Target="Pharma/PRAX.xlsx" TargetMode="External"/><Relationship Id="rId156" Type="http://schemas.openxmlformats.org/officeDocument/2006/relationships/hyperlink" Target="Pharma/PAHC.xlsx" TargetMode="External"/><Relationship Id="rId198" Type="http://schemas.openxmlformats.org/officeDocument/2006/relationships/hyperlink" Target="Pharma/JANX.xlsx" TargetMode="External"/><Relationship Id="rId321" Type="http://schemas.openxmlformats.org/officeDocument/2006/relationships/hyperlink" Target="Pharma/PRLD.xlsx" TargetMode="External"/><Relationship Id="rId363" Type="http://schemas.openxmlformats.org/officeDocument/2006/relationships/hyperlink" Target="Pharma/ELDN.xlsx" TargetMode="External"/><Relationship Id="rId419" Type="http://schemas.openxmlformats.org/officeDocument/2006/relationships/hyperlink" Target="Pharma/CLLS.xlsx" TargetMode="External"/><Relationship Id="rId570" Type="http://schemas.openxmlformats.org/officeDocument/2006/relationships/hyperlink" Target="Pharma/PLRZ.xlsx" TargetMode="External"/><Relationship Id="rId626" Type="http://schemas.openxmlformats.org/officeDocument/2006/relationships/hyperlink" Target="Pharma/BGMS.xlsx" TargetMode="External"/><Relationship Id="rId223" Type="http://schemas.openxmlformats.org/officeDocument/2006/relationships/hyperlink" Target="Pharma/OBX.xlsx" TargetMode="External"/><Relationship Id="rId430" Type="http://schemas.openxmlformats.org/officeDocument/2006/relationships/hyperlink" Target="Pharma/ADAG.xlsx" TargetMode="External"/><Relationship Id="rId668" Type="http://schemas.openxmlformats.org/officeDocument/2006/relationships/hyperlink" Target="Pharma/REVB.xlsx" TargetMode="External"/><Relationship Id="rId18" Type="http://schemas.openxmlformats.org/officeDocument/2006/relationships/hyperlink" Target="Pharma/NTRA.xlsx" TargetMode="External"/><Relationship Id="rId265" Type="http://schemas.openxmlformats.org/officeDocument/2006/relationships/hyperlink" Target="Pharma/RGNX.xlsx" TargetMode="External"/><Relationship Id="rId472" Type="http://schemas.openxmlformats.org/officeDocument/2006/relationships/hyperlink" Target="Pharma/FBIO.xlsx" TargetMode="External"/><Relationship Id="rId528" Type="http://schemas.openxmlformats.org/officeDocument/2006/relationships/hyperlink" Target="Pharma/ATNM.xlsx" TargetMode="External"/><Relationship Id="rId125" Type="http://schemas.openxmlformats.org/officeDocument/2006/relationships/hyperlink" Target="Pharma/CLDX.xlsx" TargetMode="External"/><Relationship Id="rId167" Type="http://schemas.openxmlformats.org/officeDocument/2006/relationships/hyperlink" Target="Pharma/KLRA.xlsx" TargetMode="External"/><Relationship Id="rId332" Type="http://schemas.openxmlformats.org/officeDocument/2006/relationships/hyperlink" Target="Pharma/VOGX.xlsx" TargetMode="External"/><Relationship Id="rId374" Type="http://schemas.openxmlformats.org/officeDocument/2006/relationships/hyperlink" Target="Pharma/DTIL.xlsx" TargetMode="External"/><Relationship Id="rId581" Type="http://schemas.openxmlformats.org/officeDocument/2006/relationships/hyperlink" Target="Pharma/CTXR.xlsx" TargetMode="External"/><Relationship Id="rId71" Type="http://schemas.openxmlformats.org/officeDocument/2006/relationships/hyperlink" Target="Pharma/KOD.xlsx" TargetMode="External"/><Relationship Id="rId234" Type="http://schemas.openxmlformats.org/officeDocument/2006/relationships/hyperlink" Target="Pharma/DSGN.xlsx" TargetMode="External"/><Relationship Id="rId637" Type="http://schemas.openxmlformats.org/officeDocument/2006/relationships/hyperlink" Target="Pharma/CELZ.xlsx" TargetMode="External"/><Relationship Id="rId2" Type="http://schemas.openxmlformats.org/officeDocument/2006/relationships/hyperlink" Target="Pharma/JNJ.xlsx" TargetMode="External"/><Relationship Id="rId29" Type="http://schemas.openxmlformats.org/officeDocument/2006/relationships/hyperlink" Target="Pharma/GMAB.xlsx" TargetMode="External"/><Relationship Id="rId276" Type="http://schemas.openxmlformats.org/officeDocument/2006/relationships/hyperlink" Target="Pharma/AUTL.xlsx" TargetMode="External"/><Relationship Id="rId441" Type="http://schemas.openxmlformats.org/officeDocument/2006/relationships/hyperlink" Target="Pharma/MIST.xlsx" TargetMode="External"/><Relationship Id="rId483" Type="http://schemas.openxmlformats.org/officeDocument/2006/relationships/hyperlink" Target="Pharma/RNXT.xlsx" TargetMode="External"/><Relationship Id="rId539" Type="http://schemas.openxmlformats.org/officeDocument/2006/relationships/hyperlink" Target="Pharma/NXTC.xlsx" TargetMode="External"/><Relationship Id="rId40" Type="http://schemas.openxmlformats.org/officeDocument/2006/relationships/hyperlink" Target="Pharma/SMMT.xlsx" TargetMode="External"/><Relationship Id="rId136" Type="http://schemas.openxmlformats.org/officeDocument/2006/relationships/hyperlink" Target="Pharma/BGM.xlsx" TargetMode="External"/><Relationship Id="rId178" Type="http://schemas.openxmlformats.org/officeDocument/2006/relationships/hyperlink" Target="Pharma/ORIC.xlsx" TargetMode="External"/><Relationship Id="rId301" Type="http://schemas.openxmlformats.org/officeDocument/2006/relationships/hyperlink" Target="Pharma/CCCC.xlsx" TargetMode="External"/><Relationship Id="rId343" Type="http://schemas.openxmlformats.org/officeDocument/2006/relationships/hyperlink" Target="Pharma/QTTB.xlsx" TargetMode="External"/><Relationship Id="rId550" Type="http://schemas.openxmlformats.org/officeDocument/2006/relationships/hyperlink" Target="Pharma/FFR.xlsx" TargetMode="External"/><Relationship Id="rId82" Type="http://schemas.openxmlformats.org/officeDocument/2006/relationships/hyperlink" Target="Pharma/TVTX.xlsx" TargetMode="External"/><Relationship Id="rId203" Type="http://schemas.openxmlformats.org/officeDocument/2006/relationships/hyperlink" Target="Pharma/IMTX.xlsx" TargetMode="External"/><Relationship Id="rId385" Type="http://schemas.openxmlformats.org/officeDocument/2006/relationships/hyperlink" Target="Pharma/ALXO.xlsx" TargetMode="External"/><Relationship Id="rId592" Type="http://schemas.openxmlformats.org/officeDocument/2006/relationships/hyperlink" Target="Pharma/INAB.xlsx" TargetMode="External"/><Relationship Id="rId606" Type="http://schemas.openxmlformats.org/officeDocument/2006/relationships/hyperlink" Target="Pharma/MTVA.xlsx" TargetMode="External"/><Relationship Id="rId648" Type="http://schemas.openxmlformats.org/officeDocument/2006/relationships/hyperlink" Target="Pharma/ERNA.xlsx" TargetMode="External"/><Relationship Id="rId245" Type="http://schemas.openxmlformats.org/officeDocument/2006/relationships/hyperlink" Target="Pharma/SLDB.xlsx" TargetMode="External"/><Relationship Id="rId287" Type="http://schemas.openxmlformats.org/officeDocument/2006/relationships/hyperlink" Target="Pharma/CAPR.xlsx" TargetMode="External"/><Relationship Id="rId410" Type="http://schemas.openxmlformats.org/officeDocument/2006/relationships/hyperlink" Target="Pharma/ENGN.xlsx" TargetMode="External"/><Relationship Id="rId452" Type="http://schemas.openxmlformats.org/officeDocument/2006/relationships/hyperlink" Target="Pharma/TELO.xlsx" TargetMode="External"/><Relationship Id="rId494" Type="http://schemas.openxmlformats.org/officeDocument/2006/relationships/hyperlink" Target="Pharma/ENLV.xlsx" TargetMode="External"/><Relationship Id="rId508" Type="http://schemas.openxmlformats.org/officeDocument/2006/relationships/hyperlink" Target="Pharma/ALDX.xlsx" TargetMode="External"/><Relationship Id="rId105" Type="http://schemas.openxmlformats.org/officeDocument/2006/relationships/hyperlink" Target="Pharma/DNLI.xlsx" TargetMode="External"/><Relationship Id="rId147" Type="http://schemas.openxmlformats.org/officeDocument/2006/relationships/hyperlink" Target="Pharma/XNCR.xlsx" TargetMode="External"/><Relationship Id="rId312" Type="http://schemas.openxmlformats.org/officeDocument/2006/relationships/hyperlink" Target="Pharma/FULC.xlsx" TargetMode="External"/><Relationship Id="rId354" Type="http://schemas.openxmlformats.org/officeDocument/2006/relationships/hyperlink" Target="Pharma/LIMN.xlsx" TargetMode="External"/><Relationship Id="rId51" Type="http://schemas.openxmlformats.org/officeDocument/2006/relationships/hyperlink" Target="Pharma/KYMR.xlsx" TargetMode="External"/><Relationship Id="rId93" Type="http://schemas.openxmlformats.org/officeDocument/2006/relationships/hyperlink" Target="Pharma/RLAY.xlsx" TargetMode="External"/><Relationship Id="rId189" Type="http://schemas.openxmlformats.org/officeDocument/2006/relationships/hyperlink" Target="Pharma/DMRA.xlsx" TargetMode="External"/><Relationship Id="rId396" Type="http://schemas.openxmlformats.org/officeDocument/2006/relationships/hyperlink" Target="Pharma/NGEN.xlsx" TargetMode="External"/><Relationship Id="rId561" Type="http://schemas.openxmlformats.org/officeDocument/2006/relationships/hyperlink" Target="Pharma/NEUP.xlsx" TargetMode="External"/><Relationship Id="rId617" Type="http://schemas.openxmlformats.org/officeDocument/2006/relationships/hyperlink" Target="Pharma/INM.xlsx" TargetMode="External"/><Relationship Id="rId659" Type="http://schemas.openxmlformats.org/officeDocument/2006/relationships/hyperlink" Target="Pharma/CANF.xlsx" TargetMode="External"/><Relationship Id="rId214" Type="http://schemas.openxmlformats.org/officeDocument/2006/relationships/hyperlink" Target="Pharma/ARDX.xlsx" TargetMode="External"/><Relationship Id="rId256" Type="http://schemas.openxmlformats.org/officeDocument/2006/relationships/hyperlink" Target="Pharma/CTMX.xlsx" TargetMode="External"/><Relationship Id="rId298" Type="http://schemas.openxmlformats.org/officeDocument/2006/relationships/hyperlink" Target="Pharma/TTRX.xlsx" TargetMode="External"/><Relationship Id="rId421" Type="http://schemas.openxmlformats.org/officeDocument/2006/relationships/hyperlink" Target="Pharma/TNXP.xlsx" TargetMode="External"/><Relationship Id="rId463" Type="http://schemas.openxmlformats.org/officeDocument/2006/relationships/hyperlink" Target="Pharma/ZYBT.xlsx" TargetMode="External"/><Relationship Id="rId519" Type="http://schemas.openxmlformats.org/officeDocument/2006/relationships/hyperlink" Target="Pharma/SCYX.xlsx" TargetMode="External"/><Relationship Id="rId670" Type="http://schemas.openxmlformats.org/officeDocument/2006/relationships/hyperlink" Target="Pharma/SILO.xlsx" TargetMode="External"/><Relationship Id="rId116" Type="http://schemas.openxmlformats.org/officeDocument/2006/relationships/hyperlink" Target="Pharma/NAMS.xlsx" TargetMode="External"/><Relationship Id="rId158" Type="http://schemas.openxmlformats.org/officeDocument/2006/relationships/hyperlink" Target="Pharma/STOK.xlsx" TargetMode="External"/><Relationship Id="rId323" Type="http://schemas.openxmlformats.org/officeDocument/2006/relationships/hyperlink" Target="Pharma/EYPT.xlsx" TargetMode="External"/><Relationship Id="rId530" Type="http://schemas.openxmlformats.org/officeDocument/2006/relationships/hyperlink" Target="Pharma/BIAF.xlsx" TargetMode="External"/><Relationship Id="rId20" Type="http://schemas.openxmlformats.org/officeDocument/2006/relationships/hyperlink" Target="Pharma/TEVA.xlsx" TargetMode="External"/><Relationship Id="rId62" Type="http://schemas.openxmlformats.org/officeDocument/2006/relationships/hyperlink" Target="Pharma/ABVX.xlsx" TargetMode="External"/><Relationship Id="rId365" Type="http://schemas.openxmlformats.org/officeDocument/2006/relationships/hyperlink" Target="Pharma/STRO.xlsx" TargetMode="External"/><Relationship Id="rId572" Type="http://schemas.openxmlformats.org/officeDocument/2006/relationships/hyperlink" Target="Pharma/ALLR.xlsx" TargetMode="External"/><Relationship Id="rId628" Type="http://schemas.openxmlformats.org/officeDocument/2006/relationships/hyperlink" Target="Pharma/HLSQ.xlsx" TargetMode="External"/><Relationship Id="rId225" Type="http://schemas.openxmlformats.org/officeDocument/2006/relationships/hyperlink" Target="Pharma/SANA.xlsx" TargetMode="External"/><Relationship Id="rId267" Type="http://schemas.openxmlformats.org/officeDocument/2006/relationships/hyperlink" Target="Pharma/ALLO.xlsx" TargetMode="External"/><Relationship Id="rId432" Type="http://schemas.openxmlformats.org/officeDocument/2006/relationships/hyperlink" Target="Pharma/IMUX.xlsx" TargetMode="External"/><Relationship Id="rId474" Type="http://schemas.openxmlformats.org/officeDocument/2006/relationships/hyperlink" Target="Pharma/BMEA.xlsx" TargetMode="External"/><Relationship Id="rId127" Type="http://schemas.openxmlformats.org/officeDocument/2006/relationships/hyperlink" Target="Pharma/VCEL.xlsx" TargetMode="External"/><Relationship Id="rId31" Type="http://schemas.openxmlformats.org/officeDocument/2006/relationships/hyperlink" Target="Pharma/INCY.xlsx" TargetMode="External"/><Relationship Id="rId73" Type="http://schemas.openxmlformats.org/officeDocument/2006/relationships/hyperlink" Target="Pharma/GRAL.xlsx" TargetMode="External"/><Relationship Id="rId169" Type="http://schemas.openxmlformats.org/officeDocument/2006/relationships/hyperlink" Target="Pharma/ETON.xlsx" TargetMode="External"/><Relationship Id="rId334" Type="http://schemas.openxmlformats.org/officeDocument/2006/relationships/hyperlink" Target="Pharma/IMRX.xlsx" TargetMode="External"/><Relationship Id="rId376" Type="http://schemas.openxmlformats.org/officeDocument/2006/relationships/hyperlink" Target="Pharma/CHRS.xlsx" TargetMode="External"/><Relationship Id="rId541" Type="http://schemas.openxmlformats.org/officeDocument/2006/relationships/hyperlink" Target="Pharma/MIRA.xlsx" TargetMode="External"/><Relationship Id="rId583" Type="http://schemas.openxmlformats.org/officeDocument/2006/relationships/hyperlink" Target="Pharma/BFRI.xlsx" TargetMode="External"/><Relationship Id="rId639" Type="http://schemas.openxmlformats.org/officeDocument/2006/relationships/hyperlink" Target="Pharma/PCSA.xlsx" TargetMode="External"/><Relationship Id="rId4" Type="http://schemas.openxmlformats.org/officeDocument/2006/relationships/hyperlink" Target="Pharma/MRK.xlsx" TargetMode="External"/><Relationship Id="rId180" Type="http://schemas.openxmlformats.org/officeDocument/2006/relationships/hyperlink" Target="Pharma/NKTR.xlsx" TargetMode="External"/><Relationship Id="rId236" Type="http://schemas.openxmlformats.org/officeDocument/2006/relationships/hyperlink" Target="Pharma/AURA.xlsx" TargetMode="External"/><Relationship Id="rId278" Type="http://schemas.openxmlformats.org/officeDocument/2006/relationships/hyperlink" Target="Pharma/YDES.xlsx" TargetMode="External"/><Relationship Id="rId401" Type="http://schemas.openxmlformats.org/officeDocument/2006/relationships/hyperlink" Target="Pharma/AVXL.xlsx" TargetMode="External"/><Relationship Id="rId443" Type="http://schemas.openxmlformats.org/officeDocument/2006/relationships/hyperlink" Target="Pharma/CNXU.xlsx" TargetMode="External"/><Relationship Id="rId650" Type="http://schemas.openxmlformats.org/officeDocument/2006/relationships/hyperlink" Target="Pharma/DRMA.xlsx" TargetMode="External"/><Relationship Id="rId303" Type="http://schemas.openxmlformats.org/officeDocument/2006/relationships/hyperlink" Target="Pharma/EBS.xlsx" TargetMode="External"/><Relationship Id="rId485" Type="http://schemas.openxmlformats.org/officeDocument/2006/relationships/hyperlink" Target="Pharma/BOLD.xlsx" TargetMode="External"/><Relationship Id="rId42" Type="http://schemas.openxmlformats.org/officeDocument/2006/relationships/hyperlink" Target="Pharma/KNSA.xlsx" TargetMode="External"/><Relationship Id="rId84" Type="http://schemas.openxmlformats.org/officeDocument/2006/relationships/hyperlink" Target="Pharma/DFTX.xlsx" TargetMode="External"/><Relationship Id="rId138" Type="http://schemas.openxmlformats.org/officeDocument/2006/relationships/hyperlink" Target="Pharma/RXRX.xlsx" TargetMode="External"/><Relationship Id="rId345" Type="http://schemas.openxmlformats.org/officeDocument/2006/relationships/hyperlink" Target="Pharma/BIOA.xlsx" TargetMode="External"/><Relationship Id="rId387" Type="http://schemas.openxmlformats.org/officeDocument/2006/relationships/hyperlink" Target="Pharma/CURX.xlsx" TargetMode="External"/><Relationship Id="rId510" Type="http://schemas.openxmlformats.org/officeDocument/2006/relationships/hyperlink" Target="Pharma/CELU.xlsx" TargetMode="External"/><Relationship Id="rId552" Type="http://schemas.openxmlformats.org/officeDocument/2006/relationships/hyperlink" Target="Pharma/BYSI.xlsx" TargetMode="External"/><Relationship Id="rId594" Type="http://schemas.openxmlformats.org/officeDocument/2006/relationships/hyperlink" Target="Pharma/CLRB.xlsx" TargetMode="External"/><Relationship Id="rId608" Type="http://schemas.openxmlformats.org/officeDocument/2006/relationships/hyperlink" Target="Pharma/KPTI.xlsx" TargetMode="External"/><Relationship Id="rId191" Type="http://schemas.openxmlformats.org/officeDocument/2006/relationships/hyperlink" Target="Pharma/GHRS.xlsx" TargetMode="External"/><Relationship Id="rId205" Type="http://schemas.openxmlformats.org/officeDocument/2006/relationships/hyperlink" Target="Pharma/RIGL.xlsx" TargetMode="External"/><Relationship Id="rId247" Type="http://schemas.openxmlformats.org/officeDocument/2006/relationships/hyperlink" Target="Pharma/IVA.xlsx" TargetMode="External"/><Relationship Id="rId412" Type="http://schemas.openxmlformats.org/officeDocument/2006/relationships/hyperlink" Target="Pharma/FHTX.xlsx" TargetMode="External"/><Relationship Id="rId107" Type="http://schemas.openxmlformats.org/officeDocument/2006/relationships/hyperlink" Target="Pharma/CELC.xlsx" TargetMode="External"/><Relationship Id="rId289" Type="http://schemas.openxmlformats.org/officeDocument/2006/relationships/hyperlink" Target="Pharma/EDIT.xlsx" TargetMode="External"/><Relationship Id="rId454" Type="http://schemas.openxmlformats.org/officeDocument/2006/relationships/hyperlink" Target="Pharma/CTOR.xlsx" TargetMode="External"/><Relationship Id="rId496" Type="http://schemas.openxmlformats.org/officeDocument/2006/relationships/hyperlink" Target="Pharma/HOWL.xlsx" TargetMode="External"/><Relationship Id="rId661" Type="http://schemas.openxmlformats.org/officeDocument/2006/relationships/hyperlink" Target="Pharma/UPC.xlsx" TargetMode="External"/><Relationship Id="rId11" Type="http://schemas.openxmlformats.org/officeDocument/2006/relationships/hyperlink" Target="Pharma/VRTX.xlsx" TargetMode="External"/><Relationship Id="rId53" Type="http://schemas.openxmlformats.org/officeDocument/2006/relationships/hyperlink" Target="Pharma/CYTK.xlsx" TargetMode="External"/><Relationship Id="rId149" Type="http://schemas.openxmlformats.org/officeDocument/2006/relationships/hyperlink" Target="Pharma/URGN.xlsx" TargetMode="External"/><Relationship Id="rId314" Type="http://schemas.openxmlformats.org/officeDocument/2006/relationships/hyperlink" Target="Pharma/SRZN.xlsx" TargetMode="External"/><Relationship Id="rId356" Type="http://schemas.openxmlformats.org/officeDocument/2006/relationships/hyperlink" Target="Pharma/RNAC.xlsx" TargetMode="External"/><Relationship Id="rId398" Type="http://schemas.openxmlformats.org/officeDocument/2006/relationships/hyperlink" Target="Pharma/ARMP.xlsx" TargetMode="External"/><Relationship Id="rId521" Type="http://schemas.openxmlformats.org/officeDocument/2006/relationships/hyperlink" Target="Pharma/CALC.xlsx" TargetMode="External"/><Relationship Id="rId563" Type="http://schemas.openxmlformats.org/officeDocument/2006/relationships/hyperlink" Target="Pharma/ATYR.xlsx" TargetMode="External"/><Relationship Id="rId619" Type="http://schemas.openxmlformats.org/officeDocument/2006/relationships/hyperlink" Target="Pharma/CNSP.xlsx" TargetMode="External"/><Relationship Id="rId95" Type="http://schemas.openxmlformats.org/officeDocument/2006/relationships/hyperlink" Target="Pharma/LEGN.xlsx" TargetMode="External"/><Relationship Id="rId160" Type="http://schemas.openxmlformats.org/officeDocument/2006/relationships/hyperlink" Target="Pharma/GENB.xlsx" TargetMode="External"/><Relationship Id="rId216" Type="http://schemas.openxmlformats.org/officeDocument/2006/relationships/hyperlink" Target="Pharma/KURA.xlsx" TargetMode="External"/><Relationship Id="rId423" Type="http://schemas.openxmlformats.org/officeDocument/2006/relationships/hyperlink" Target="Pharma/INO.xlsx" TargetMode="External"/><Relationship Id="rId258" Type="http://schemas.openxmlformats.org/officeDocument/2006/relationships/hyperlink" Target="Pharma/ACRS.xlsx" TargetMode="External"/><Relationship Id="rId465" Type="http://schemas.openxmlformats.org/officeDocument/2006/relationships/hyperlink" Target="Pharma/OSTX.xlsx" TargetMode="External"/><Relationship Id="rId630" Type="http://schemas.openxmlformats.org/officeDocument/2006/relationships/hyperlink" Target="Pharma/IMNN.xlsx" TargetMode="External"/><Relationship Id="rId672" Type="http://schemas.openxmlformats.org/officeDocument/2006/relationships/hyperlink" Target="Pharma/GNPX.xlsx" TargetMode="External"/><Relationship Id="rId22" Type="http://schemas.openxmlformats.org/officeDocument/2006/relationships/hyperlink" Target="Pharma/ONC.xlsx" TargetMode="External"/><Relationship Id="rId64" Type="http://schemas.openxmlformats.org/officeDocument/2006/relationships/hyperlink" Target="Pharma/IOVA.xlsx" TargetMode="External"/><Relationship Id="rId118" Type="http://schemas.openxmlformats.org/officeDocument/2006/relationships/hyperlink" Target="Pharma/BHC.xlsx" TargetMode="External"/><Relationship Id="rId325" Type="http://schemas.openxmlformats.org/officeDocument/2006/relationships/hyperlink" Target="Pharma/ABEO.xlsx" TargetMode="External"/><Relationship Id="rId367" Type="http://schemas.openxmlformats.org/officeDocument/2006/relationships/hyperlink" Target="Pharma/ADCT.xlsx" TargetMode="External"/><Relationship Id="rId532" Type="http://schemas.openxmlformats.org/officeDocument/2006/relationships/hyperlink" Target="Pharma/ALGS.xlsx" TargetMode="External"/><Relationship Id="rId574" Type="http://schemas.openxmlformats.org/officeDocument/2006/relationships/hyperlink" Target="Pharma/BCDA.xlsx" TargetMode="External"/><Relationship Id="rId171" Type="http://schemas.openxmlformats.org/officeDocument/2006/relationships/hyperlink" Target="Pharma/RARE.xlsx" TargetMode="External"/><Relationship Id="rId227" Type="http://schemas.openxmlformats.org/officeDocument/2006/relationships/hyperlink" Target="Pharma/ANNX.xlsx" TargetMode="External"/><Relationship Id="rId269" Type="http://schemas.openxmlformats.org/officeDocument/2006/relationships/hyperlink" Target="Pharma/TLRY.xlsx" TargetMode="External"/><Relationship Id="rId434" Type="http://schemas.openxmlformats.org/officeDocument/2006/relationships/hyperlink" Target="Pharma/UNCY.xlsx" TargetMode="External"/><Relationship Id="rId476" Type="http://schemas.openxmlformats.org/officeDocument/2006/relationships/hyperlink" Target="Pharma/CNTB.xlsx" TargetMode="External"/><Relationship Id="rId641" Type="http://schemas.openxmlformats.org/officeDocument/2006/relationships/hyperlink" Target="Pharma/QCLS.xlsx" TargetMode="External"/><Relationship Id="rId33" Type="http://schemas.openxmlformats.org/officeDocument/2006/relationships/hyperlink" Target="Pharma/VTRS.xlsx" TargetMode="External"/><Relationship Id="rId129" Type="http://schemas.openxmlformats.org/officeDocument/2006/relationships/hyperlink" Target="Pharma/VERA.xlsx" TargetMode="External"/><Relationship Id="rId280" Type="http://schemas.openxmlformats.org/officeDocument/2006/relationships/hyperlink" Target="Pharma/EIKN.xlsx" TargetMode="External"/><Relationship Id="rId336" Type="http://schemas.openxmlformats.org/officeDocument/2006/relationships/hyperlink" Target="Pharma/SABS.xlsx" TargetMode="External"/><Relationship Id="rId501" Type="http://schemas.openxmlformats.org/officeDocument/2006/relationships/hyperlink" Target="Pharma/INMB.xlsx" TargetMode="External"/><Relationship Id="rId543" Type="http://schemas.openxmlformats.org/officeDocument/2006/relationships/hyperlink" Target="Pharma/IGC.xlsx" TargetMode="External"/><Relationship Id="rId75" Type="http://schemas.openxmlformats.org/officeDocument/2006/relationships/hyperlink" Target="Pharma/MIRM.xlsx" TargetMode="External"/><Relationship Id="rId140" Type="http://schemas.openxmlformats.org/officeDocument/2006/relationships/hyperlink" Target="Pharma/SRPT.xlsx" TargetMode="External"/><Relationship Id="rId182" Type="http://schemas.openxmlformats.org/officeDocument/2006/relationships/hyperlink" Target="Pharma/LBRX.xlsx" TargetMode="External"/><Relationship Id="rId378" Type="http://schemas.openxmlformats.org/officeDocument/2006/relationships/hyperlink" Target="Pharma/ZNTL.xlsx" TargetMode="External"/><Relationship Id="rId403" Type="http://schemas.openxmlformats.org/officeDocument/2006/relationships/hyperlink" Target="Pharma/HUMA.xlsx" TargetMode="External"/><Relationship Id="rId585" Type="http://schemas.openxmlformats.org/officeDocument/2006/relationships/hyperlink" Target="Pharma/ASBP.xlsx" TargetMode="External"/><Relationship Id="rId6" Type="http://schemas.openxmlformats.org/officeDocument/2006/relationships/hyperlink" Target="Pharma/AZN.xlsx" TargetMode="External"/><Relationship Id="rId238" Type="http://schemas.openxmlformats.org/officeDocument/2006/relationships/hyperlink" Target="Pharma/CADL.xlsx" TargetMode="External"/><Relationship Id="rId445" Type="http://schemas.openxmlformats.org/officeDocument/2006/relationships/hyperlink" Target="Pharma/AARD.xlsx" TargetMode="External"/><Relationship Id="rId487" Type="http://schemas.openxmlformats.org/officeDocument/2006/relationships/hyperlink" Target="Pharma/TENX.xlsx" TargetMode="External"/><Relationship Id="rId610" Type="http://schemas.openxmlformats.org/officeDocument/2006/relationships/hyperlink" Target="Pharma/BIVI.xlsx" TargetMode="External"/><Relationship Id="rId652" Type="http://schemas.openxmlformats.org/officeDocument/2006/relationships/hyperlink" Target="Pharma/APVO.xlsx" TargetMode="External"/><Relationship Id="rId291" Type="http://schemas.openxmlformats.org/officeDocument/2006/relationships/hyperlink" Target="Pharma/KYTX.xlsx" TargetMode="External"/><Relationship Id="rId305" Type="http://schemas.openxmlformats.org/officeDocument/2006/relationships/hyperlink" Target="Pharma/IRD.xlsx" TargetMode="External"/><Relationship Id="rId347" Type="http://schemas.openxmlformats.org/officeDocument/2006/relationships/hyperlink" Target="Pharma/FATE.xlsx" TargetMode="External"/><Relationship Id="rId512" Type="http://schemas.openxmlformats.org/officeDocument/2006/relationships/hyperlink" Target="Pharma/CLNN.xlsx" TargetMode="External"/><Relationship Id="rId44" Type="http://schemas.openxmlformats.org/officeDocument/2006/relationships/hyperlink" Target="Pharma/ELAN.xlsx" TargetMode="External"/><Relationship Id="rId86" Type="http://schemas.openxmlformats.org/officeDocument/2006/relationships/hyperlink" Target="Pharma/EWTX.xlsx" TargetMode="External"/><Relationship Id="rId151" Type="http://schemas.openxmlformats.org/officeDocument/2006/relationships/hyperlink" Target="Pharma/BRVE.xlsx" TargetMode="External"/><Relationship Id="rId389" Type="http://schemas.openxmlformats.org/officeDocument/2006/relationships/hyperlink" Target="Pharma/DERM.xlsx" TargetMode="External"/><Relationship Id="rId554" Type="http://schemas.openxmlformats.org/officeDocument/2006/relationships/hyperlink" Target="Pharma/TXMD.xlsx" TargetMode="External"/><Relationship Id="rId596" Type="http://schemas.openxmlformats.org/officeDocument/2006/relationships/hyperlink" Target="Pharma/MDXH.xlsx" TargetMode="External"/><Relationship Id="rId193" Type="http://schemas.openxmlformats.org/officeDocument/2006/relationships/hyperlink" Target="Pharma/AMPH.xlsx" TargetMode="External"/><Relationship Id="rId207" Type="http://schemas.openxmlformats.org/officeDocument/2006/relationships/hyperlink" Target="Pharma/JBIO.xlsx" TargetMode="External"/><Relationship Id="rId249" Type="http://schemas.openxmlformats.org/officeDocument/2006/relationships/hyperlink" Target="Pharma/PHAT.xlsx" TargetMode="External"/><Relationship Id="rId414" Type="http://schemas.openxmlformats.org/officeDocument/2006/relationships/hyperlink" Target="Pharma/PYPD.xlsx" TargetMode="External"/><Relationship Id="rId456" Type="http://schemas.openxmlformats.org/officeDocument/2006/relationships/hyperlink" Target="Pharma/ACRV.xlsx" TargetMode="External"/><Relationship Id="rId498" Type="http://schemas.openxmlformats.org/officeDocument/2006/relationships/hyperlink" Target="Pharma/ELTX.xlsx" TargetMode="External"/><Relationship Id="rId621" Type="http://schemas.openxmlformats.org/officeDocument/2006/relationships/hyperlink" Target="Pharma/TCRT.xlsx" TargetMode="External"/><Relationship Id="rId663" Type="http://schemas.openxmlformats.org/officeDocument/2006/relationships/hyperlink" Target="Pharma/HCWB.xlsx" TargetMode="External"/><Relationship Id="rId13" Type="http://schemas.openxmlformats.org/officeDocument/2006/relationships/hyperlink" Target="Pharma/GSK.xlsx" TargetMode="External"/><Relationship Id="rId109" Type="http://schemas.openxmlformats.org/officeDocument/2006/relationships/hyperlink" Target="Pharma/DYN.xlsx" TargetMode="External"/><Relationship Id="rId260" Type="http://schemas.openxmlformats.org/officeDocument/2006/relationships/hyperlink" Target="Pharma/EOLS.xlsx" TargetMode="External"/><Relationship Id="rId316" Type="http://schemas.openxmlformats.org/officeDocument/2006/relationships/hyperlink" Target="Pharma/PALI.xlsx" TargetMode="External"/><Relationship Id="rId523" Type="http://schemas.openxmlformats.org/officeDocument/2006/relationships/hyperlink" Target="Pharma/NNVC.xlsx" TargetMode="External"/><Relationship Id="rId55" Type="http://schemas.openxmlformats.org/officeDocument/2006/relationships/hyperlink" Target="Pharma/PTGX.xlsx" TargetMode="External"/><Relationship Id="rId97" Type="http://schemas.openxmlformats.org/officeDocument/2006/relationships/hyperlink" Target="Pharma/ACAD.xlsx" TargetMode="External"/><Relationship Id="rId120" Type="http://schemas.openxmlformats.org/officeDocument/2006/relationships/hyperlink" Target="Pharma/PGEN.xlsx" TargetMode="External"/><Relationship Id="rId358" Type="http://schemas.openxmlformats.org/officeDocument/2006/relationships/hyperlink" Target="Pharma/CGEN.xlsx" TargetMode="External"/><Relationship Id="rId565" Type="http://schemas.openxmlformats.org/officeDocument/2006/relationships/hyperlink" Target="Pharma/JSPR.xlsx" TargetMode="External"/><Relationship Id="rId162" Type="http://schemas.openxmlformats.org/officeDocument/2006/relationships/hyperlink" Target="Pharma/IMCR.xlsx" TargetMode="External"/><Relationship Id="rId218" Type="http://schemas.openxmlformats.org/officeDocument/2006/relationships/hyperlink" Target="Pharma/CRVS.xlsx" TargetMode="External"/><Relationship Id="rId425" Type="http://schemas.openxmlformats.org/officeDocument/2006/relationships/hyperlink" Target="Pharma/CBUS.xlsx" TargetMode="External"/><Relationship Id="rId467" Type="http://schemas.openxmlformats.org/officeDocument/2006/relationships/hyperlink" Target="Pharma/XBIT.xlsx" TargetMode="External"/><Relationship Id="rId632" Type="http://schemas.openxmlformats.org/officeDocument/2006/relationships/hyperlink" Target="Pharma/MBRX.xlsx" TargetMode="External"/><Relationship Id="rId271" Type="http://schemas.openxmlformats.org/officeDocument/2006/relationships/hyperlink" Target="Pharma/SLN.xlsx" TargetMode="External"/><Relationship Id="rId674" Type="http://schemas.openxmlformats.org/officeDocument/2006/relationships/hyperlink" Target="Pharma/BBLG.xlsx" TargetMode="External"/><Relationship Id="rId24" Type="http://schemas.openxmlformats.org/officeDocument/2006/relationships/hyperlink" Target="Pharma/RPRX.xlsx" TargetMode="External"/><Relationship Id="rId66" Type="http://schemas.openxmlformats.org/officeDocument/2006/relationships/hyperlink" Target="Pharma/RYTM.xlsx" TargetMode="External"/><Relationship Id="rId131" Type="http://schemas.openxmlformats.org/officeDocument/2006/relationships/hyperlink" Target="Pharma/LKFT.xlsx" TargetMode="External"/><Relationship Id="rId327" Type="http://schemas.openxmlformats.org/officeDocument/2006/relationships/hyperlink" Target="Pharma/IPSC.xlsx" TargetMode="External"/><Relationship Id="rId369" Type="http://schemas.openxmlformats.org/officeDocument/2006/relationships/hyperlink" Target="Pharma/ACOG.xlsx" TargetMode="External"/><Relationship Id="rId534" Type="http://schemas.openxmlformats.org/officeDocument/2006/relationships/hyperlink" Target="Pharma/MGX.xlsx" TargetMode="External"/><Relationship Id="rId576" Type="http://schemas.openxmlformats.org/officeDocument/2006/relationships/hyperlink" Target="Pharma/NCEL.xlsx" TargetMode="External"/><Relationship Id="rId173" Type="http://schemas.openxmlformats.org/officeDocument/2006/relationships/hyperlink" Target="Pharma/COAG.xlsx" TargetMode="External"/><Relationship Id="rId229" Type="http://schemas.openxmlformats.org/officeDocument/2006/relationships/hyperlink" Target="Pharma/LXRX.xlsx" TargetMode="External"/><Relationship Id="rId380" Type="http://schemas.openxmlformats.org/officeDocument/2006/relationships/hyperlink" Target="Pharma/KRSA.xlsx" TargetMode="External"/><Relationship Id="rId436" Type="http://schemas.openxmlformats.org/officeDocument/2006/relationships/hyperlink" Target="Pharma/QUCY.xlsx" TargetMode="External"/><Relationship Id="rId601" Type="http://schemas.openxmlformats.org/officeDocument/2006/relationships/hyperlink" Target="Pharma/PBM.xlsx" TargetMode="External"/><Relationship Id="rId643" Type="http://schemas.openxmlformats.org/officeDocument/2006/relationships/hyperlink" Target="Pharma/NCNA.xlsx" TargetMode="External"/><Relationship Id="rId240" Type="http://schemas.openxmlformats.org/officeDocument/2006/relationships/hyperlink" Target="Pharma/IRWD.xlsx" TargetMode="External"/><Relationship Id="rId478" Type="http://schemas.openxmlformats.org/officeDocument/2006/relationships/hyperlink" Target="Pharma/XLO.xlsx" TargetMode="External"/><Relationship Id="rId35" Type="http://schemas.openxmlformats.org/officeDocument/2006/relationships/hyperlink" Target="Pharma/EXEL.xlsx" TargetMode="External"/><Relationship Id="rId77" Type="http://schemas.openxmlformats.org/officeDocument/2006/relationships/hyperlink" Target="Pharma/SRRK.xlsx" TargetMode="External"/><Relationship Id="rId100" Type="http://schemas.openxmlformats.org/officeDocument/2006/relationships/hyperlink" Target="Pharma/LQDA.xlsx" TargetMode="External"/><Relationship Id="rId282" Type="http://schemas.openxmlformats.org/officeDocument/2006/relationships/hyperlink" Target="Pharma/SPRY.xlsx" TargetMode="External"/><Relationship Id="rId338" Type="http://schemas.openxmlformats.org/officeDocument/2006/relationships/hyperlink" Target="Pharma/SIGA.xlsx" TargetMode="External"/><Relationship Id="rId503" Type="http://schemas.openxmlformats.org/officeDocument/2006/relationships/hyperlink" Target="Pharma/SER.xlsx" TargetMode="External"/><Relationship Id="rId545" Type="http://schemas.openxmlformats.org/officeDocument/2006/relationships/hyperlink" Target="Pharma/MCRB.xlsx" TargetMode="External"/><Relationship Id="rId587" Type="http://schemas.openxmlformats.org/officeDocument/2006/relationships/hyperlink" Target="Pharma/ENSC.xlsx" TargetMode="External"/><Relationship Id="rId8" Type="http://schemas.openxmlformats.org/officeDocument/2006/relationships/hyperlink" Target="Pharma/GILD.xlsx" TargetMode="External"/><Relationship Id="rId142" Type="http://schemas.openxmlformats.org/officeDocument/2006/relationships/hyperlink" Target="Pharma/PURR.xlsx" TargetMode="External"/><Relationship Id="rId184" Type="http://schemas.openxmlformats.org/officeDocument/2006/relationships/hyperlink" Target="Pharma/TSHA.xlsx" TargetMode="External"/><Relationship Id="rId391" Type="http://schemas.openxmlformats.org/officeDocument/2006/relationships/hyperlink" Target="Pharma/TARA.xlsx" TargetMode="External"/><Relationship Id="rId405" Type="http://schemas.openxmlformats.org/officeDocument/2006/relationships/hyperlink" Target="Pharma/VYGR.xlsx" TargetMode="External"/><Relationship Id="rId447" Type="http://schemas.openxmlformats.org/officeDocument/2006/relationships/hyperlink" Target="Pharma/PTHS.xlsx" TargetMode="External"/><Relationship Id="rId612" Type="http://schemas.openxmlformats.org/officeDocument/2006/relationships/hyperlink" Target="Pharma/BOLT.xlsx" TargetMode="External"/><Relationship Id="rId251" Type="http://schemas.openxmlformats.org/officeDocument/2006/relationships/hyperlink" Target="Pharma/DBVT.xlsx" TargetMode="External"/><Relationship Id="rId489" Type="http://schemas.openxmlformats.org/officeDocument/2006/relationships/hyperlink" Target="Pharma/CRBU.xlsx" TargetMode="External"/><Relationship Id="rId654" Type="http://schemas.openxmlformats.org/officeDocument/2006/relationships/hyperlink" Target="Pharma/GRI.xlsx" TargetMode="External"/><Relationship Id="rId46" Type="http://schemas.openxmlformats.org/officeDocument/2006/relationships/hyperlink" Target="Pharma/BMRN.xlsx" TargetMode="External"/><Relationship Id="rId293" Type="http://schemas.openxmlformats.org/officeDocument/2006/relationships/hyperlink" Target="Pharma/MPLT.xlsx" TargetMode="External"/><Relationship Id="rId307" Type="http://schemas.openxmlformats.org/officeDocument/2006/relationships/hyperlink" Target="Pharma/CGC.xlsx" TargetMode="External"/><Relationship Id="rId349" Type="http://schemas.openxmlformats.org/officeDocument/2006/relationships/hyperlink" Target="Pharma/PLX.xlsx" TargetMode="External"/><Relationship Id="rId514" Type="http://schemas.openxmlformats.org/officeDocument/2006/relationships/hyperlink" Target="Pharma/VERU.xlsx" TargetMode="External"/><Relationship Id="rId556" Type="http://schemas.openxmlformats.org/officeDocument/2006/relationships/hyperlink" Target="Pharma/AYTU.xlsx" TargetMode="External"/><Relationship Id="rId88" Type="http://schemas.openxmlformats.org/officeDocument/2006/relationships/hyperlink" Target="Pharma/INDV.xlsx" TargetMode="External"/><Relationship Id="rId111" Type="http://schemas.openxmlformats.org/officeDocument/2006/relationships/hyperlink" Target="Pharma/NRIX.xlsx" TargetMode="External"/><Relationship Id="rId153" Type="http://schemas.openxmlformats.org/officeDocument/2006/relationships/hyperlink" Target="Pharma/BHVN.xlsx" TargetMode="External"/><Relationship Id="rId195" Type="http://schemas.openxmlformats.org/officeDocument/2006/relationships/hyperlink" Target="Pharma/NBTX.xlsx" TargetMode="External"/><Relationship Id="rId209" Type="http://schemas.openxmlformats.org/officeDocument/2006/relationships/hyperlink" Target="Pharma/ABUS.xlsx" TargetMode="External"/><Relationship Id="rId360" Type="http://schemas.openxmlformats.org/officeDocument/2006/relationships/hyperlink" Target="Pharma/XGN.xlsx" TargetMode="External"/><Relationship Id="rId416" Type="http://schemas.openxmlformats.org/officeDocument/2006/relationships/hyperlink" Target="Pharma/MSLE.xlsx" TargetMode="External"/><Relationship Id="rId598" Type="http://schemas.openxmlformats.org/officeDocument/2006/relationships/hyperlink" Target="Pharma/GDTC.xlsx" TargetMode="External"/><Relationship Id="rId220" Type="http://schemas.openxmlformats.org/officeDocument/2006/relationships/hyperlink" Target="Pharma/VSTM.xlsx" TargetMode="External"/><Relationship Id="rId458" Type="http://schemas.openxmlformats.org/officeDocument/2006/relationships/hyperlink" Target="Pharma/NTHI.xlsx" TargetMode="External"/><Relationship Id="rId623" Type="http://schemas.openxmlformats.org/officeDocument/2006/relationships/hyperlink" Target="Pharma/ALZN.xlsx" TargetMode="External"/><Relationship Id="rId665" Type="http://schemas.openxmlformats.org/officeDocument/2006/relationships/hyperlink" Target="Pharma/JUNS.xlsx" TargetMode="External"/><Relationship Id="rId15" Type="http://schemas.openxmlformats.org/officeDocument/2006/relationships/hyperlink" Target="Pharma/MRNA.xlsx" TargetMode="External"/><Relationship Id="rId57" Type="http://schemas.openxmlformats.org/officeDocument/2006/relationships/hyperlink" Target="Pharma/TGTX.xlsx" TargetMode="External"/><Relationship Id="rId262" Type="http://schemas.openxmlformats.org/officeDocument/2006/relationships/hyperlink" Target="Pharma/NGNE.xlsx" TargetMode="External"/><Relationship Id="rId318" Type="http://schemas.openxmlformats.org/officeDocument/2006/relationships/hyperlink" Target="Pharma/CATX.xlsx" TargetMode="External"/><Relationship Id="rId525" Type="http://schemas.openxmlformats.org/officeDocument/2006/relationships/hyperlink" Target="Pharma/LITS.xlsx" TargetMode="External"/><Relationship Id="rId567" Type="http://schemas.openxmlformats.org/officeDocument/2006/relationships/hyperlink" Target="Pharma/GNTA.xlsx" TargetMode="External"/><Relationship Id="rId99" Type="http://schemas.openxmlformats.org/officeDocument/2006/relationships/hyperlink" Target="Pharma/IDYA.xlsx" TargetMode="External"/><Relationship Id="rId122" Type="http://schemas.openxmlformats.org/officeDocument/2006/relationships/hyperlink" Target="Pharma/SUPN.xlsx" TargetMode="External"/><Relationship Id="rId164" Type="http://schemas.openxmlformats.org/officeDocument/2006/relationships/hyperlink" Target="Pharma/GPCR.xlsx" TargetMode="External"/><Relationship Id="rId371" Type="http://schemas.openxmlformats.org/officeDocument/2006/relationships/hyperlink" Target="Pharma/ORMP.xlsx" TargetMode="External"/><Relationship Id="rId427" Type="http://schemas.openxmlformats.org/officeDocument/2006/relationships/hyperlink" Target="Pharma/NRSN.xlsx" TargetMode="External"/><Relationship Id="rId469" Type="http://schemas.openxmlformats.org/officeDocument/2006/relationships/hyperlink" Target="Pharma/CING.xlsx" TargetMode="External"/><Relationship Id="rId634" Type="http://schemas.openxmlformats.org/officeDocument/2006/relationships/hyperlink" Target="Pharma/PULM.xlsx" TargetMode="External"/><Relationship Id="rId676" Type="http://schemas.openxmlformats.org/officeDocument/2006/relationships/vmlDrawing" Target="../drawings/vmlDrawing1.vml"/><Relationship Id="rId26" Type="http://schemas.openxmlformats.org/officeDocument/2006/relationships/hyperlink" Target="Pharma/ZTS.xlsx" TargetMode="External"/><Relationship Id="rId231" Type="http://schemas.openxmlformats.org/officeDocument/2006/relationships/hyperlink" Target="Pharma/PHAR.xlsx" TargetMode="External"/><Relationship Id="rId273" Type="http://schemas.openxmlformats.org/officeDocument/2006/relationships/hyperlink" Target="Pharma/OCS.xlsx" TargetMode="External"/><Relationship Id="rId329" Type="http://schemas.openxmlformats.org/officeDocument/2006/relationships/hyperlink" Target="Pharma/ACIU.xlsx" TargetMode="External"/><Relationship Id="rId480" Type="http://schemas.openxmlformats.org/officeDocument/2006/relationships/hyperlink" Target="Pharma/TLPH.xlsx" TargetMode="External"/><Relationship Id="rId536" Type="http://schemas.openxmlformats.org/officeDocument/2006/relationships/hyperlink" Target="Pharma/CPHI.xlsx" TargetMode="External"/><Relationship Id="rId68" Type="http://schemas.openxmlformats.org/officeDocument/2006/relationships/hyperlink" Target="Pharma/BLTE.xlsx" TargetMode="External"/><Relationship Id="rId133" Type="http://schemas.openxmlformats.org/officeDocument/2006/relationships/hyperlink" Target="Pharma/XERS.xlsx" TargetMode="External"/><Relationship Id="rId175" Type="http://schemas.openxmlformats.org/officeDocument/2006/relationships/hyperlink" Target="Pharma/QURE.xlsx" TargetMode="External"/><Relationship Id="rId340" Type="http://schemas.openxmlformats.org/officeDocument/2006/relationships/hyperlink" Target="Pharma/BBOT.xlsx" TargetMode="External"/><Relationship Id="rId578" Type="http://schemas.openxmlformats.org/officeDocument/2006/relationships/hyperlink" Target="Pharma/RKTO.xlsx" TargetMode="External"/><Relationship Id="rId200" Type="http://schemas.openxmlformats.org/officeDocument/2006/relationships/hyperlink" Target="Pharma/SPTX.xlsx" TargetMode="External"/><Relationship Id="rId382" Type="http://schemas.openxmlformats.org/officeDocument/2006/relationships/hyperlink" Target="Pharma/MENS.xlsx" TargetMode="External"/><Relationship Id="rId438" Type="http://schemas.openxmlformats.org/officeDocument/2006/relationships/hyperlink" Target="Pharma/RANI.xlsx" TargetMode="External"/><Relationship Id="rId603" Type="http://schemas.openxmlformats.org/officeDocument/2006/relationships/hyperlink" Target="Pharma/LSTA.xlsx" TargetMode="External"/><Relationship Id="rId645" Type="http://schemas.openxmlformats.org/officeDocument/2006/relationships/hyperlink" Target="Pharma/CVKD.xlsx" TargetMode="External"/><Relationship Id="rId242" Type="http://schemas.openxmlformats.org/officeDocument/2006/relationships/hyperlink" Target="Pharma/NVCT.xlsx" TargetMode="External"/><Relationship Id="rId284" Type="http://schemas.openxmlformats.org/officeDocument/2006/relationships/hyperlink" Target="Pharma/RCEL.xlsx" TargetMode="External"/><Relationship Id="rId491" Type="http://schemas.openxmlformats.org/officeDocument/2006/relationships/hyperlink" Target="Pharma/ATHE.xlsx" TargetMode="External"/><Relationship Id="rId505" Type="http://schemas.openxmlformats.org/officeDocument/2006/relationships/hyperlink" Target="Pharma/LGVN.xlsx" TargetMode="External"/><Relationship Id="rId37" Type="http://schemas.openxmlformats.org/officeDocument/2006/relationships/hyperlink" Target="Pharma/HALO.xlsx" TargetMode="External"/><Relationship Id="rId79" Type="http://schemas.openxmlformats.org/officeDocument/2006/relationships/hyperlink" Target="Pharma/CRSP.xlsx" TargetMode="External"/><Relationship Id="rId102" Type="http://schemas.openxmlformats.org/officeDocument/2006/relationships/hyperlink" Target="Pharma/VKTX.xlsx" TargetMode="External"/><Relationship Id="rId144" Type="http://schemas.openxmlformats.org/officeDocument/2006/relationships/hyperlink" Target="Pharma/SEPN.xlsx" TargetMode="External"/><Relationship Id="rId547" Type="http://schemas.openxmlformats.org/officeDocument/2006/relationships/hyperlink" Target="Pharma/LNAI.xlsx" TargetMode="External"/><Relationship Id="rId589" Type="http://schemas.openxmlformats.org/officeDocument/2006/relationships/hyperlink" Target="Pharma/PASG.xlsx" TargetMode="External"/><Relationship Id="rId90" Type="http://schemas.openxmlformats.org/officeDocument/2006/relationships/hyperlink" Target="Pharma/ARQT.xlsx" TargetMode="External"/><Relationship Id="rId186" Type="http://schemas.openxmlformats.org/officeDocument/2006/relationships/hyperlink" Target="Pharma/BCAX.xlsx" TargetMode="External"/><Relationship Id="rId351" Type="http://schemas.openxmlformats.org/officeDocument/2006/relationships/hyperlink" Target="Pharma/LRMR.xlsx" TargetMode="External"/><Relationship Id="rId393" Type="http://schemas.openxmlformats.org/officeDocument/2006/relationships/hyperlink" Target="Pharma/NKTX.xlsx" TargetMode="External"/><Relationship Id="rId407" Type="http://schemas.openxmlformats.org/officeDocument/2006/relationships/hyperlink" Target="Pharma/NRXP.xlsx" TargetMode="External"/><Relationship Id="rId449" Type="http://schemas.openxmlformats.org/officeDocument/2006/relationships/hyperlink" Target="Pharma/EQ.xlsx" TargetMode="External"/><Relationship Id="rId614" Type="http://schemas.openxmlformats.org/officeDocument/2006/relationships/hyperlink" Target="Pharma/IMRN.xlsx" TargetMode="External"/><Relationship Id="rId656" Type="http://schemas.openxmlformats.org/officeDocument/2006/relationships/hyperlink" Target="Pharma/MBIO.xlsx" TargetMode="External"/><Relationship Id="rId211" Type="http://schemas.openxmlformats.org/officeDocument/2006/relationships/hyperlink" Target="Pharma/GLUE.xlsx" TargetMode="External"/><Relationship Id="rId253" Type="http://schemas.openxmlformats.org/officeDocument/2006/relationships/hyperlink" Target="Pharma/AQST.xlsx" TargetMode="External"/><Relationship Id="rId295" Type="http://schemas.openxmlformats.org/officeDocument/2006/relationships/hyperlink" Target="Pharma/INDP.xlsx" TargetMode="External"/><Relationship Id="rId309" Type="http://schemas.openxmlformats.org/officeDocument/2006/relationships/hyperlink" Target="Pharma/BNTC.xlsx" TargetMode="External"/><Relationship Id="rId460" Type="http://schemas.openxmlformats.org/officeDocument/2006/relationships/hyperlink" Target="Pharma/CGTX.xlsx" TargetMode="External"/><Relationship Id="rId516" Type="http://schemas.openxmlformats.org/officeDocument/2006/relationships/hyperlink" Target="Pharma/BRTX.xlsx" TargetMode="External"/><Relationship Id="rId48" Type="http://schemas.openxmlformats.org/officeDocument/2006/relationships/hyperlink" Target="Pharma/IBRX.xlsx" TargetMode="External"/><Relationship Id="rId113" Type="http://schemas.openxmlformats.org/officeDocument/2006/relationships/hyperlink" Target="Pharma/BEAM.xlsx" TargetMode="External"/><Relationship Id="rId320" Type="http://schemas.openxmlformats.org/officeDocument/2006/relationships/hyperlink" Target="Pharma/XFOR.xlsx" TargetMode="External"/><Relationship Id="rId558" Type="http://schemas.openxmlformats.org/officeDocument/2006/relationships/hyperlink" Target="Pharma/ESLA.xlsx" TargetMode="External"/><Relationship Id="rId155" Type="http://schemas.openxmlformats.org/officeDocument/2006/relationships/hyperlink" Target="Pharma/NTLA.xlsx" TargetMode="External"/><Relationship Id="rId197" Type="http://schemas.openxmlformats.org/officeDocument/2006/relationships/hyperlink" Target="Pharma/HROW.xlsx" TargetMode="External"/><Relationship Id="rId362" Type="http://schemas.openxmlformats.org/officeDocument/2006/relationships/hyperlink" Target="Pharma/AKBA.xlsx" TargetMode="External"/><Relationship Id="rId418" Type="http://schemas.openxmlformats.org/officeDocument/2006/relationships/hyperlink" Target="Pharma/FRNM.xlsx" TargetMode="External"/><Relationship Id="rId625" Type="http://schemas.openxmlformats.org/officeDocument/2006/relationships/hyperlink" Target="Pharma/ENVB.xlsx" TargetMode="External"/><Relationship Id="rId222" Type="http://schemas.openxmlformats.org/officeDocument/2006/relationships/hyperlink" Target="Pharma/COLL.xlsx" TargetMode="External"/><Relationship Id="rId264" Type="http://schemas.openxmlformats.org/officeDocument/2006/relationships/hyperlink" Target="Pharma/ENTX.xlsx" TargetMode="External"/><Relationship Id="rId471" Type="http://schemas.openxmlformats.org/officeDocument/2006/relationships/hyperlink" Target="Pharma/NMAD.xlsx" TargetMode="External"/><Relationship Id="rId667" Type="http://schemas.openxmlformats.org/officeDocument/2006/relationships/hyperlink" Target="Pharma/OGEN.xlsx" TargetMode="External"/><Relationship Id="rId17" Type="http://schemas.openxmlformats.org/officeDocument/2006/relationships/hyperlink" Target="Pharma/TAK.xlsx" TargetMode="External"/><Relationship Id="rId59" Type="http://schemas.openxmlformats.org/officeDocument/2006/relationships/hyperlink" Target="Pharma/IONS.xlsx" TargetMode="External"/><Relationship Id="rId124" Type="http://schemas.openxmlformats.org/officeDocument/2006/relationships/hyperlink" Target="Pharma/IRON.xlsx" TargetMode="External"/><Relationship Id="rId527" Type="http://schemas.openxmlformats.org/officeDocument/2006/relationships/hyperlink" Target="Pharma/CRVO.xlsx" TargetMode="External"/><Relationship Id="rId569" Type="http://schemas.openxmlformats.org/officeDocument/2006/relationships/hyperlink" Target="Pharma/DYAI.xlsx" TargetMode="External"/><Relationship Id="rId70" Type="http://schemas.openxmlformats.org/officeDocument/2006/relationships/hyperlink" Target="Pharma/IMVT.xlsx" TargetMode="External"/><Relationship Id="rId166" Type="http://schemas.openxmlformats.org/officeDocument/2006/relationships/hyperlink" Target="Pharma/CMPS.xlsx" TargetMode="External"/><Relationship Id="rId331" Type="http://schemas.openxmlformats.org/officeDocument/2006/relationships/hyperlink" Target="Pharma/CABA.xlsx" TargetMode="External"/><Relationship Id="rId373" Type="http://schemas.openxmlformats.org/officeDocument/2006/relationships/hyperlink" Target="Pharma/CTNM.xlsx" TargetMode="External"/><Relationship Id="rId429" Type="http://schemas.openxmlformats.org/officeDocument/2006/relationships/hyperlink" Target="Pharma/ICCC.xlsx" TargetMode="External"/><Relationship Id="rId580" Type="http://schemas.openxmlformats.org/officeDocument/2006/relationships/hyperlink" Target="Pharma/CNSY.xlsx" TargetMode="External"/><Relationship Id="rId636" Type="http://schemas.openxmlformats.org/officeDocument/2006/relationships/hyperlink" Target="Pharma/CDIO.xlsx" TargetMode="External"/><Relationship Id="rId1" Type="http://schemas.openxmlformats.org/officeDocument/2006/relationships/hyperlink" Target="Pharma/LLY.xlsx" TargetMode="External"/><Relationship Id="rId233" Type="http://schemas.openxmlformats.org/officeDocument/2006/relationships/hyperlink" Target="Pharma/MDXG.xlsx" TargetMode="External"/><Relationship Id="rId440" Type="http://schemas.openxmlformats.org/officeDocument/2006/relationships/hyperlink" Target="Pharma/NMRA.xlsx" TargetMode="External"/><Relationship Id="rId28" Type="http://schemas.openxmlformats.org/officeDocument/2006/relationships/hyperlink" Target="Pharma/ROIV.xlsx" TargetMode="External"/><Relationship Id="rId275" Type="http://schemas.openxmlformats.org/officeDocument/2006/relationships/hyperlink" Target="Pharma/ALT.xlsx" TargetMode="External"/><Relationship Id="rId300" Type="http://schemas.openxmlformats.org/officeDocument/2006/relationships/hyperlink" Target="Pharma/RLMD.xlsx" TargetMode="External"/><Relationship Id="rId482" Type="http://schemas.openxmlformats.org/officeDocument/2006/relationships/hyperlink" Target="Pharma/RNTX.xlsx" TargetMode="External"/><Relationship Id="rId538" Type="http://schemas.openxmlformats.org/officeDocument/2006/relationships/hyperlink" Target="Pharma/RNAZ.xlsx" TargetMode="External"/><Relationship Id="rId81" Type="http://schemas.openxmlformats.org/officeDocument/2006/relationships/hyperlink" Target="Pharma/ERAS.xlsx" TargetMode="External"/><Relationship Id="rId135" Type="http://schemas.openxmlformats.org/officeDocument/2006/relationships/hyperlink" Target="Pharma/AGIO.xlsx" TargetMode="External"/><Relationship Id="rId177" Type="http://schemas.openxmlformats.org/officeDocument/2006/relationships/hyperlink" Target="Pharma/INBX.xlsx" TargetMode="External"/><Relationship Id="rId342" Type="http://schemas.openxmlformats.org/officeDocument/2006/relationships/hyperlink" Target="Pharma/HITI.xlsx" TargetMode="External"/><Relationship Id="rId384" Type="http://schemas.openxmlformats.org/officeDocument/2006/relationships/hyperlink" Target="Pharma/CNTN.xlsx" TargetMode="External"/><Relationship Id="rId591" Type="http://schemas.openxmlformats.org/officeDocument/2006/relationships/hyperlink" Target="Pharma/PLUR.xlsx" TargetMode="External"/><Relationship Id="rId605" Type="http://schemas.openxmlformats.org/officeDocument/2006/relationships/hyperlink" Target="Pharma/ADIL.xlsx" TargetMode="External"/><Relationship Id="rId202" Type="http://schemas.openxmlformats.org/officeDocument/2006/relationships/hyperlink" Target="Pharma/LTGO.xlsx" TargetMode="External"/><Relationship Id="rId244" Type="http://schemas.openxmlformats.org/officeDocument/2006/relationships/hyperlink" Target="Pharma/ZVRA.xlsx" TargetMode="External"/><Relationship Id="rId647" Type="http://schemas.openxmlformats.org/officeDocument/2006/relationships/hyperlink" Target="Pharma/KALA.xlsx" TargetMode="External"/><Relationship Id="rId39" Type="http://schemas.openxmlformats.org/officeDocument/2006/relationships/hyperlink" Target="Pharma/JAZZ.xlsx" TargetMode="External"/><Relationship Id="rId286" Type="http://schemas.openxmlformats.org/officeDocument/2006/relationships/hyperlink" Target="Pharma/SCTX.xlsx" TargetMode="External"/><Relationship Id="rId451" Type="http://schemas.openxmlformats.org/officeDocument/2006/relationships/hyperlink" Target="Pharma/PMN.xlsx" TargetMode="External"/><Relationship Id="rId493" Type="http://schemas.openxmlformats.org/officeDocument/2006/relationships/hyperlink" Target="Pharma/HYPD.xlsx" TargetMode="External"/><Relationship Id="rId507" Type="http://schemas.openxmlformats.org/officeDocument/2006/relationships/hyperlink" Target="Pharma/ANVS.xlsx" TargetMode="External"/><Relationship Id="rId549" Type="http://schemas.openxmlformats.org/officeDocument/2006/relationships/hyperlink" Target="Pharma/SCLX.xlsx" TargetMode="External"/><Relationship Id="rId50" Type="http://schemas.openxmlformats.org/officeDocument/2006/relationships/hyperlink" Target="Pharma/KRYS.xlsx" TargetMode="External"/><Relationship Id="rId104" Type="http://schemas.openxmlformats.org/officeDocument/2006/relationships/hyperlink" Target="Pharma/RCUS.xlsx" TargetMode="External"/><Relationship Id="rId146" Type="http://schemas.openxmlformats.org/officeDocument/2006/relationships/hyperlink" Target="Pharma/MESO.xlsx" TargetMode="External"/><Relationship Id="rId188" Type="http://schemas.openxmlformats.org/officeDocument/2006/relationships/hyperlink" Target="Pharma/VOR.xlsx" TargetMode="External"/><Relationship Id="rId311" Type="http://schemas.openxmlformats.org/officeDocument/2006/relationships/hyperlink" Target="Pharma/IBO.xlsx" TargetMode="External"/><Relationship Id="rId353" Type="http://schemas.openxmlformats.org/officeDocument/2006/relationships/hyperlink" Target="Pharma/MDCX.xlsx" TargetMode="External"/><Relationship Id="rId395" Type="http://schemas.openxmlformats.org/officeDocument/2006/relationships/hyperlink" Target="Pharma/ANTX.xlsx" TargetMode="External"/><Relationship Id="rId409" Type="http://schemas.openxmlformats.org/officeDocument/2006/relationships/hyperlink" Target="Pharma/HURA.xlsx" TargetMode="External"/><Relationship Id="rId560" Type="http://schemas.openxmlformats.org/officeDocument/2006/relationships/hyperlink" Target="Pharma/XTLB.xlsx" TargetMode="External"/><Relationship Id="rId92" Type="http://schemas.openxmlformats.org/officeDocument/2006/relationships/hyperlink" Target="Pharma/OGN.xlsx" TargetMode="External"/><Relationship Id="rId213" Type="http://schemas.openxmlformats.org/officeDocument/2006/relationships/hyperlink" Target="Pharma/AVBP.xlsx" TargetMode="External"/><Relationship Id="rId420" Type="http://schemas.openxmlformats.org/officeDocument/2006/relationships/hyperlink" Target="Pharma/IFRX.xlsx" TargetMode="External"/><Relationship Id="rId616" Type="http://schemas.openxmlformats.org/officeDocument/2006/relationships/hyperlink" Target="Pharma/APRE.xlsx" TargetMode="External"/><Relationship Id="rId658" Type="http://schemas.openxmlformats.org/officeDocument/2006/relationships/hyperlink" Target="Pharma/RDHL.xlsx" TargetMode="External"/><Relationship Id="rId255" Type="http://schemas.openxmlformats.org/officeDocument/2006/relationships/hyperlink" Target="Pharma/PBYI.xlsx" TargetMode="External"/><Relationship Id="rId297" Type="http://schemas.openxmlformats.org/officeDocument/2006/relationships/hyperlink" Target="Pharma/RZLT.xlsx" TargetMode="External"/><Relationship Id="rId462" Type="http://schemas.openxmlformats.org/officeDocument/2006/relationships/hyperlink" Target="Pharma/MAIA.xlsx" TargetMode="External"/><Relationship Id="rId518" Type="http://schemas.openxmlformats.org/officeDocument/2006/relationships/hyperlink" Target="Pharma/BSEM.xlsx" TargetMode="External"/><Relationship Id="rId115" Type="http://schemas.openxmlformats.org/officeDocument/2006/relationships/hyperlink" Target="Pharma/MBX.xlsx" TargetMode="External"/><Relationship Id="rId157" Type="http://schemas.openxmlformats.org/officeDocument/2006/relationships/hyperlink" Target="Pharma/ALVO.xlsx" TargetMode="External"/><Relationship Id="rId322" Type="http://schemas.openxmlformats.org/officeDocument/2006/relationships/hyperlink" Target="Pharma/RCKT.xlsx" TargetMode="External"/><Relationship Id="rId364" Type="http://schemas.openxmlformats.org/officeDocument/2006/relationships/hyperlink" Target="Pharma/IVVD.xlsx" TargetMode="External"/><Relationship Id="rId61" Type="http://schemas.openxmlformats.org/officeDocument/2006/relationships/hyperlink" Target="Pharma/SYRE.xlsx" TargetMode="External"/><Relationship Id="rId199" Type="http://schemas.openxmlformats.org/officeDocument/2006/relationships/hyperlink" Target="Pharma/MNKD.xlsx" TargetMode="External"/><Relationship Id="rId571" Type="http://schemas.openxmlformats.org/officeDocument/2006/relationships/hyperlink" Target="Pharma/ACTU.xlsx" TargetMode="External"/><Relationship Id="rId627" Type="http://schemas.openxmlformats.org/officeDocument/2006/relationships/hyperlink" Target="Pharma/APUS.xlsx" TargetMode="External"/><Relationship Id="rId669" Type="http://schemas.openxmlformats.org/officeDocument/2006/relationships/hyperlink" Target="Pharma/ONCO.xlsx" TargetMode="External"/><Relationship Id="rId19" Type="http://schemas.openxmlformats.org/officeDocument/2006/relationships/hyperlink" Target="Pharma/ARGX.xlsx" TargetMode="External"/><Relationship Id="rId224" Type="http://schemas.openxmlformats.org/officeDocument/2006/relationships/hyperlink" Target="Pharma/GERN.xlsx" TargetMode="External"/><Relationship Id="rId266" Type="http://schemas.openxmlformats.org/officeDocument/2006/relationships/hyperlink" Target="Pharma/ARVN.xlsx" TargetMode="External"/><Relationship Id="rId431" Type="http://schemas.openxmlformats.org/officeDocument/2006/relationships/hyperlink" Target="Pharma/ATRA.xlsx" TargetMode="External"/><Relationship Id="rId473" Type="http://schemas.openxmlformats.org/officeDocument/2006/relationships/hyperlink" Target="Pharma/VRCA.xlsx" TargetMode="External"/><Relationship Id="rId529" Type="http://schemas.openxmlformats.org/officeDocument/2006/relationships/hyperlink" Target="Pharma/QNCX.xlsx" TargetMode="External"/><Relationship Id="rId30" Type="http://schemas.openxmlformats.org/officeDocument/2006/relationships/hyperlink" Target="Pharma/UTHR.xlsx" TargetMode="External"/><Relationship Id="rId126" Type="http://schemas.openxmlformats.org/officeDocument/2006/relationships/hyperlink" Target="Pharma/VRDN.xlsx" TargetMode="External"/><Relationship Id="rId168" Type="http://schemas.openxmlformats.org/officeDocument/2006/relationships/hyperlink" Target="Pharma/PCRX.xlsx" TargetMode="External"/><Relationship Id="rId333" Type="http://schemas.openxmlformats.org/officeDocument/2006/relationships/hyperlink" Target="Pharma/AMRN.xlsx" TargetMode="External"/><Relationship Id="rId540" Type="http://schemas.openxmlformats.org/officeDocument/2006/relationships/hyperlink" Target="Pharma/NSRX.xlsx" TargetMode="External"/><Relationship Id="rId72" Type="http://schemas.openxmlformats.org/officeDocument/2006/relationships/hyperlink" Target="Pharma/CGON.xlsx" TargetMode="External"/><Relationship Id="rId375" Type="http://schemas.openxmlformats.org/officeDocument/2006/relationships/hyperlink" Target="Pharma/CMPX.xlsx" TargetMode="External"/><Relationship Id="rId582" Type="http://schemas.openxmlformats.org/officeDocument/2006/relationships/hyperlink" Target="Pharma/ARTL.xlsx" TargetMode="External"/><Relationship Id="rId638" Type="http://schemas.openxmlformats.org/officeDocument/2006/relationships/hyperlink" Target="Pharma/GELS.xlsx" TargetMode="External"/><Relationship Id="rId3" Type="http://schemas.openxmlformats.org/officeDocument/2006/relationships/hyperlink" Target="Pharma/ABBV.xlsx" TargetMode="External"/><Relationship Id="rId235" Type="http://schemas.openxmlformats.org/officeDocument/2006/relationships/hyperlink" Target="Pharma/AVTX.xlsx" TargetMode="External"/><Relationship Id="rId277" Type="http://schemas.openxmlformats.org/officeDocument/2006/relationships/hyperlink" Target="Pharma/OVID.xlsx" TargetMode="External"/><Relationship Id="rId400" Type="http://schemas.openxmlformats.org/officeDocument/2006/relationships/hyperlink" Target="Pharma/ABOS.xlsx" TargetMode="External"/><Relationship Id="rId442" Type="http://schemas.openxmlformats.org/officeDocument/2006/relationships/hyperlink" Target="Pharma/CRBP.xlsx" TargetMode="External"/><Relationship Id="rId484" Type="http://schemas.openxmlformats.org/officeDocument/2006/relationships/hyperlink" Target="Pharma/YARW.xlsx" TargetMode="External"/><Relationship Id="rId137" Type="http://schemas.openxmlformats.org/officeDocument/2006/relationships/hyperlink" Target="Pharma/NVAX.xlsx" TargetMode="External"/><Relationship Id="rId302" Type="http://schemas.openxmlformats.org/officeDocument/2006/relationships/hyperlink" Target="Pharma/SNDL.xlsx" TargetMode="External"/><Relationship Id="rId344" Type="http://schemas.openxmlformats.org/officeDocument/2006/relationships/hyperlink" Target="Pharma/TLSI.xlsx" TargetMode="External"/><Relationship Id="rId41" Type="http://schemas.openxmlformats.org/officeDocument/2006/relationships/hyperlink" Target="Pharma/BBIO.xlsx" TargetMode="External"/><Relationship Id="rId83" Type="http://schemas.openxmlformats.org/officeDocument/2006/relationships/hyperlink" Target="Pharma/MANE.xlsx" TargetMode="External"/><Relationship Id="rId179" Type="http://schemas.openxmlformats.org/officeDocument/2006/relationships/hyperlink" Target="Pharma/TRAX.xlsx" TargetMode="External"/><Relationship Id="rId386" Type="http://schemas.openxmlformats.org/officeDocument/2006/relationships/hyperlink" Target="Pharma/NBP.xlsx" TargetMode="External"/><Relationship Id="rId551" Type="http://schemas.openxmlformats.org/officeDocument/2006/relationships/hyperlink" Target="Pharma/EVAX.xlsx" TargetMode="External"/><Relationship Id="rId593" Type="http://schemas.openxmlformats.org/officeDocument/2006/relationships/hyperlink" Target="Pharma/INTS.xlsx" TargetMode="External"/><Relationship Id="rId607" Type="http://schemas.openxmlformats.org/officeDocument/2006/relationships/hyperlink" Target="Pharma/VTGN.xlsx" TargetMode="External"/><Relationship Id="rId649" Type="http://schemas.openxmlformats.org/officeDocument/2006/relationships/hyperlink" Target="Pharma/SNES.xlsx" TargetMode="External"/><Relationship Id="rId190" Type="http://schemas.openxmlformats.org/officeDocument/2006/relationships/hyperlink" Target="Pharma/SVRA.xlsx" TargetMode="External"/><Relationship Id="rId204" Type="http://schemas.openxmlformats.org/officeDocument/2006/relationships/hyperlink" Target="Pharma/MGTX.xlsx" TargetMode="External"/><Relationship Id="rId246" Type="http://schemas.openxmlformats.org/officeDocument/2006/relationships/hyperlink" Target="Pharma/OLMA.xlsx" TargetMode="External"/><Relationship Id="rId288" Type="http://schemas.openxmlformats.org/officeDocument/2006/relationships/hyperlink" Target="Pharma/MYGN.xlsx" TargetMode="External"/><Relationship Id="rId411" Type="http://schemas.openxmlformats.org/officeDocument/2006/relationships/hyperlink" Target="Pharma/CRDL.xlsx" TargetMode="External"/><Relationship Id="rId453" Type="http://schemas.openxmlformats.org/officeDocument/2006/relationships/hyperlink" Target="Pharma/RFL.xlsx" TargetMode="External"/><Relationship Id="rId509" Type="http://schemas.openxmlformats.org/officeDocument/2006/relationships/hyperlink" Target="Pharma/DWTX.xlsx" TargetMode="External"/><Relationship Id="rId660" Type="http://schemas.openxmlformats.org/officeDocument/2006/relationships/hyperlink" Target="Pharma/AKAN.xlsx" TargetMode="External"/><Relationship Id="rId106" Type="http://schemas.openxmlformats.org/officeDocument/2006/relationships/hyperlink" Target="Pharma/PBLS.xlsx" TargetMode="External"/><Relationship Id="rId313" Type="http://schemas.openxmlformats.org/officeDocument/2006/relationships/hyperlink" Target="Pharma/CYPH.xlsx" TargetMode="External"/><Relationship Id="rId495" Type="http://schemas.openxmlformats.org/officeDocument/2006/relationships/hyperlink" Target="Pharma/MREO.xlsx" TargetMode="External"/><Relationship Id="rId10" Type="http://schemas.openxmlformats.org/officeDocument/2006/relationships/hyperlink" Target="Pharma/PFE.xlsx" TargetMode="External"/><Relationship Id="rId52" Type="http://schemas.openxmlformats.org/officeDocument/2006/relationships/hyperlink" Target="Pharma/CAI.xlsx" TargetMode="External"/><Relationship Id="rId94" Type="http://schemas.openxmlformats.org/officeDocument/2006/relationships/hyperlink" Target="Pharma/VCYT.xlsx" TargetMode="External"/><Relationship Id="rId148" Type="http://schemas.openxmlformats.org/officeDocument/2006/relationships/hyperlink" Target="Pharma/TRVI.xlsx" TargetMode="External"/><Relationship Id="rId355" Type="http://schemas.openxmlformats.org/officeDocument/2006/relationships/hyperlink" Target="Pharma/LYEL.xlsx" TargetMode="External"/><Relationship Id="rId397" Type="http://schemas.openxmlformats.org/officeDocument/2006/relationships/hyperlink" Target="Pharma/TLSA.xlsx" TargetMode="External"/><Relationship Id="rId520" Type="http://schemas.openxmlformats.org/officeDocument/2006/relationships/hyperlink" Target="Pharma/MTNB.xlsx" TargetMode="External"/><Relationship Id="rId562" Type="http://schemas.openxmlformats.org/officeDocument/2006/relationships/hyperlink" Target="Pharma/MRKR.xlsx" TargetMode="External"/><Relationship Id="rId618" Type="http://schemas.openxmlformats.org/officeDocument/2006/relationships/hyperlink" Target="Pharma/XCUR.xlsx" TargetMode="External"/><Relationship Id="rId215" Type="http://schemas.openxmlformats.org/officeDocument/2006/relationships/hyperlink" Target="Pharma/MLTX.xlsx" TargetMode="External"/><Relationship Id="rId257" Type="http://schemas.openxmlformats.org/officeDocument/2006/relationships/hyperlink" Target="Pharma/FTH.xlsx" TargetMode="External"/><Relationship Id="rId422" Type="http://schemas.openxmlformats.org/officeDocument/2006/relationships/hyperlink" Target="Pharma/LENZ.xlsx" TargetMode="External"/><Relationship Id="rId464" Type="http://schemas.openxmlformats.org/officeDocument/2006/relationships/hyperlink" Target="Pharma/SPRO.xlsx" TargetMode="External"/><Relationship Id="rId299" Type="http://schemas.openxmlformats.org/officeDocument/2006/relationships/hyperlink" Target="Pharma/EPRX.xlsx" TargetMode="External"/><Relationship Id="rId63" Type="http://schemas.openxmlformats.org/officeDocument/2006/relationships/hyperlink" Target="Pharma/ALKS.xlsx" TargetMode="External"/><Relationship Id="rId159" Type="http://schemas.openxmlformats.org/officeDocument/2006/relationships/hyperlink" Target="Pharma/NUVB.xlsx" TargetMode="External"/><Relationship Id="rId366" Type="http://schemas.openxmlformats.org/officeDocument/2006/relationships/hyperlink" Target="Pharma/PEPG.xlsx" TargetMode="External"/><Relationship Id="rId573" Type="http://schemas.openxmlformats.org/officeDocument/2006/relationships/hyperlink" Target="Pharma/KTTA.xlsx" TargetMode="External"/><Relationship Id="rId226" Type="http://schemas.openxmlformats.org/officeDocument/2006/relationships/hyperlink" Target="Pharma/FDMT.xlsx" TargetMode="External"/><Relationship Id="rId433" Type="http://schemas.openxmlformats.org/officeDocument/2006/relationships/hyperlink" Target="Pharma/PLYX.xlsx" TargetMode="External"/><Relationship Id="rId640" Type="http://schemas.openxmlformats.org/officeDocument/2006/relationships/hyperlink" Target="Pharma/XBIO.xlsx" TargetMode="External"/><Relationship Id="rId74" Type="http://schemas.openxmlformats.org/officeDocument/2006/relationships/hyperlink" Target="Pharma/BLRX.xlsx" TargetMode="External"/><Relationship Id="rId377" Type="http://schemas.openxmlformats.org/officeDocument/2006/relationships/hyperlink" Target="Pharma/PRQR.xlsx" TargetMode="External"/><Relationship Id="rId500" Type="http://schemas.openxmlformats.org/officeDocument/2006/relationships/hyperlink" Target="Pharma/TVGN.xlsx" TargetMode="External"/><Relationship Id="rId584" Type="http://schemas.openxmlformats.org/officeDocument/2006/relationships/hyperlink" Target="Pharma/AEON.xlsx" TargetMode="External"/><Relationship Id="rId5" Type="http://schemas.openxmlformats.org/officeDocument/2006/relationships/hyperlink" Target="Pharma/NVS.xlsx" TargetMode="External"/><Relationship Id="rId237" Type="http://schemas.openxmlformats.org/officeDocument/2006/relationships/hyperlink" Target="Pharma/PRME.xlsx" TargetMode="External"/><Relationship Id="rId444" Type="http://schemas.openxmlformats.org/officeDocument/2006/relationships/hyperlink" Target="Pharma/OKUR.xlsx" TargetMode="External"/><Relationship Id="rId651" Type="http://schemas.openxmlformats.org/officeDocument/2006/relationships/hyperlink" Target="Pharma/EVGN.xlsx" TargetMode="External"/><Relationship Id="rId290" Type="http://schemas.openxmlformats.org/officeDocument/2006/relationships/hyperlink" Target="Pharma/ZURA.xlsx" TargetMode="External"/><Relationship Id="rId304" Type="http://schemas.openxmlformats.org/officeDocument/2006/relationships/hyperlink" Target="Pharma/ENTA.xlsx" TargetMode="External"/><Relationship Id="rId388" Type="http://schemas.openxmlformats.org/officeDocument/2006/relationships/hyperlink" Target="Pharma/MOLN.xlsx" TargetMode="External"/><Relationship Id="rId511" Type="http://schemas.openxmlformats.org/officeDocument/2006/relationships/hyperlink" Target="Pharma/TIL.xlsx" TargetMode="External"/><Relationship Id="rId609" Type="http://schemas.openxmlformats.org/officeDocument/2006/relationships/hyperlink" Target="Pharma/LTRN.xlsx" TargetMode="External"/><Relationship Id="rId85" Type="http://schemas.openxmlformats.org/officeDocument/2006/relationships/hyperlink" Target="Pharma/GOSS.xlsx" TargetMode="External"/><Relationship Id="rId150" Type="http://schemas.openxmlformats.org/officeDocument/2006/relationships/hyperlink" Target="Pharma/VIR.xlsx" TargetMode="External"/><Relationship Id="rId595" Type="http://schemas.openxmlformats.org/officeDocument/2006/relationships/hyperlink" Target="Pharma/KPRX.xlsx" TargetMode="External"/><Relationship Id="rId248" Type="http://schemas.openxmlformats.org/officeDocument/2006/relationships/hyperlink" Target="Pharma/CRMD.xlsx" TargetMode="External"/><Relationship Id="rId455" Type="http://schemas.openxmlformats.org/officeDocument/2006/relationships/hyperlink" Target="Pharma/LEXX.xlsx" TargetMode="External"/><Relationship Id="rId662" Type="http://schemas.openxmlformats.org/officeDocument/2006/relationships/hyperlink" Target="Pharma/VIVS.xlsx" TargetMode="External"/><Relationship Id="rId12" Type="http://schemas.openxmlformats.org/officeDocument/2006/relationships/hyperlink" Target="Pharma/BMY.xlsx" TargetMode="External"/><Relationship Id="rId108" Type="http://schemas.openxmlformats.org/officeDocument/2006/relationships/hyperlink" Target="Pharma/ELVN.xlsx" TargetMode="External"/><Relationship Id="rId315" Type="http://schemas.openxmlformats.org/officeDocument/2006/relationships/hyperlink" Target="Pharma/AGEN.xlsx" TargetMode="External"/><Relationship Id="rId522" Type="http://schemas.openxmlformats.org/officeDocument/2006/relationships/hyperlink" Target="Pharma/IXHL.xlsx" TargetMode="External"/><Relationship Id="rId96" Type="http://schemas.openxmlformats.org/officeDocument/2006/relationships/hyperlink" Target="Pharma/CDNA.xlsx" TargetMode="External"/><Relationship Id="rId161" Type="http://schemas.openxmlformats.org/officeDocument/2006/relationships/hyperlink" Target="Pharma/MAZE.xlsx" TargetMode="External"/><Relationship Id="rId399" Type="http://schemas.openxmlformats.org/officeDocument/2006/relationships/hyperlink" Target="Pharma/KRRO.xlsx" TargetMode="External"/><Relationship Id="rId259" Type="http://schemas.openxmlformats.org/officeDocument/2006/relationships/hyperlink" Target="Pharma/BLSM.xlsx" TargetMode="External"/><Relationship Id="rId466" Type="http://schemas.openxmlformats.org/officeDocument/2006/relationships/hyperlink" Target="Pharma/PMVP.xlsx" TargetMode="External"/><Relationship Id="rId673" Type="http://schemas.openxmlformats.org/officeDocument/2006/relationships/hyperlink" Target="Pharma/LABT.xlsx" TargetMode="External"/><Relationship Id="rId23" Type="http://schemas.openxmlformats.org/officeDocument/2006/relationships/hyperlink" Target="Pharma/RVMD.xlsx" TargetMode="External"/><Relationship Id="rId119" Type="http://schemas.openxmlformats.org/officeDocument/2006/relationships/hyperlink" Target="Pharma/PRGO.xlsx" TargetMode="External"/><Relationship Id="rId326" Type="http://schemas.openxmlformats.org/officeDocument/2006/relationships/hyperlink" Target="Pharma/LCTX.xlsx" TargetMode="External"/><Relationship Id="rId533" Type="http://schemas.openxmlformats.org/officeDocument/2006/relationships/hyperlink" Target="Pharma/GRDX.xlsx" TargetMode="External"/><Relationship Id="rId172" Type="http://schemas.openxmlformats.org/officeDocument/2006/relationships/hyperlink" Target="Pharma/ABSI.xlsx" TargetMode="External"/><Relationship Id="rId477" Type="http://schemas.openxmlformats.org/officeDocument/2006/relationships/hyperlink" Target="Pharma/ALPS.xlsx" TargetMode="External"/><Relationship Id="rId600" Type="http://schemas.openxmlformats.org/officeDocument/2006/relationships/hyperlink" Target="Pharma/TPST.xlsx" TargetMode="External"/><Relationship Id="rId337" Type="http://schemas.openxmlformats.org/officeDocument/2006/relationships/hyperlink" Target="Pharma/HELP.xlsx" TargetMode="External"/><Relationship Id="rId34" Type="http://schemas.openxmlformats.org/officeDocument/2006/relationships/hyperlink" Target="Pharma/INSM.xlsx" TargetMode="External"/><Relationship Id="rId544" Type="http://schemas.openxmlformats.org/officeDocument/2006/relationships/hyperlink" Target="Pharma/VBIO.xlsx" TargetMode="External"/><Relationship Id="rId183" Type="http://schemas.openxmlformats.org/officeDocument/2006/relationships/hyperlink" Target="Pharma/CRON.xlsx" TargetMode="External"/><Relationship Id="rId390" Type="http://schemas.openxmlformats.org/officeDocument/2006/relationships/hyperlink" Target="Pharma/IPHA.xlsx" TargetMode="External"/><Relationship Id="rId404" Type="http://schemas.openxmlformats.org/officeDocument/2006/relationships/hyperlink" Target="Pharma/OTLK.xlsx" TargetMode="External"/><Relationship Id="rId611" Type="http://schemas.openxmlformats.org/officeDocument/2006/relationships/hyperlink" Target="Pharma/IMCC.xlsx" TargetMode="External"/><Relationship Id="rId250" Type="http://schemas.openxmlformats.org/officeDocument/2006/relationships/hyperlink" Target="Pharma/STTK.xlsx" TargetMode="External"/><Relationship Id="rId488" Type="http://schemas.openxmlformats.org/officeDocument/2006/relationships/hyperlink" Target="Pharma/INKT.xlsx" TargetMode="External"/><Relationship Id="rId45" Type="http://schemas.openxmlformats.org/officeDocument/2006/relationships/hyperlink" Target="Pharma/RDY.xlsx" TargetMode="External"/><Relationship Id="rId110" Type="http://schemas.openxmlformats.org/officeDocument/2006/relationships/hyperlink" Target="Pharma/ZLAB.xlsx" TargetMode="External"/><Relationship Id="rId348" Type="http://schemas.openxmlformats.org/officeDocument/2006/relationships/hyperlink" Target="Pharma/GLSI.xlsx" TargetMode="External"/><Relationship Id="rId555" Type="http://schemas.openxmlformats.org/officeDocument/2006/relationships/hyperlink" Target="Pharma/KYNB.xlsx" TargetMode="External"/><Relationship Id="rId194" Type="http://schemas.openxmlformats.org/officeDocument/2006/relationships/hyperlink" Target="Pharma/AVLN.xlsx" TargetMode="External"/><Relationship Id="rId208" Type="http://schemas.openxmlformats.org/officeDocument/2006/relationships/hyperlink" Target="Pharma/ODTX.xlsx" TargetMode="External"/><Relationship Id="rId415" Type="http://schemas.openxmlformats.org/officeDocument/2006/relationships/hyperlink" Target="Pharma/CPIX.xlsx" TargetMode="External"/><Relationship Id="rId622" Type="http://schemas.openxmlformats.org/officeDocument/2006/relationships/hyperlink" Target="Pharma/FBLG.xlsx" TargetMode="External"/><Relationship Id="rId261" Type="http://schemas.openxmlformats.org/officeDocument/2006/relationships/hyperlink" Target="Pharma/IMMP.xlsx" TargetMode="External"/><Relationship Id="rId499" Type="http://schemas.openxmlformats.org/officeDocument/2006/relationships/hyperlink" Target="Pharma/APLM.xlsx" TargetMode="External"/><Relationship Id="rId56" Type="http://schemas.openxmlformats.org/officeDocument/2006/relationships/hyperlink" Target="Pharma/TWST.xlsx" TargetMode="External"/><Relationship Id="rId359" Type="http://schemas.openxmlformats.org/officeDocument/2006/relationships/hyperlink" Target="Pharma/EVMN.xlsx" TargetMode="External"/><Relationship Id="rId566" Type="http://schemas.openxmlformats.org/officeDocument/2006/relationships/hyperlink" Target="Pharma/KAPA.xlsx" TargetMode="External"/><Relationship Id="rId121" Type="http://schemas.openxmlformats.org/officeDocument/2006/relationships/hyperlink" Target="Pharma/HRMY.xlsx" TargetMode="External"/><Relationship Id="rId219" Type="http://schemas.openxmlformats.org/officeDocument/2006/relationships/hyperlink" Target="Pharma/ALMS.xlsx" TargetMode="External"/><Relationship Id="rId426" Type="http://schemas.openxmlformats.org/officeDocument/2006/relationships/hyperlink" Target="Pharma/IMDX.xlsx" TargetMode="External"/><Relationship Id="rId633" Type="http://schemas.openxmlformats.org/officeDocument/2006/relationships/hyperlink" Target="Pharma/SNOA.xlsx" TargetMode="External"/><Relationship Id="rId67" Type="http://schemas.openxmlformats.org/officeDocument/2006/relationships/hyperlink" Target="Pharma/LGND.xlsx" TargetMode="External"/><Relationship Id="rId272" Type="http://schemas.openxmlformats.org/officeDocument/2006/relationships/hyperlink" Target="Pharma/CBIO.xlsx" TargetMode="External"/><Relationship Id="rId577" Type="http://schemas.openxmlformats.org/officeDocument/2006/relationships/hyperlink" Target="Pharma/TVRD.xlsx" TargetMode="External"/><Relationship Id="rId132" Type="http://schemas.openxmlformats.org/officeDocument/2006/relationships/hyperlink" Target="Pharma/TRLV.xlsx" TargetMode="External"/><Relationship Id="rId437" Type="http://schemas.openxmlformats.org/officeDocument/2006/relationships/hyperlink" Target="Pharma/TNYA.xlsx" TargetMode="External"/><Relationship Id="rId644" Type="http://schemas.openxmlformats.org/officeDocument/2006/relationships/hyperlink" Target="Pharma/YCBD.xlsx" TargetMode="External"/><Relationship Id="rId283" Type="http://schemas.openxmlformats.org/officeDocument/2006/relationships/hyperlink" Target="Pharma/TECX.xlsx" TargetMode="External"/><Relationship Id="rId490" Type="http://schemas.openxmlformats.org/officeDocument/2006/relationships/hyperlink" Target="Pharma/LONA.xlsx" TargetMode="External"/><Relationship Id="rId504" Type="http://schemas.openxmlformats.org/officeDocument/2006/relationships/hyperlink" Target="Pharma/SDEV.xlsx" TargetMode="External"/><Relationship Id="rId78" Type="http://schemas.openxmlformats.org/officeDocument/2006/relationships/hyperlink" Target="Pharma/ORKA.xlsx" TargetMode="External"/><Relationship Id="rId143" Type="http://schemas.openxmlformats.org/officeDocument/2006/relationships/hyperlink" Target="Pharma/ZYME.xlsx" TargetMode="External"/><Relationship Id="rId350" Type="http://schemas.openxmlformats.org/officeDocument/2006/relationships/hyperlink" Target="Pharma/MGNX.xlsx" TargetMode="External"/><Relationship Id="rId588" Type="http://schemas.openxmlformats.org/officeDocument/2006/relationships/hyperlink" Target="Pharma/PTN.xlsx" TargetMode="External"/><Relationship Id="rId9" Type="http://schemas.openxmlformats.org/officeDocument/2006/relationships/hyperlink" Target="Pharma/NVO.xlsx" TargetMode="External"/><Relationship Id="rId210" Type="http://schemas.openxmlformats.org/officeDocument/2006/relationships/hyperlink" Target="Pharma/CGEM.xlsx" TargetMode="External"/><Relationship Id="rId448" Type="http://schemas.openxmlformats.org/officeDocument/2006/relationships/hyperlink" Target="Pharma/NTRB.xlsx" TargetMode="External"/><Relationship Id="rId655" Type="http://schemas.openxmlformats.org/officeDocument/2006/relationships/hyperlink" Target="Pharma/EOCN.xlsx" TargetMode="External"/><Relationship Id="rId294" Type="http://schemas.openxmlformats.org/officeDocument/2006/relationships/hyperlink" Target="Pharma/AVIR.xlsx" TargetMode="External"/><Relationship Id="rId308" Type="http://schemas.openxmlformats.org/officeDocument/2006/relationships/hyperlink" Target="Pharma/ARTV.xlsx" TargetMode="External"/><Relationship Id="rId515" Type="http://schemas.openxmlformats.org/officeDocument/2006/relationships/hyperlink" Target="Pharma/BTMD.xlsx" TargetMode="External"/><Relationship Id="rId89" Type="http://schemas.openxmlformats.org/officeDocument/2006/relationships/hyperlink" Target="Pharma/TNGX.xlsx" TargetMode="External"/><Relationship Id="rId154" Type="http://schemas.openxmlformats.org/officeDocument/2006/relationships/hyperlink" Target="Pharma/ZBIO.xlsx" TargetMode="External"/><Relationship Id="rId361" Type="http://schemas.openxmlformats.org/officeDocument/2006/relationships/hyperlink" Target="Pharma/TRDA.xlsx" TargetMode="External"/><Relationship Id="rId599" Type="http://schemas.openxmlformats.org/officeDocument/2006/relationships/hyperlink" Target="Pharma/PHIO.xlsx" TargetMode="External"/><Relationship Id="rId459" Type="http://schemas.openxmlformats.org/officeDocument/2006/relationships/hyperlink" Target="Pharma/MNOV.xlsx" TargetMode="External"/><Relationship Id="rId666" Type="http://schemas.openxmlformats.org/officeDocument/2006/relationships/hyperlink" Target="Pharma/PPCB.xlsx" TargetMode="External"/><Relationship Id="rId16" Type="http://schemas.openxmlformats.org/officeDocument/2006/relationships/hyperlink" Target="Pharma/REGN.xlsx" TargetMode="External"/><Relationship Id="rId221" Type="http://schemas.openxmlformats.org/officeDocument/2006/relationships/hyperlink" Target="Pharma/APMD.xlsx" TargetMode="External"/><Relationship Id="rId319" Type="http://schemas.openxmlformats.org/officeDocument/2006/relationships/hyperlink" Target="Pharma/OCGN.xlsx" TargetMode="External"/><Relationship Id="rId526" Type="http://schemas.openxmlformats.org/officeDocument/2006/relationships/hyperlink" Target="Pharma/FLNA.xlsx" TargetMode="External"/><Relationship Id="rId165" Type="http://schemas.openxmlformats.org/officeDocument/2006/relationships/hyperlink" Target="Pharma/INVA.xlsx" TargetMode="External"/><Relationship Id="rId372" Type="http://schemas.openxmlformats.org/officeDocument/2006/relationships/hyperlink" Target="Pharma/WHWK.xlsx" TargetMode="External"/><Relationship Id="rId677" Type="http://schemas.openxmlformats.org/officeDocument/2006/relationships/comments" Target="../comments1.xml"/><Relationship Id="rId232" Type="http://schemas.openxmlformats.org/officeDocument/2006/relationships/hyperlink" Target="Pharma/ACHV.xlsx" TargetMode="External"/><Relationship Id="rId27" Type="http://schemas.openxmlformats.org/officeDocument/2006/relationships/hyperlink" Target="Pharma/ALNY.xlsx" TargetMode="External"/><Relationship Id="rId537" Type="http://schemas.openxmlformats.org/officeDocument/2006/relationships/hyperlink" Target="Pharma/ATOS.xlsx" TargetMode="External"/><Relationship Id="rId80" Type="http://schemas.openxmlformats.org/officeDocument/2006/relationships/hyperlink" Target="Pharma/RGC.xlsx" TargetMode="External"/><Relationship Id="rId176" Type="http://schemas.openxmlformats.org/officeDocument/2006/relationships/hyperlink" Target="Pharma/RAPP.xlsx" TargetMode="External"/><Relationship Id="rId383" Type="http://schemas.openxmlformats.org/officeDocument/2006/relationships/hyperlink" Target="Pharma/PYXS.xlsx" TargetMode="External"/><Relationship Id="rId590" Type="http://schemas.openxmlformats.org/officeDocument/2006/relationships/hyperlink" Target="Pharma/DARE.xlsx" TargetMode="External"/><Relationship Id="rId604" Type="http://schemas.openxmlformats.org/officeDocument/2006/relationships/hyperlink" Target="Pharma/CMMB.xlsx" TargetMode="External"/><Relationship Id="rId243" Type="http://schemas.openxmlformats.org/officeDocument/2006/relationships/hyperlink" Target="Pharma/WVE.xlsx" TargetMode="External"/><Relationship Id="rId450" Type="http://schemas.openxmlformats.org/officeDocument/2006/relationships/hyperlink" Target="Pharma/OKYO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66"/>
  <sheetViews>
    <sheetView showGridLines="0" tabSelected="1" workbookViewId="0">
      <pane xSplit="1" ySplit="17" topLeftCell="B18" activePane="bottomRight" state="frozen"/>
      <selection pane="topRight"/>
      <selection pane="bottomLeft"/>
      <selection pane="bottomRight" activeCell="G14" sqref="G14"/>
    </sheetView>
  </sheetViews>
  <sheetFormatPr baseColWidth="10" defaultColWidth="8.83203125" defaultRowHeight="16" x14ac:dyDescent="0.2"/>
  <cols>
    <col min="1" max="1" width="3" customWidth="1"/>
    <col min="2" max="2" width="5" customWidth="1"/>
    <col min="3" max="3" width="8" customWidth="1"/>
    <col min="4" max="4" width="34" customWidth="1"/>
    <col min="5" max="5" width="7" customWidth="1"/>
    <col min="6" max="6" width="9" customWidth="1"/>
    <col min="7" max="7" width="14" customWidth="1"/>
    <col min="8" max="8" width="12" customWidth="1"/>
    <col min="9" max="9" width="10" customWidth="1"/>
    <col min="10" max="10" width="9" customWidth="1"/>
    <col min="11" max="11" width="12" customWidth="1"/>
    <col min="12" max="12" width="11" customWidth="1"/>
    <col min="13" max="13" width="10" customWidth="1"/>
    <col min="14" max="14" width="9" customWidth="1"/>
    <col min="15" max="15" width="7" customWidth="1"/>
    <col min="16" max="16" width="11" customWidth="1"/>
    <col min="17" max="17" width="12" customWidth="1"/>
    <col min="18" max="18" width="60" customWidth="1"/>
  </cols>
  <sheetData>
    <row r="2" spans="2:8" ht="19" x14ac:dyDescent="0.25">
      <c r="B2" s="19" t="s">
        <v>1433</v>
      </c>
    </row>
    <row r="3" spans="2:8" x14ac:dyDescent="0.2">
      <c r="B3" s="20"/>
    </row>
    <row r="5" spans="2:8" x14ac:dyDescent="0.2">
      <c r="B5" s="21" t="s">
        <v>1434</v>
      </c>
      <c r="H5" s="21" t="s">
        <v>1435</v>
      </c>
    </row>
    <row r="6" spans="2:8" x14ac:dyDescent="0.2">
      <c r="C6" s="44" t="s">
        <v>1436</v>
      </c>
      <c r="D6" s="45"/>
      <c r="E6" s="45"/>
      <c r="F6" s="22">
        <v>0.6</v>
      </c>
      <c r="H6" s="23" t="s">
        <v>1437</v>
      </c>
    </row>
    <row r="7" spans="2:8" x14ac:dyDescent="0.2">
      <c r="C7" s="44" t="s">
        <v>1438</v>
      </c>
      <c r="D7" s="45"/>
      <c r="E7" s="45"/>
      <c r="F7" s="24">
        <v>-0.4</v>
      </c>
      <c r="H7" s="23" t="s">
        <v>1439</v>
      </c>
    </row>
    <row r="8" spans="2:8" x14ac:dyDescent="0.2">
      <c r="C8" s="44" t="s">
        <v>1440</v>
      </c>
      <c r="D8" s="45"/>
      <c r="E8" s="45"/>
      <c r="F8" s="22">
        <v>1</v>
      </c>
      <c r="H8" s="23" t="s">
        <v>1441</v>
      </c>
    </row>
    <row r="9" spans="2:8" x14ac:dyDescent="0.2">
      <c r="C9" s="44" t="s">
        <v>1442</v>
      </c>
      <c r="D9" s="45"/>
      <c r="E9" s="45"/>
      <c r="F9" s="22">
        <v>0.2</v>
      </c>
      <c r="H9" s="23" t="s">
        <v>1443</v>
      </c>
    </row>
    <row r="10" spans="2:8" x14ac:dyDescent="0.2">
      <c r="C10" s="44" t="s">
        <v>1444</v>
      </c>
      <c r="D10" s="45"/>
      <c r="E10" s="45"/>
      <c r="F10" s="25">
        <v>16</v>
      </c>
      <c r="H10" s="23" t="s">
        <v>1445</v>
      </c>
    </row>
    <row r="11" spans="2:8" x14ac:dyDescent="0.2">
      <c r="C11" s="44" t="s">
        <v>1446</v>
      </c>
      <c r="D11" s="45"/>
      <c r="E11" s="45"/>
      <c r="F11" s="25">
        <v>28</v>
      </c>
      <c r="H11" s="23" t="s">
        <v>1447</v>
      </c>
    </row>
    <row r="12" spans="2:8" x14ac:dyDescent="0.2">
      <c r="C12" s="44" t="s">
        <v>1448</v>
      </c>
      <c r="D12" s="45"/>
      <c r="E12" s="45"/>
      <c r="F12" s="26">
        <v>0.42585774853930991</v>
      </c>
      <c r="H12" s="23" t="s">
        <v>1449</v>
      </c>
    </row>
    <row r="13" spans="2:8" x14ac:dyDescent="0.2">
      <c r="C13" s="44" t="s">
        <v>1450</v>
      </c>
      <c r="D13" s="45"/>
      <c r="E13" s="45"/>
      <c r="F13" s="26">
        <v>-0.50604107967637146</v>
      </c>
    </row>
    <row r="14" spans="2:8" x14ac:dyDescent="0.2">
      <c r="C14" s="44" t="s">
        <v>1451</v>
      </c>
      <c r="D14" s="45"/>
      <c r="E14" s="45"/>
      <c r="F14" s="25">
        <v>168</v>
      </c>
    </row>
    <row r="15" spans="2:8" x14ac:dyDescent="0.2">
      <c r="C15" s="44" t="s">
        <v>1452</v>
      </c>
      <c r="D15" s="45"/>
      <c r="E15" s="45"/>
      <c r="F15" s="25">
        <v>44</v>
      </c>
    </row>
    <row r="17" spans="2:18" x14ac:dyDescent="0.2">
      <c r="B17" s="27" t="s">
        <v>1453</v>
      </c>
      <c r="C17" s="28" t="s">
        <v>1</v>
      </c>
      <c r="D17" s="28" t="s">
        <v>1454</v>
      </c>
      <c r="E17" s="27" t="s">
        <v>1455</v>
      </c>
      <c r="F17" s="27" t="s">
        <v>1456</v>
      </c>
      <c r="G17" s="28" t="s">
        <v>10</v>
      </c>
      <c r="H17" s="27" t="s">
        <v>1457</v>
      </c>
      <c r="I17" s="27" t="s">
        <v>5</v>
      </c>
      <c r="J17" s="27" t="s">
        <v>9</v>
      </c>
      <c r="K17" s="27" t="s">
        <v>1458</v>
      </c>
      <c r="L17" s="27" t="s">
        <v>1459</v>
      </c>
      <c r="M17" s="27" t="s">
        <v>1460</v>
      </c>
      <c r="N17" s="27" t="s">
        <v>1461</v>
      </c>
      <c r="O17" s="27" t="s">
        <v>1462</v>
      </c>
      <c r="P17" s="27" t="s">
        <v>1463</v>
      </c>
      <c r="Q17" s="27" t="s">
        <v>11</v>
      </c>
      <c r="R17" s="28" t="s">
        <v>12</v>
      </c>
    </row>
    <row r="18" spans="2:18" x14ac:dyDescent="0.2">
      <c r="C18" s="21" t="s">
        <v>1464</v>
      </c>
    </row>
    <row r="19" spans="2:18" x14ac:dyDescent="0.2">
      <c r="B19" s="29">
        <v>1</v>
      </c>
      <c r="C19" s="30" t="s">
        <v>52</v>
      </c>
      <c r="D19" s="30" t="s">
        <v>53</v>
      </c>
      <c r="E19" s="31" t="s">
        <v>1465</v>
      </c>
      <c r="F19" s="32">
        <v>0.08</v>
      </c>
      <c r="G19" s="30" t="s">
        <v>1466</v>
      </c>
      <c r="H19" s="33">
        <v>66.822469406445506</v>
      </c>
      <c r="I19" s="33">
        <v>41.4</v>
      </c>
      <c r="J19" s="34">
        <v>0.61406930933443249</v>
      </c>
      <c r="K19" s="35">
        <v>100.96856354880001</v>
      </c>
      <c r="L19" s="36">
        <v>1</v>
      </c>
      <c r="M19" s="36">
        <v>1</v>
      </c>
      <c r="N19" s="37">
        <v>0.08</v>
      </c>
      <c r="O19" s="38">
        <v>0.61406930933443249</v>
      </c>
      <c r="P19" s="34">
        <f>IFERROR(INDEX(Pharma!$K$3:$K$677,MATCH($C19,Pharma!$B$3:$B$677,0)),"")</f>
        <v>0.61406930933443249</v>
      </c>
      <c r="Q19" s="39">
        <f>IFERROR(IF(INDEX(Pharma!$M$3:$M$677,MATCH($C19,Pharma!$B$3:$B$677,0))="","",INDEX(Pharma!$M$3:$M$677,MATCH($C19,Pharma!$B$3:$B$677,0))),"")</f>
        <v>46325</v>
      </c>
      <c r="R19" s="30" t="str">
        <f>IFERROR(T(INDEX(Pharma!$N$3:$N$677,MATCH($C19,Pharma!$B$3:$B$677,0))),"")</f>
        <v>Earnings Oct 30 (before open)</v>
      </c>
    </row>
    <row r="20" spans="2:18" x14ac:dyDescent="0.2">
      <c r="B20" s="29">
        <v>2</v>
      </c>
      <c r="C20" s="30" t="s">
        <v>49</v>
      </c>
      <c r="D20" s="30" t="s">
        <v>50</v>
      </c>
      <c r="E20" s="31" t="s">
        <v>1465</v>
      </c>
      <c r="F20" s="32">
        <v>0.08</v>
      </c>
      <c r="G20" s="30" t="s">
        <v>1466</v>
      </c>
      <c r="H20" s="33">
        <v>66.386168871219525</v>
      </c>
      <c r="I20" s="33">
        <v>50.645000000000003</v>
      </c>
      <c r="J20" s="34">
        <v>0.31081387839311908</v>
      </c>
      <c r="K20" s="35">
        <v>109.277856670885</v>
      </c>
      <c r="L20" s="36">
        <v>1</v>
      </c>
      <c r="M20" s="36">
        <v>1</v>
      </c>
      <c r="N20" s="37">
        <v>0.08</v>
      </c>
      <c r="O20" s="38">
        <v>0.31081387839311908</v>
      </c>
      <c r="P20" s="34">
        <f>IFERROR(INDEX(Pharma!$K$3:$K$677,MATCH($C20,Pharma!$B$3:$B$677,0)),"")</f>
        <v>0.31081387839311914</v>
      </c>
      <c r="Q20" s="39">
        <f>IFERROR(IF(INDEX(Pharma!$M$3:$M$677,MATCH($C20,Pharma!$B$3:$B$677,0))="","",INDEX(Pharma!$M$3:$M$677,MATCH($C20,Pharma!$B$3:$B$677,0))),"")</f>
        <v>46323</v>
      </c>
      <c r="R20" s="30" t="str">
        <f>IFERROR(T(INDEX(Pharma!$N$3:$N$677,MATCH($C20,Pharma!$B$3:$B$677,0))),"")</f>
        <v>Earnings Oct 28 (before open)</v>
      </c>
    </row>
    <row r="21" spans="2:18" x14ac:dyDescent="0.2">
      <c r="B21" s="29">
        <v>3</v>
      </c>
      <c r="C21" s="30" t="s">
        <v>80</v>
      </c>
      <c r="D21" s="30" t="s">
        <v>81</v>
      </c>
      <c r="E21" s="31" t="s">
        <v>1465</v>
      </c>
      <c r="F21" s="32">
        <v>0.06</v>
      </c>
      <c r="G21" s="30" t="s">
        <v>1466</v>
      </c>
      <c r="H21" s="33">
        <v>103.1981739220913</v>
      </c>
      <c r="I21" s="33">
        <v>80.040000000000006</v>
      </c>
      <c r="J21" s="34">
        <v>0.28933250777225461</v>
      </c>
      <c r="K21" s="35">
        <v>33.074417104080013</v>
      </c>
      <c r="L21" s="36">
        <v>1</v>
      </c>
      <c r="M21" s="36">
        <v>0.81980957463284543</v>
      </c>
      <c r="N21" s="37">
        <v>0.06</v>
      </c>
      <c r="O21" s="38">
        <v>0.23719756012422649</v>
      </c>
      <c r="P21" s="34">
        <f>IFERROR(INDEX(Pharma!$K$3:$K$677,MATCH($C21,Pharma!$B$3:$B$677,0)),"")</f>
        <v>0.28933250777225461</v>
      </c>
      <c r="Q21" s="39">
        <f>IFERROR(IF(INDEX(Pharma!$M$3:$M$677,MATCH($C21,Pharma!$B$3:$B$677,0))="","",INDEX(Pharma!$M$3:$M$677,MATCH($C21,Pharma!$B$3:$B$677,0))),"")</f>
        <v>46331</v>
      </c>
      <c r="R21" s="30" t="str">
        <f>IFERROR(T(INDEX(Pharma!$N$3:$N$677,MATCH($C21,Pharma!$B$3:$B$677,0))),"")</f>
        <v>Earnings Nov 5 (before open)</v>
      </c>
    </row>
    <row r="22" spans="2:18" x14ac:dyDescent="0.2">
      <c r="B22" s="29">
        <v>4</v>
      </c>
      <c r="C22" s="30" t="s">
        <v>108</v>
      </c>
      <c r="D22" s="30" t="s">
        <v>109</v>
      </c>
      <c r="E22" s="31" t="s">
        <v>1465</v>
      </c>
      <c r="F22" s="32">
        <v>0.06</v>
      </c>
      <c r="G22" s="30" t="s">
        <v>1466</v>
      </c>
      <c r="H22" s="33">
        <v>166.52692221053019</v>
      </c>
      <c r="I22" s="33">
        <v>142</v>
      </c>
      <c r="J22" s="34">
        <v>0.1727248042995084</v>
      </c>
      <c r="K22" s="35">
        <v>14.434183702</v>
      </c>
      <c r="L22" s="36">
        <v>1</v>
      </c>
      <c r="M22" s="36">
        <v>0.68477208557760849</v>
      </c>
      <c r="N22" s="37">
        <v>0.06</v>
      </c>
      <c r="O22" s="38">
        <v>0.11827712447115871</v>
      </c>
      <c r="P22" s="34">
        <f>IFERROR(INDEX(Pharma!$K$3:$K$677,MATCH($C22,Pharma!$B$3:$B$677,0)),"")</f>
        <v>0.17272480429950843</v>
      </c>
      <c r="Q22" s="39">
        <f>IFERROR(IF(INDEX(Pharma!$M$3:$M$677,MATCH($C22,Pharma!$B$3:$B$677,0))="","",INDEX(Pharma!$M$3:$M$677,MATCH($C22,Pharma!$B$3:$B$677,0))),"")</f>
        <v>46328</v>
      </c>
      <c r="R22" s="30" t="str">
        <f>IFERROR(T(INDEX(Pharma!$N$3:$N$677,MATCH($C22,Pharma!$B$3:$B$677,0))),"")</f>
        <v>Earnings Nov 2 (after close)</v>
      </c>
    </row>
    <row r="23" spans="2:18" x14ac:dyDescent="0.2">
      <c r="B23" s="29">
        <v>5</v>
      </c>
      <c r="C23" s="30" t="s">
        <v>83</v>
      </c>
      <c r="D23" s="30" t="s">
        <v>84</v>
      </c>
      <c r="E23" s="31" t="s">
        <v>1465</v>
      </c>
      <c r="F23" s="32">
        <v>5.9529503156983882E-2</v>
      </c>
      <c r="G23" s="30" t="s">
        <v>1467</v>
      </c>
      <c r="H23" s="33">
        <v>288.29953858447789</v>
      </c>
      <c r="I23" s="33">
        <v>230.71</v>
      </c>
      <c r="J23" s="34">
        <v>0.24961873600831311</v>
      </c>
      <c r="K23" s="35">
        <v>30.871101613779999</v>
      </c>
      <c r="L23" s="36">
        <v>0.5</v>
      </c>
      <c r="M23" s="36">
        <v>0.8085820477206257</v>
      </c>
      <c r="N23" s="37">
        <v>0.06</v>
      </c>
      <c r="O23" s="38">
        <v>0.10091861435551799</v>
      </c>
      <c r="P23" s="34">
        <f>IFERROR(INDEX(Pharma!$K$3:$K$677,MATCH($C23,Pharma!$B$3:$B$677,0)),"")</f>
        <v>0.24961873600831308</v>
      </c>
      <c r="Q23" s="39">
        <f>IFERROR(IF(INDEX(Pharma!$M$3:$M$677,MATCH($C23,Pharma!$B$3:$B$677,0))="","",INDEX(Pharma!$M$3:$M$677,MATCH($C23,Pharma!$B$3:$B$677,0))),"")</f>
        <v>46324</v>
      </c>
      <c r="R23" s="30" t="str">
        <f>IFERROR(T(INDEX(Pharma!$N$3:$N$677,MATCH($C23,Pharma!$B$3:$B$677,0))),"")</f>
        <v>Earnings Oct 29 (before open)</v>
      </c>
    </row>
    <row r="24" spans="2:18" x14ac:dyDescent="0.2">
      <c r="B24" s="29">
        <v>6</v>
      </c>
      <c r="C24" s="30" t="s">
        <v>47</v>
      </c>
      <c r="D24" s="30" t="s">
        <v>48</v>
      </c>
      <c r="E24" s="31" t="s">
        <v>1465</v>
      </c>
      <c r="F24" s="32">
        <v>4.6981691020449683E-2</v>
      </c>
      <c r="G24" s="30" t="s">
        <v>1467</v>
      </c>
      <c r="H24" s="33">
        <v>71.545789441526807</v>
      </c>
      <c r="I24" s="33">
        <v>61.715000000000003</v>
      </c>
      <c r="J24" s="34">
        <v>0.15929335561090169</v>
      </c>
      <c r="K24" s="35">
        <v>126.06613499504</v>
      </c>
      <c r="L24" s="36">
        <v>0.5</v>
      </c>
      <c r="M24" s="36">
        <v>1</v>
      </c>
      <c r="N24" s="37">
        <v>0.08</v>
      </c>
      <c r="O24" s="38">
        <v>7.9646677805450872E-2</v>
      </c>
      <c r="P24" s="34">
        <f>IFERROR(INDEX(Pharma!$K$3:$K$677,MATCH($C24,Pharma!$B$3:$B$677,0)),"")</f>
        <v>0.15929335561090174</v>
      </c>
      <c r="Q24" s="39">
        <f>IFERROR(IF(INDEX(Pharma!$M$3:$M$677,MATCH($C24,Pharma!$B$3:$B$677,0))="","",INDEX(Pharma!$M$3:$M$677,MATCH($C24,Pharma!$B$3:$B$677,0))),"")</f>
        <v>46324</v>
      </c>
      <c r="R24" s="30" t="str">
        <f>IFERROR(T(INDEX(Pharma!$N$3:$N$677,MATCH($C24,Pharma!$B$3:$B$677,0))),"")</f>
        <v>Earnings Oct 29 (before open)</v>
      </c>
    </row>
    <row r="25" spans="2:18" x14ac:dyDescent="0.2">
      <c r="B25" s="29">
        <v>7</v>
      </c>
      <c r="C25" s="30" t="s">
        <v>26</v>
      </c>
      <c r="D25" s="30" t="s">
        <v>27</v>
      </c>
      <c r="E25" s="31" t="s">
        <v>1465</v>
      </c>
      <c r="F25" s="32">
        <v>4.5098415722896433E-2</v>
      </c>
      <c r="G25" s="30" t="s">
        <v>1467</v>
      </c>
      <c r="H25" s="33">
        <v>177.13279023029421</v>
      </c>
      <c r="I25" s="33">
        <v>153.63999999999999</v>
      </c>
      <c r="J25" s="34">
        <v>0.1529080332614827</v>
      </c>
      <c r="K25" s="35">
        <v>293.16842396155999</v>
      </c>
      <c r="L25" s="36">
        <v>0.5</v>
      </c>
      <c r="M25" s="36">
        <v>1</v>
      </c>
      <c r="N25" s="37">
        <v>0.08</v>
      </c>
      <c r="O25" s="38">
        <v>7.6454016630741362E-2</v>
      </c>
      <c r="P25" s="34">
        <f>IFERROR(INDEX(Pharma!$K$3:$K$677,MATCH($C25,Pharma!$B$3:$B$677,0)),"")</f>
        <v>0.15290803326148272</v>
      </c>
      <c r="Q25" s="39">
        <f>IFERROR(IF(INDEX(Pharma!$M$3:$M$677,MATCH($C25,Pharma!$B$3:$B$677,0))="","",INDEX(Pharma!$M$3:$M$677,MATCH($C25,Pharma!$B$3:$B$677,0))),"")</f>
        <v>46322</v>
      </c>
      <c r="R25" s="30" t="str">
        <f>IFERROR(T(INDEX(Pharma!$N$3:$N$677,MATCH($C25,Pharma!$B$3:$B$677,0))),"")</f>
        <v>Earnings Oct 27 (before open)</v>
      </c>
    </row>
    <row r="26" spans="2:18" x14ac:dyDescent="0.2">
      <c r="B26" s="29">
        <v>8</v>
      </c>
      <c r="C26" s="30" t="s">
        <v>240</v>
      </c>
      <c r="D26" s="30" t="s">
        <v>241</v>
      </c>
      <c r="E26" s="31" t="s">
        <v>1465</v>
      </c>
      <c r="F26" s="32">
        <v>2.0913628211206611E-2</v>
      </c>
      <c r="G26" s="30" t="s">
        <v>1467</v>
      </c>
      <c r="H26" s="33">
        <v>24.93830421292855</v>
      </c>
      <c r="I26" s="33">
        <v>19.010000000000002</v>
      </c>
      <c r="J26" s="34">
        <v>0.31185187863906089</v>
      </c>
      <c r="K26" s="35">
        <v>3.515769937345</v>
      </c>
      <c r="L26" s="36">
        <v>0.25</v>
      </c>
      <c r="M26" s="36">
        <v>0.4547576680949153</v>
      </c>
      <c r="N26" s="37">
        <v>0.04</v>
      </c>
      <c r="O26" s="38">
        <v>3.5454258280229467E-2</v>
      </c>
      <c r="P26" s="34">
        <f>IFERROR(INDEX(Pharma!$K$3:$K$677,MATCH($C26,Pharma!$B$3:$B$677,0)),"")</f>
        <v>0.31185187863906094</v>
      </c>
      <c r="Q26" s="39">
        <f>IFERROR(IF(INDEX(Pharma!$M$3:$M$677,MATCH($C26,Pharma!$B$3:$B$677,0))="","",INDEX(Pharma!$M$3:$M$677,MATCH($C26,Pharma!$B$3:$B$677,0))),"")</f>
        <v>46337</v>
      </c>
      <c r="R26" s="30" t="str">
        <f>IFERROR(T(INDEX(Pharma!$N$3:$N$677,MATCH($C26,Pharma!$B$3:$B$677,0))),"")</f>
        <v>Earnings Nov 11 (est.)</v>
      </c>
    </row>
    <row r="27" spans="2:18" x14ac:dyDescent="0.2">
      <c r="B27" s="29">
        <v>9</v>
      </c>
      <c r="C27" s="30" t="s">
        <v>287</v>
      </c>
      <c r="D27" s="30" t="s">
        <v>288</v>
      </c>
      <c r="E27" s="31" t="s">
        <v>1465</v>
      </c>
      <c r="F27" s="32">
        <v>0.02</v>
      </c>
      <c r="G27" s="30" t="s">
        <v>1467</v>
      </c>
      <c r="H27" s="33">
        <v>10.708239624250201</v>
      </c>
      <c r="I27" s="33">
        <v>6.415</v>
      </c>
      <c r="J27" s="34">
        <v>0.66925013628218277</v>
      </c>
      <c r="K27" s="35">
        <v>2.3991494488149998</v>
      </c>
      <c r="L27" s="36">
        <v>0.5</v>
      </c>
      <c r="M27" s="36">
        <v>0.39252148827359212</v>
      </c>
      <c r="N27" s="37">
        <v>0.02</v>
      </c>
      <c r="O27" s="38">
        <v>0.13134752976039341</v>
      </c>
      <c r="P27" s="34">
        <f>IFERROR(INDEX(Pharma!$K$3:$K$677,MATCH($C27,Pharma!$B$3:$B$677,0)),"")</f>
        <v>0.66925013628218277</v>
      </c>
      <c r="Q27" s="39">
        <f>IFERROR(IF(INDEX(Pharma!$M$3:$M$677,MATCH($C27,Pharma!$B$3:$B$677,0))="","",INDEX(Pharma!$M$3:$M$677,MATCH($C27,Pharma!$B$3:$B$677,0))),"")</f>
        <v>46323</v>
      </c>
      <c r="R27" s="30" t="str">
        <f>IFERROR(T(INDEX(Pharma!$N$3:$N$677,MATCH($C27,Pharma!$B$3:$B$677,0))),"")</f>
        <v>Earnings Oct 28 (after close)</v>
      </c>
    </row>
    <row r="28" spans="2:18" x14ac:dyDescent="0.2">
      <c r="B28" s="29">
        <v>10</v>
      </c>
      <c r="C28" s="30" t="s">
        <v>294</v>
      </c>
      <c r="D28" s="30" t="s">
        <v>295</v>
      </c>
      <c r="E28" s="31" t="s">
        <v>1465</v>
      </c>
      <c r="F28" s="32">
        <v>0.02</v>
      </c>
      <c r="G28" s="30" t="s">
        <v>1467</v>
      </c>
      <c r="H28" s="33">
        <v>89.024702177033234</v>
      </c>
      <c r="I28" s="33">
        <v>38.700000000000003</v>
      </c>
      <c r="J28" s="34">
        <v>1.300379901215329</v>
      </c>
      <c r="K28" s="35">
        <v>2.2537484091</v>
      </c>
      <c r="L28" s="36">
        <v>0.5</v>
      </c>
      <c r="M28" s="36">
        <v>0.38233953743730198</v>
      </c>
      <c r="N28" s="37">
        <v>0.02</v>
      </c>
      <c r="O28" s="38">
        <v>0.19116976871865099</v>
      </c>
      <c r="P28" s="34">
        <f>IFERROR(INDEX(Pharma!$K$3:$K$677,MATCH($C28,Pharma!$B$3:$B$677,0)),"")</f>
        <v>1.300379901215329</v>
      </c>
      <c r="Q28" s="39">
        <f>IFERROR(IF(INDEX(Pharma!$M$3:$M$677,MATCH($C28,Pharma!$B$3:$B$677,0))="","",INDEX(Pharma!$M$3:$M$677,MATCH($C28,Pharma!$B$3:$B$677,0))),"")</f>
        <v>46329</v>
      </c>
      <c r="R28" s="30" t="str">
        <f>IFERROR(T(INDEX(Pharma!$N$3:$N$677,MATCH($C28,Pharma!$B$3:$B$677,0))),"")</f>
        <v>Earnings Nov 3 (est.)</v>
      </c>
    </row>
    <row r="29" spans="2:18" x14ac:dyDescent="0.2">
      <c r="B29" s="29">
        <v>11</v>
      </c>
      <c r="C29" s="30" t="s">
        <v>359</v>
      </c>
      <c r="D29" s="30" t="s">
        <v>360</v>
      </c>
      <c r="E29" s="31" t="s">
        <v>1465</v>
      </c>
      <c r="F29" s="32">
        <v>0.02</v>
      </c>
      <c r="G29" s="30" t="s">
        <v>1467</v>
      </c>
      <c r="H29" s="33">
        <v>158.06464336162111</v>
      </c>
      <c r="I29" s="33">
        <v>72.67</v>
      </c>
      <c r="J29" s="34">
        <v>1.1751017388416281</v>
      </c>
      <c r="K29" s="35">
        <v>1.6692554798399999</v>
      </c>
      <c r="L29" s="36">
        <v>0.5</v>
      </c>
      <c r="M29" s="36">
        <v>0.33344605397946098</v>
      </c>
      <c r="N29" s="37">
        <v>0.02</v>
      </c>
      <c r="O29" s="38">
        <v>0.16672302698973049</v>
      </c>
      <c r="P29" s="34">
        <f>IFERROR(INDEX(Pharma!$K$3:$K$677,MATCH($C29,Pharma!$B$3:$B$677,0)),"")</f>
        <v>1.1751017388416285</v>
      </c>
      <c r="Q29" s="39">
        <f>IFERROR(IF(INDEX(Pharma!$M$3:$M$677,MATCH($C29,Pharma!$B$3:$B$677,0))="","",INDEX(Pharma!$M$3:$M$677,MATCH($C29,Pharma!$B$3:$B$677,0))),"")</f>
        <v>46332</v>
      </c>
      <c r="R29" s="30" t="str">
        <f>IFERROR(T(INDEX(Pharma!$N$3:$N$677,MATCH($C29,Pharma!$B$3:$B$677,0))),"")</f>
        <v>Earnings Nov 6 (est.)</v>
      </c>
    </row>
    <row r="30" spans="2:18" x14ac:dyDescent="0.2">
      <c r="B30" s="29">
        <v>12</v>
      </c>
      <c r="C30" s="30" t="s">
        <v>368</v>
      </c>
      <c r="D30" s="30" t="s">
        <v>369</v>
      </c>
      <c r="E30" s="31" t="s">
        <v>1465</v>
      </c>
      <c r="F30" s="32">
        <v>0.02</v>
      </c>
      <c r="G30" s="30" t="s">
        <v>1467</v>
      </c>
      <c r="H30" s="33">
        <v>90.169679701620638</v>
      </c>
      <c r="I30" s="33">
        <v>38.799999999999997</v>
      </c>
      <c r="J30" s="34">
        <v>1.323960817052078</v>
      </c>
      <c r="K30" s="35">
        <v>1.5753421964000001</v>
      </c>
      <c r="L30" s="36">
        <v>0.5</v>
      </c>
      <c r="M30" s="36">
        <v>0.32401558974141298</v>
      </c>
      <c r="N30" s="37">
        <v>0.02</v>
      </c>
      <c r="O30" s="38">
        <v>0.16200779487070649</v>
      </c>
      <c r="P30" s="34">
        <f>IFERROR(INDEX(Pharma!$K$3:$K$677,MATCH($C30,Pharma!$B$3:$B$677,0)),"")</f>
        <v>1.3239608170520785</v>
      </c>
      <c r="Q30" s="39">
        <f>IFERROR(IF(INDEX(Pharma!$M$3:$M$677,MATCH($C30,Pharma!$B$3:$B$677,0))="","",INDEX(Pharma!$M$3:$M$677,MATCH($C30,Pharma!$B$3:$B$677,0))),"")</f>
        <v>46330</v>
      </c>
      <c r="R30" s="30" t="str">
        <f>IFERROR(T(INDEX(Pharma!$N$3:$N$677,MATCH($C30,Pharma!$B$3:$B$677,0))),"")</f>
        <v>Earnings Nov 4 (est.)</v>
      </c>
    </row>
    <row r="31" spans="2:18" x14ac:dyDescent="0.2">
      <c r="B31" s="29">
        <v>13</v>
      </c>
      <c r="C31" s="30" t="s">
        <v>386</v>
      </c>
      <c r="D31" s="30" t="s">
        <v>387</v>
      </c>
      <c r="E31" s="31" t="s">
        <v>1465</v>
      </c>
      <c r="F31" s="32">
        <v>0.02</v>
      </c>
      <c r="G31" s="30" t="s">
        <v>1467</v>
      </c>
      <c r="H31" s="33">
        <v>40.280656987459572</v>
      </c>
      <c r="I31" s="33">
        <v>21.28</v>
      </c>
      <c r="J31" s="34">
        <v>0.89288801632798709</v>
      </c>
      <c r="K31" s="35">
        <v>1.5373839208</v>
      </c>
      <c r="L31" s="36">
        <v>0.5</v>
      </c>
      <c r="M31" s="36">
        <v>0.32004337545824407</v>
      </c>
      <c r="N31" s="37">
        <v>0.02</v>
      </c>
      <c r="O31" s="38">
        <v>0.1428814473259124</v>
      </c>
      <c r="P31" s="34">
        <f>IFERROR(INDEX(Pharma!$K$3:$K$677,MATCH($C31,Pharma!$B$3:$B$677,0)),"")</f>
        <v>0.89288801632798709</v>
      </c>
      <c r="Q31" s="39">
        <f>IFERROR(IF(INDEX(Pharma!$M$3:$M$677,MATCH($C31,Pharma!$B$3:$B$677,0))="","",INDEX(Pharma!$M$3:$M$677,MATCH($C31,Pharma!$B$3:$B$677,0))),"")</f>
        <v>46330</v>
      </c>
      <c r="R31" s="30" t="str">
        <f>IFERROR(T(INDEX(Pharma!$N$3:$N$677,MATCH($C31,Pharma!$B$3:$B$677,0))),"")</f>
        <v>Earnings Nov 4 (est.)</v>
      </c>
    </row>
    <row r="32" spans="2:18" x14ac:dyDescent="0.2">
      <c r="B32" s="29">
        <v>14</v>
      </c>
      <c r="C32" s="30" t="s">
        <v>403</v>
      </c>
      <c r="D32" s="30" t="s">
        <v>404</v>
      </c>
      <c r="E32" s="31" t="s">
        <v>1465</v>
      </c>
      <c r="F32" s="32">
        <v>0.02</v>
      </c>
      <c r="G32" s="30" t="s">
        <v>1468</v>
      </c>
      <c r="H32" s="33">
        <v>55.711320977032571</v>
      </c>
      <c r="I32" s="33">
        <v>45.43</v>
      </c>
      <c r="J32" s="34">
        <v>0.22631126958028999</v>
      </c>
      <c r="K32" s="35">
        <v>1.35814093492</v>
      </c>
      <c r="L32" s="36">
        <v>0.7</v>
      </c>
      <c r="M32" s="36">
        <v>0.29985431470917029</v>
      </c>
      <c r="N32" s="37">
        <v>0.02</v>
      </c>
      <c r="O32" s="38">
        <v>4.7502287455672108E-2</v>
      </c>
      <c r="P32" s="34">
        <f>IFERROR(INDEX(Pharma!$K$3:$K$677,MATCH($C32,Pharma!$B$3:$B$677,0)),"")</f>
        <v>0.22631126958029002</v>
      </c>
      <c r="Q32" s="39">
        <f>IFERROR(IF(INDEX(Pharma!$M$3:$M$677,MATCH($C32,Pharma!$B$3:$B$677,0))="","",INDEX(Pharma!$M$3:$M$677,MATCH($C32,Pharma!$B$3:$B$677,0))),"")</f>
        <v>46368</v>
      </c>
      <c r="R32" s="30" t="str">
        <f>IFERROR(T(INDEX(Pharma!$N$3:$N$677,MATCH($C32,Pharma!$B$3:$B$677,0))),"")</f>
        <v>PDUFA Dec 12: Quimilza (Vanda; ANAB royalty) · Earnings Nov 3 (est.)</v>
      </c>
    </row>
    <row r="33" spans="2:18" x14ac:dyDescent="0.2">
      <c r="B33" s="29">
        <v>15</v>
      </c>
      <c r="C33" s="30" t="s">
        <v>312</v>
      </c>
      <c r="D33" s="30" t="s">
        <v>313</v>
      </c>
      <c r="E33" s="31" t="s">
        <v>1465</v>
      </c>
      <c r="F33" s="32">
        <v>1.5472017128569391E-2</v>
      </c>
      <c r="G33" s="30" t="s">
        <v>1467</v>
      </c>
      <c r="H33" s="33">
        <v>10.22088815255694</v>
      </c>
      <c r="I33" s="33">
        <v>7.94</v>
      </c>
      <c r="J33" s="34">
        <v>0.28726551039759962</v>
      </c>
      <c r="K33" s="35">
        <v>2.0289487337000001</v>
      </c>
      <c r="L33" s="36">
        <v>0.25</v>
      </c>
      <c r="M33" s="36">
        <v>0.36522665262657322</v>
      </c>
      <c r="N33" s="37">
        <v>0.02</v>
      </c>
      <c r="O33" s="38">
        <v>2.622925519439484E-2</v>
      </c>
      <c r="P33" s="34">
        <f>IFERROR(INDEX(Pharma!$K$3:$K$677,MATCH($C33,Pharma!$B$3:$B$677,0)),"")</f>
        <v>0.28726551039759962</v>
      </c>
      <c r="Q33" s="39">
        <f>IFERROR(IF(INDEX(Pharma!$M$3:$M$677,MATCH($C33,Pharma!$B$3:$B$677,0))="","",INDEX(Pharma!$M$3:$M$677,MATCH($C33,Pharma!$B$3:$B$677,0))),"")</f>
        <v>46328</v>
      </c>
      <c r="R33" s="30" t="str">
        <f>IFERROR(T(INDEX(Pharma!$N$3:$N$677,MATCH($C33,Pharma!$B$3:$B$677,0))),"")</f>
        <v>Earnings Nov 2 (est.)</v>
      </c>
    </row>
    <row r="34" spans="2:18" x14ac:dyDescent="0.2">
      <c r="B34" s="29">
        <v>16</v>
      </c>
      <c r="C34" s="30" t="s">
        <v>443</v>
      </c>
      <c r="D34" s="30" t="s">
        <v>444</v>
      </c>
      <c r="E34" s="31" t="s">
        <v>1465</v>
      </c>
      <c r="F34" s="32">
        <v>1.2004744759893949E-2</v>
      </c>
      <c r="G34" s="30" t="s">
        <v>1467</v>
      </c>
      <c r="H34" s="33">
        <v>29.908820222805119</v>
      </c>
      <c r="I34" s="33">
        <v>25.94</v>
      </c>
      <c r="J34" s="34">
        <v>0.15300000858924889</v>
      </c>
      <c r="K34" s="35">
        <v>1.1034342673599999</v>
      </c>
      <c r="L34" s="36">
        <v>0.5</v>
      </c>
      <c r="M34" s="36">
        <v>0.26602992509817791</v>
      </c>
      <c r="N34" s="37">
        <v>0.02</v>
      </c>
      <c r="O34" s="38">
        <v>2.0351290412509229E-2</v>
      </c>
      <c r="P34" s="34">
        <f>IFERROR(INDEX(Pharma!$K$3:$K$677,MATCH($C34,Pharma!$B$3:$B$677,0)),"")</f>
        <v>0.15300000858924889</v>
      </c>
      <c r="Q34" s="39">
        <f>IFERROR(IF(INDEX(Pharma!$M$3:$M$677,MATCH($C34,Pharma!$B$3:$B$677,0))="","",INDEX(Pharma!$M$3:$M$677,MATCH($C34,Pharma!$B$3:$B$677,0))),"")</f>
        <v>46331</v>
      </c>
      <c r="R34" s="30" t="str">
        <f>IFERROR(T(INDEX(Pharma!$N$3:$N$677,MATCH($C34,Pharma!$B$3:$B$677,0))),"")</f>
        <v>Earnings Nov 5 (est.)</v>
      </c>
    </row>
    <row r="35" spans="2:18" x14ac:dyDescent="0.2">
      <c r="D35" s="21" t="s">
        <v>1469</v>
      </c>
      <c r="F35" s="40">
        <v>0.6</v>
      </c>
    </row>
    <row r="37" spans="2:18" x14ac:dyDescent="0.2">
      <c r="C37" s="21" t="s">
        <v>1470</v>
      </c>
    </row>
    <row r="38" spans="2:18" x14ac:dyDescent="0.2">
      <c r="B38" s="29">
        <v>1</v>
      </c>
      <c r="C38" s="30" t="s">
        <v>13</v>
      </c>
      <c r="D38" s="30" t="s">
        <v>14</v>
      </c>
      <c r="E38" s="41" t="s">
        <v>1471</v>
      </c>
      <c r="F38" s="42">
        <v>-3.2757190532694463E-2</v>
      </c>
      <c r="G38" s="30" t="s">
        <v>1472</v>
      </c>
      <c r="H38" s="33">
        <v>734.21432802039237</v>
      </c>
      <c r="I38" s="33">
        <v>1286.835</v>
      </c>
      <c r="J38" s="34">
        <v>-0.42944174814922481</v>
      </c>
      <c r="K38" s="35">
        <v>1147.029468739275</v>
      </c>
      <c r="L38" s="36">
        <v>1</v>
      </c>
      <c r="M38" s="36">
        <v>1</v>
      </c>
      <c r="N38" s="37">
        <v>0.08</v>
      </c>
      <c r="O38" s="38">
        <v>0.42944174814922481</v>
      </c>
      <c r="P38" s="34">
        <f>IFERROR(INDEX(Pharma!$K$3:$K$677,MATCH($C38,Pharma!$B$3:$B$677,0)),"")</f>
        <v>-0.42944174814922476</v>
      </c>
      <c r="Q38" s="39">
        <f>IFERROR(IF(INDEX(Pharma!$M$3:$M$677,MATCH($C38,Pharma!$B$3:$B$677,0))="","",INDEX(Pharma!$M$3:$M$677,MATCH($C38,Pharma!$B$3:$B$677,0))),"")</f>
        <v>46324</v>
      </c>
      <c r="R38" s="30" t="str">
        <f>IFERROR(T(INDEX(Pharma!$N$3:$N$677,MATCH($C38,Pharma!$B$3:$B$677,0))),"")</f>
        <v>Earnings Oct 29 (before open)</v>
      </c>
    </row>
    <row r="39" spans="2:18" x14ac:dyDescent="0.2">
      <c r="B39" s="29">
        <v>2</v>
      </c>
      <c r="C39" s="30" t="s">
        <v>105</v>
      </c>
      <c r="D39" s="30" t="s">
        <v>106</v>
      </c>
      <c r="E39" s="41" t="s">
        <v>1471</v>
      </c>
      <c r="F39" s="42">
        <v>-2.4971860518775171E-2</v>
      </c>
      <c r="G39" s="30" t="s">
        <v>1466</v>
      </c>
      <c r="H39" s="33">
        <v>64.593781153269063</v>
      </c>
      <c r="I39" s="33">
        <v>124.37</v>
      </c>
      <c r="J39" s="34">
        <v>-0.4806321367430324</v>
      </c>
      <c r="K39" s="35">
        <v>14.11574626</v>
      </c>
      <c r="L39" s="36">
        <v>1</v>
      </c>
      <c r="M39" s="36">
        <v>0.68113894113388795</v>
      </c>
      <c r="N39" s="37">
        <v>0.06</v>
      </c>
      <c r="O39" s="38">
        <v>0.32737726469606709</v>
      </c>
      <c r="P39" s="34">
        <f>IFERROR(INDEX(Pharma!$K$3:$K$677,MATCH($C39,Pharma!$B$3:$B$677,0)),"")</f>
        <v>-0.4806321367430324</v>
      </c>
      <c r="Q39" s="39">
        <f>IFERROR(IF(INDEX(Pharma!$M$3:$M$677,MATCH($C39,Pharma!$B$3:$B$677,0))="","",INDEX(Pharma!$M$3:$M$677,MATCH($C39,Pharma!$B$3:$B$677,0))),"")</f>
        <v>46328</v>
      </c>
      <c r="R39" s="30" t="str">
        <f>IFERROR(T(INDEX(Pharma!$N$3:$N$677,MATCH($C39,Pharma!$B$3:$B$677,0))),"")</f>
        <v>Earnings Nov 2 (est.)</v>
      </c>
    </row>
    <row r="40" spans="2:18" x14ac:dyDescent="0.2">
      <c r="B40" s="29">
        <v>3</v>
      </c>
      <c r="C40" s="30" t="s">
        <v>112</v>
      </c>
      <c r="D40" s="30" t="s">
        <v>113</v>
      </c>
      <c r="E40" s="41" t="s">
        <v>1471</v>
      </c>
      <c r="F40" s="42">
        <v>-2.1993660515627799E-2</v>
      </c>
      <c r="G40" s="30" t="s">
        <v>1468</v>
      </c>
      <c r="H40" s="33">
        <v>5.475264046248677</v>
      </c>
      <c r="I40" s="33">
        <v>16.09</v>
      </c>
      <c r="J40" s="34">
        <v>-0.65971012764147441</v>
      </c>
      <c r="K40" s="35">
        <v>14.588893136179999</v>
      </c>
      <c r="L40" s="36">
        <v>0.7</v>
      </c>
      <c r="M40" s="36">
        <v>0.68650837865766956</v>
      </c>
      <c r="N40" s="37">
        <v>0.06</v>
      </c>
      <c r="O40" s="38">
        <v>0.28833351903622118</v>
      </c>
      <c r="P40" s="34">
        <f>IFERROR(INDEX(Pharma!$K$3:$K$677,MATCH($C40,Pharma!$B$3:$B$677,0)),"")</f>
        <v>-0.65971012764147441</v>
      </c>
      <c r="Q40" s="39">
        <f>IFERROR(IF(INDEX(Pharma!$M$3:$M$677,MATCH($C40,Pharma!$B$3:$B$677,0))="","",INDEX(Pharma!$M$3:$M$677,MATCH($C40,Pharma!$B$3:$B$677,0))),"")</f>
        <v>46340</v>
      </c>
      <c r="R40" s="30" t="str">
        <f>IFERROR(T(INDEX(Pharma!$N$3:$N$677,MATCH($C40,Pharma!$B$3:$B$677,0))),"")</f>
        <v>PDUFA Nov 14: ivonescimab in EGFRm NSCLC</v>
      </c>
    </row>
    <row r="41" spans="2:18" x14ac:dyDescent="0.2">
      <c r="B41" s="29">
        <v>4</v>
      </c>
      <c r="C41" s="30" t="s">
        <v>20</v>
      </c>
      <c r="D41" s="30" t="s">
        <v>21</v>
      </c>
      <c r="E41" s="41" t="s">
        <v>1471</v>
      </c>
      <c r="F41" s="42">
        <v>-2.0927842930927951E-2</v>
      </c>
      <c r="G41" s="30" t="s">
        <v>1467</v>
      </c>
      <c r="H41" s="33">
        <v>130.4871413635997</v>
      </c>
      <c r="I41" s="33">
        <v>289.14999999999998</v>
      </c>
      <c r="J41" s="34">
        <v>-0.54872162765485144</v>
      </c>
      <c r="K41" s="35">
        <v>510.96196295775002</v>
      </c>
      <c r="L41" s="36">
        <v>0.5</v>
      </c>
      <c r="M41" s="36">
        <v>1</v>
      </c>
      <c r="N41" s="37">
        <v>0.08</v>
      </c>
      <c r="O41" s="38">
        <v>0.27436081382742572</v>
      </c>
      <c r="P41" s="34">
        <f>IFERROR(INDEX(Pharma!$K$3:$K$677,MATCH($C41,Pharma!$B$3:$B$677,0)),"")</f>
        <v>-0.54872162765485144</v>
      </c>
      <c r="Q41" s="39">
        <f>IFERROR(IF(INDEX(Pharma!$M$3:$M$677,MATCH($C41,Pharma!$B$3:$B$677,0))="","",INDEX(Pharma!$M$3:$M$677,MATCH($C41,Pharma!$B$3:$B$677,0))),"")</f>
        <v>46325</v>
      </c>
      <c r="R41" s="30" t="str">
        <f>IFERROR(T(INDEX(Pharma!$N$3:$N$677,MATCH($C41,Pharma!$B$3:$B$677,0))),"")</f>
        <v>Earnings Oct 30 (before open)</v>
      </c>
    </row>
    <row r="42" spans="2:18" x14ac:dyDescent="0.2">
      <c r="B42" s="29">
        <v>5</v>
      </c>
      <c r="C42" s="30" t="s">
        <v>35</v>
      </c>
      <c r="D42" s="30" t="s">
        <v>36</v>
      </c>
      <c r="E42" s="41" t="s">
        <v>1471</v>
      </c>
      <c r="F42" s="42">
        <v>-2.0712816687966939E-2</v>
      </c>
      <c r="G42" s="30" t="s">
        <v>1467</v>
      </c>
      <c r="H42" s="33">
        <v>71.511969257523816</v>
      </c>
      <c r="I42" s="33">
        <v>156.51</v>
      </c>
      <c r="J42" s="34">
        <v>-0.54308370546595219</v>
      </c>
      <c r="K42" s="35">
        <v>194.06538130905</v>
      </c>
      <c r="L42" s="36">
        <v>0.5</v>
      </c>
      <c r="M42" s="36">
        <v>1</v>
      </c>
      <c r="N42" s="37">
        <v>0.08</v>
      </c>
      <c r="O42" s="38">
        <v>0.2715418527329761</v>
      </c>
      <c r="P42" s="34">
        <f>IFERROR(INDEX(Pharma!$K$3:$K$677,MATCH($C42,Pharma!$B$3:$B$677,0)),"")</f>
        <v>-0.54308370546595219</v>
      </c>
      <c r="Q42" s="39">
        <f>IFERROR(IF(INDEX(Pharma!$M$3:$M$677,MATCH($C42,Pharma!$B$3:$B$677,0))="","",INDEX(Pharma!$M$3:$M$677,MATCH($C42,Pharma!$B$3:$B$677,0))),"")</f>
        <v>46324</v>
      </c>
      <c r="R42" s="30" t="str">
        <f>IFERROR(T(INDEX(Pharma!$N$3:$N$677,MATCH($C42,Pharma!$B$3:$B$677,0))),"")</f>
        <v>Earnings Oct 29 (after close)</v>
      </c>
    </row>
    <row r="43" spans="2:18" x14ac:dyDescent="0.2">
      <c r="B43" s="29">
        <v>6</v>
      </c>
      <c r="C43" s="30" t="s">
        <v>121</v>
      </c>
      <c r="D43" s="30" t="s">
        <v>122</v>
      </c>
      <c r="E43" s="41" t="s">
        <v>1471</v>
      </c>
      <c r="F43" s="42">
        <v>-1.8998548901291691E-2</v>
      </c>
      <c r="G43" s="30" t="s">
        <v>1468</v>
      </c>
      <c r="H43" s="33">
        <v>53.906272937291462</v>
      </c>
      <c r="I43" s="33">
        <v>116.45</v>
      </c>
      <c r="J43" s="34">
        <v>-0.53708653553206132</v>
      </c>
      <c r="K43" s="35">
        <v>12.58805833065</v>
      </c>
      <c r="L43" s="36">
        <v>0.7</v>
      </c>
      <c r="M43" s="36">
        <v>0.66248453000621821</v>
      </c>
      <c r="N43" s="37">
        <v>0.06</v>
      </c>
      <c r="O43" s="38">
        <v>0.2490680647452379</v>
      </c>
      <c r="P43" s="34">
        <f>IFERROR(INDEX(Pharma!$K$3:$K$677,MATCH($C43,Pharma!$B$3:$B$677,0)),"")</f>
        <v>-0.53708653553206132</v>
      </c>
      <c r="Q43" s="39">
        <f>IFERROR(IF(INDEX(Pharma!$M$3:$M$677,MATCH($C43,Pharma!$B$3:$B$677,0))="","",INDEX(Pharma!$M$3:$M$677,MATCH($C43,Pharma!$B$3:$B$677,0))),"")</f>
        <v>46373</v>
      </c>
      <c r="R43" s="30" t="str">
        <f>IFERROR(T(INDEX(Pharma!$N$3:$N$677,MATCH($C43,Pharma!$B$3:$B$677,0))),"")</f>
        <v>PDUFA Dec 17: relacorilant in hypercortisolism · Earnings Nov 3 (est.)</v>
      </c>
    </row>
    <row r="44" spans="2:18" x14ac:dyDescent="0.2">
      <c r="B44" s="29">
        <v>7</v>
      </c>
      <c r="C44" s="30" t="s">
        <v>75</v>
      </c>
      <c r="D44" s="30" t="s">
        <v>76</v>
      </c>
      <c r="E44" s="41" t="s">
        <v>1471</v>
      </c>
      <c r="F44" s="42">
        <v>-1.8673299155588609E-2</v>
      </c>
      <c r="G44" s="30" t="s">
        <v>1467</v>
      </c>
      <c r="H44" s="33">
        <v>25.647486483584519</v>
      </c>
      <c r="I44" s="33">
        <v>62.25</v>
      </c>
      <c r="J44" s="34">
        <v>-0.58799218500265826</v>
      </c>
      <c r="K44" s="35">
        <v>35.793824948999998</v>
      </c>
      <c r="L44" s="36">
        <v>0.5</v>
      </c>
      <c r="M44" s="36">
        <v>0.83267804118674971</v>
      </c>
      <c r="N44" s="37">
        <v>0.06</v>
      </c>
      <c r="O44" s="38">
        <v>0.2448040904205652</v>
      </c>
      <c r="P44" s="34">
        <f>IFERROR(INDEX(Pharma!$K$3:$K$677,MATCH($C44,Pharma!$B$3:$B$677,0)),"")</f>
        <v>-0.58799218500265826</v>
      </c>
      <c r="Q44" s="39">
        <f>IFERROR(IF(INDEX(Pharma!$M$3:$M$677,MATCH($C44,Pharma!$B$3:$B$677,0))="","",INDEX(Pharma!$M$3:$M$677,MATCH($C44,Pharma!$B$3:$B$677,0))),"")</f>
        <v>46330</v>
      </c>
      <c r="R44" s="30" t="str">
        <f>IFERROR(T(INDEX(Pharma!$N$3:$N$677,MATCH($C44,Pharma!$B$3:$B$677,0))),"")</f>
        <v>Earnings Nov 4 (before open)</v>
      </c>
    </row>
    <row r="45" spans="2:18" x14ac:dyDescent="0.2">
      <c r="B45" s="29">
        <v>8</v>
      </c>
      <c r="C45" s="30" t="s">
        <v>24</v>
      </c>
      <c r="D45" s="30" t="s">
        <v>25</v>
      </c>
      <c r="E45" s="41" t="s">
        <v>1471</v>
      </c>
      <c r="F45" s="42">
        <v>-1.6625808775668389E-2</v>
      </c>
      <c r="G45" s="30" t="s">
        <v>1467</v>
      </c>
      <c r="H45" s="33">
        <v>83.652528548421998</v>
      </c>
      <c r="I45" s="33">
        <v>148.30000000000001</v>
      </c>
      <c r="J45" s="34">
        <v>-0.43592361059728929</v>
      </c>
      <c r="K45" s="35">
        <v>365.88155391539999</v>
      </c>
      <c r="L45" s="36">
        <v>0.5</v>
      </c>
      <c r="M45" s="36">
        <v>1</v>
      </c>
      <c r="N45" s="37">
        <v>0.08</v>
      </c>
      <c r="O45" s="38">
        <v>0.2179618052986447</v>
      </c>
      <c r="P45" s="34">
        <f>IFERROR(INDEX(Pharma!$K$3:$K$677,MATCH($C45,Pharma!$B$3:$B$677,0)),"")</f>
        <v>-0.43592361059728935</v>
      </c>
      <c r="Q45" s="39">
        <f>IFERROR(IF(INDEX(Pharma!$M$3:$M$677,MATCH($C45,Pharma!$B$3:$B$677,0))="","",INDEX(Pharma!$M$3:$M$677,MATCH($C45,Pharma!$B$3:$B$677,0))),"")</f>
        <v>46324</v>
      </c>
      <c r="R45" s="30" t="str">
        <f>IFERROR(T(INDEX(Pharma!$N$3:$N$677,MATCH($C45,Pharma!$B$3:$B$677,0))),"")</f>
        <v>Earnings Oct 29 (before open)</v>
      </c>
    </row>
    <row r="46" spans="2:18" x14ac:dyDescent="0.2">
      <c r="B46" s="29">
        <v>9</v>
      </c>
      <c r="C46" s="30" t="s">
        <v>31</v>
      </c>
      <c r="D46" s="30" t="s">
        <v>32</v>
      </c>
      <c r="E46" s="41" t="s">
        <v>1471</v>
      </c>
      <c r="F46" s="42">
        <v>-1.4536794740673801E-2</v>
      </c>
      <c r="G46" s="30" t="s">
        <v>1467</v>
      </c>
      <c r="H46" s="33">
        <v>271.63788606981922</v>
      </c>
      <c r="I46" s="33">
        <v>438.94</v>
      </c>
      <c r="J46" s="34">
        <v>-0.38115030284362522</v>
      </c>
      <c r="K46" s="35">
        <v>237.3050122747</v>
      </c>
      <c r="L46" s="36">
        <v>0.5</v>
      </c>
      <c r="M46" s="36">
        <v>1</v>
      </c>
      <c r="N46" s="37">
        <v>0.08</v>
      </c>
      <c r="O46" s="38">
        <v>0.19057515142181261</v>
      </c>
      <c r="P46" s="34">
        <f>IFERROR(INDEX(Pharma!$K$3:$K$677,MATCH($C46,Pharma!$B$3:$B$677,0)),"")</f>
        <v>-0.38115030284362517</v>
      </c>
      <c r="Q46" s="39">
        <f>IFERROR(IF(INDEX(Pharma!$M$3:$M$677,MATCH($C46,Pharma!$B$3:$B$677,0))="","",INDEX(Pharma!$M$3:$M$677,MATCH($C46,Pharma!$B$3:$B$677,0))),"")</f>
        <v>46329</v>
      </c>
      <c r="R46" s="30" t="str">
        <f>IFERROR(T(INDEX(Pharma!$N$3:$N$677,MATCH($C46,Pharma!$B$3:$B$677,0))),"")</f>
        <v>Earnings Nov 3 (after close)</v>
      </c>
    </row>
    <row r="47" spans="2:18" x14ac:dyDescent="0.2">
      <c r="B47" s="29">
        <v>10</v>
      </c>
      <c r="C47" s="30" t="s">
        <v>118</v>
      </c>
      <c r="D47" s="30" t="s">
        <v>119</v>
      </c>
      <c r="E47" s="41" t="s">
        <v>1471</v>
      </c>
      <c r="F47" s="42">
        <v>-1.44489538490677E-2</v>
      </c>
      <c r="G47" s="30" t="s">
        <v>1467</v>
      </c>
      <c r="H47" s="33">
        <v>35.801052651703607</v>
      </c>
      <c r="I47" s="33">
        <v>83.17</v>
      </c>
      <c r="J47" s="34">
        <v>-0.56954367378016579</v>
      </c>
      <c r="K47" s="35">
        <v>12.797869581440001</v>
      </c>
      <c r="L47" s="36">
        <v>0.5</v>
      </c>
      <c r="M47" s="36">
        <v>0.66517663004284211</v>
      </c>
      <c r="N47" s="37">
        <v>0.06</v>
      </c>
      <c r="O47" s="38">
        <v>0.18942357079365521</v>
      </c>
      <c r="P47" s="34">
        <f>IFERROR(INDEX(Pharma!$K$3:$K$677,MATCH($C47,Pharma!$B$3:$B$677,0)),"")</f>
        <v>-0.56954367378016579</v>
      </c>
      <c r="Q47" s="39">
        <f>IFERROR(IF(INDEX(Pharma!$M$3:$M$677,MATCH($C47,Pharma!$B$3:$B$677,0))="","",INDEX(Pharma!$M$3:$M$677,MATCH($C47,Pharma!$B$3:$B$677,0))),"")</f>
        <v>46322</v>
      </c>
      <c r="R47" s="30" t="str">
        <f>IFERROR(T(INDEX(Pharma!$N$3:$N$677,MATCH($C47,Pharma!$B$3:$B$677,0))),"")</f>
        <v>Earnings Oct 27 (est.)</v>
      </c>
    </row>
    <row r="48" spans="2:18" x14ac:dyDescent="0.2">
      <c r="B48" s="29">
        <v>11</v>
      </c>
      <c r="C48" s="30" t="s">
        <v>92</v>
      </c>
      <c r="D48" s="30" t="s">
        <v>93</v>
      </c>
      <c r="E48" s="41" t="s">
        <v>1471</v>
      </c>
      <c r="F48" s="42">
        <v>-1.3943314292418459E-2</v>
      </c>
      <c r="G48" s="30" t="s">
        <v>1466</v>
      </c>
      <c r="H48" s="33">
        <v>88.667653631490353</v>
      </c>
      <c r="I48" s="33">
        <v>116.61499999999999</v>
      </c>
      <c r="J48" s="34">
        <v>-0.23965481600574229</v>
      </c>
      <c r="K48" s="35">
        <v>23.297596005325001</v>
      </c>
      <c r="L48" s="36">
        <v>1</v>
      </c>
      <c r="M48" s="36">
        <v>0.76274166627286644</v>
      </c>
      <c r="N48" s="37">
        <v>0.06</v>
      </c>
      <c r="O48" s="38">
        <v>0.1827947136905371</v>
      </c>
      <c r="P48" s="34">
        <f>IFERROR(INDEX(Pharma!$K$3:$K$677,MATCH($C48,Pharma!$B$3:$B$677,0)),"")</f>
        <v>-0.23965481600574234</v>
      </c>
      <c r="Q48" s="39">
        <f>IFERROR(IF(INDEX(Pharma!$M$3:$M$677,MATCH($C48,Pharma!$B$3:$B$677,0))="","",INDEX(Pharma!$M$3:$M$677,MATCH($C48,Pharma!$B$3:$B$677,0))),"")</f>
        <v>46324</v>
      </c>
      <c r="R48" s="30" t="str">
        <f>IFERROR(T(INDEX(Pharma!$N$3:$N$677,MATCH($C48,Pharma!$B$3:$B$677,0))),"")</f>
        <v>Earnings Oct 29 (before open)</v>
      </c>
    </row>
    <row r="49" spans="2:18" x14ac:dyDescent="0.2">
      <c r="B49" s="29">
        <v>12</v>
      </c>
      <c r="C49" s="30" t="s">
        <v>69</v>
      </c>
      <c r="D49" s="30" t="s">
        <v>70</v>
      </c>
      <c r="E49" s="41" t="s">
        <v>1471</v>
      </c>
      <c r="F49" s="42">
        <v>-1.3720355923164829E-2</v>
      </c>
      <c r="G49" s="30" t="s">
        <v>1467</v>
      </c>
      <c r="H49" s="33">
        <v>5.9735760441564487</v>
      </c>
      <c r="I49" s="33">
        <v>10.17</v>
      </c>
      <c r="J49" s="34">
        <v>-0.41262772427173572</v>
      </c>
      <c r="K49" s="35">
        <v>45.522718300080001</v>
      </c>
      <c r="L49" s="36">
        <v>0.5</v>
      </c>
      <c r="M49" s="36">
        <v>0.87183557020255553</v>
      </c>
      <c r="N49" s="37">
        <v>0.06</v>
      </c>
      <c r="O49" s="38">
        <v>0.17987176363591581</v>
      </c>
      <c r="P49" s="34">
        <f>IFERROR(INDEX(Pharma!$K$3:$K$677,MATCH($C49,Pharma!$B$3:$B$677,0)),"")</f>
        <v>-0.41262772427173566</v>
      </c>
      <c r="Q49" s="39">
        <f>IFERROR(IF(INDEX(Pharma!$M$3:$M$677,MATCH($C49,Pharma!$B$3:$B$677,0))="","",INDEX(Pharma!$M$3:$M$677,MATCH($C49,Pharma!$B$3:$B$677,0))),"")</f>
        <v>46324</v>
      </c>
      <c r="R49" s="30" t="str">
        <f>IFERROR(T(INDEX(Pharma!$N$3:$N$677,MATCH($C49,Pharma!$B$3:$B$677,0))),"")</f>
        <v>Earnings Oct 29 (before open)</v>
      </c>
    </row>
    <row r="50" spans="2:18" x14ac:dyDescent="0.2">
      <c r="B50" s="29">
        <v>13</v>
      </c>
      <c r="C50" s="30" t="s">
        <v>171</v>
      </c>
      <c r="D50" s="30" t="s">
        <v>172</v>
      </c>
      <c r="E50" s="41" t="s">
        <v>1471</v>
      </c>
      <c r="F50" s="42">
        <v>-1.318007922278311E-2</v>
      </c>
      <c r="G50" s="30" t="s">
        <v>1467</v>
      </c>
      <c r="H50" s="33">
        <v>12.35510594804304</v>
      </c>
      <c r="I50" s="33">
        <v>44.11</v>
      </c>
      <c r="J50" s="34">
        <v>-0.71990238159050013</v>
      </c>
      <c r="K50" s="35">
        <v>7.4000379279199997</v>
      </c>
      <c r="L50" s="36">
        <v>0.5</v>
      </c>
      <c r="M50" s="36">
        <v>0.57596272962094819</v>
      </c>
      <c r="N50" s="37">
        <v>0.04</v>
      </c>
      <c r="O50" s="38">
        <v>0.17278881888628439</v>
      </c>
      <c r="P50" s="34">
        <f>IFERROR(INDEX(Pharma!$K$3:$K$677,MATCH($C50,Pharma!$B$3:$B$677,0)),"")</f>
        <v>-0.71990238159050013</v>
      </c>
      <c r="Q50" s="39">
        <f>IFERROR(IF(INDEX(Pharma!$M$3:$M$677,MATCH($C50,Pharma!$B$3:$B$677,0))="","",INDEX(Pharma!$M$3:$M$677,MATCH($C50,Pharma!$B$3:$B$677,0))),"")</f>
        <v>46322</v>
      </c>
      <c r="R50" s="30" t="str">
        <f>IFERROR(T(INDEX(Pharma!$N$3:$N$677,MATCH($C50,Pharma!$B$3:$B$677,0))),"")</f>
        <v>Earnings Oct 27 (est.)</v>
      </c>
    </row>
    <row r="51" spans="2:18" x14ac:dyDescent="0.2">
      <c r="B51" s="29">
        <v>14</v>
      </c>
      <c r="C51" s="30" t="s">
        <v>18</v>
      </c>
      <c r="D51" s="30" t="s">
        <v>19</v>
      </c>
      <c r="E51" s="41" t="s">
        <v>1471</v>
      </c>
      <c r="F51" s="42">
        <v>-1.2732039815568769E-2</v>
      </c>
      <c r="G51" s="30" t="s">
        <v>1467</v>
      </c>
      <c r="H51" s="33">
        <v>172.8044508330016</v>
      </c>
      <c r="I51" s="33">
        <v>259.39999999999998</v>
      </c>
      <c r="J51" s="34">
        <v>-0.33383018183114271</v>
      </c>
      <c r="K51" s="35">
        <v>625.12769606179984</v>
      </c>
      <c r="L51" s="36">
        <v>0.5</v>
      </c>
      <c r="M51" s="36">
        <v>1</v>
      </c>
      <c r="N51" s="37">
        <v>0.08</v>
      </c>
      <c r="O51" s="38">
        <v>0.1669150909155713</v>
      </c>
      <c r="P51" s="34">
        <f>IFERROR(INDEX(Pharma!$K$3:$K$677,MATCH($C51,Pharma!$B$3:$B$677,0)),"")</f>
        <v>-0.33383018183114266</v>
      </c>
      <c r="Q51" s="39" t="str">
        <f>IFERROR(IF(INDEX(Pharma!$M$3:$M$677,MATCH($C51,Pharma!$B$3:$B$677,0))="","",INDEX(Pharma!$M$3:$M$677,MATCH($C51,Pharma!$B$3:$B$677,0))),"")</f>
        <v/>
      </c>
      <c r="R51" s="30" t="str">
        <f>IFERROR(T(INDEX(Pharma!$N$3:$N$677,MATCH($C51,Pharma!$B$3:$B$677,0))),"")</f>
        <v/>
      </c>
    </row>
    <row r="52" spans="2:18" x14ac:dyDescent="0.2">
      <c r="B52" s="29">
        <v>15</v>
      </c>
      <c r="C52" s="30" t="s">
        <v>126</v>
      </c>
      <c r="D52" s="30" t="s">
        <v>127</v>
      </c>
      <c r="E52" s="41" t="s">
        <v>1471</v>
      </c>
      <c r="F52" s="42">
        <v>-1.2539815094345911E-2</v>
      </c>
      <c r="G52" s="30" t="s">
        <v>1466</v>
      </c>
      <c r="H52" s="33">
        <v>9.8620066497419749</v>
      </c>
      <c r="I52" s="33">
        <v>13.26</v>
      </c>
      <c r="J52" s="34">
        <v>-0.25625892535882538</v>
      </c>
      <c r="K52" s="35">
        <v>11.067551422199999</v>
      </c>
      <c r="L52" s="36">
        <v>1</v>
      </c>
      <c r="M52" s="36">
        <v>0.64151933068007116</v>
      </c>
      <c r="N52" s="37">
        <v>0.06</v>
      </c>
      <c r="O52" s="38">
        <v>0.164395054276988</v>
      </c>
      <c r="P52" s="34">
        <f>IFERROR(INDEX(Pharma!$K$3:$K$677,MATCH($C52,Pharma!$B$3:$B$677,0)),"")</f>
        <v>-0.25625892535882544</v>
      </c>
      <c r="Q52" s="39">
        <f>IFERROR(IF(INDEX(Pharma!$M$3:$M$677,MATCH($C52,Pharma!$B$3:$B$677,0))="","",INDEX(Pharma!$M$3:$M$677,MATCH($C52,Pharma!$B$3:$B$677,0))),"")</f>
        <v>46318</v>
      </c>
      <c r="R52" s="30" t="str">
        <f>IFERROR(T(INDEX(Pharma!$N$3:$N$677,MATCH($C52,Pharma!$B$3:$B$677,0))),"")</f>
        <v>Earnings Oct 23 (est.)</v>
      </c>
    </row>
    <row r="53" spans="2:18" x14ac:dyDescent="0.2">
      <c r="B53" s="29">
        <v>16</v>
      </c>
      <c r="C53" s="30" t="s">
        <v>179</v>
      </c>
      <c r="D53" s="30" t="s">
        <v>180</v>
      </c>
      <c r="E53" s="41" t="s">
        <v>1471</v>
      </c>
      <c r="F53" s="42">
        <v>-1.2465119399654979E-2</v>
      </c>
      <c r="G53" s="30" t="s">
        <v>1467</v>
      </c>
      <c r="H53" s="33">
        <v>94.079072956242555</v>
      </c>
      <c r="I53" s="33">
        <v>306.39999999999998</v>
      </c>
      <c r="J53" s="34">
        <v>-0.69295341724463921</v>
      </c>
      <c r="K53" s="35">
        <v>6.1082705975999998</v>
      </c>
      <c r="L53" s="36">
        <v>0.5</v>
      </c>
      <c r="M53" s="36">
        <v>0.5447193505533654</v>
      </c>
      <c r="N53" s="37">
        <v>0.04</v>
      </c>
      <c r="O53" s="38">
        <v>0.16341580516600959</v>
      </c>
      <c r="P53" s="34">
        <f>IFERROR(INDEX(Pharma!$K$3:$K$677,MATCH($C53,Pharma!$B$3:$B$677,0)),"")</f>
        <v>-0.69295341724463921</v>
      </c>
      <c r="Q53" s="39">
        <f>IFERROR(IF(INDEX(Pharma!$M$3:$M$677,MATCH($C53,Pharma!$B$3:$B$677,0))="","",INDEX(Pharma!$M$3:$M$677,MATCH($C53,Pharma!$B$3:$B$677,0))),"")</f>
        <v>46324</v>
      </c>
      <c r="R53" s="30" t="str">
        <f>IFERROR(T(INDEX(Pharma!$N$3:$N$677,MATCH($C53,Pharma!$B$3:$B$677,0))),"")</f>
        <v>Earnings Oct 29 (before open)</v>
      </c>
    </row>
    <row r="54" spans="2:18" x14ac:dyDescent="0.2">
      <c r="B54" s="29">
        <v>17</v>
      </c>
      <c r="C54" s="30" t="s">
        <v>54</v>
      </c>
      <c r="D54" s="30" t="s">
        <v>55</v>
      </c>
      <c r="E54" s="41" t="s">
        <v>1471</v>
      </c>
      <c r="F54" s="42">
        <v>-1.1378230047566639E-2</v>
      </c>
      <c r="G54" s="30" t="s">
        <v>1467</v>
      </c>
      <c r="H54" s="33">
        <v>3.485350300841989</v>
      </c>
      <c r="I54" s="33">
        <v>242.08</v>
      </c>
      <c r="J54" s="34">
        <v>-0.9856024855384915</v>
      </c>
      <c r="K54" s="35">
        <v>96.647024009120003</v>
      </c>
      <c r="L54" s="36">
        <v>0.25</v>
      </c>
      <c r="M54" s="36">
        <v>0.99444568210535345</v>
      </c>
      <c r="N54" s="37">
        <v>0.08</v>
      </c>
      <c r="O54" s="38">
        <v>0.14916685231580301</v>
      </c>
      <c r="P54" s="34">
        <f>IFERROR(INDEX(Pharma!$K$3:$K$677,MATCH($C54,Pharma!$B$3:$B$677,0)),"")</f>
        <v>-0.9856024855384915</v>
      </c>
      <c r="Q54" s="39">
        <f>IFERROR(IF(INDEX(Pharma!$M$3:$M$677,MATCH($C54,Pharma!$B$3:$B$677,0))="","",INDEX(Pharma!$M$3:$M$677,MATCH($C54,Pharma!$B$3:$B$677,0))),"")</f>
        <v>46332</v>
      </c>
      <c r="R54" s="30" t="str">
        <f>IFERROR(T(INDEX(Pharma!$N$3:$N$677,MATCH($C54,Pharma!$B$3:$B$677,0))),"")</f>
        <v>Earnings Nov 6 (before open)</v>
      </c>
    </row>
    <row r="55" spans="2:18" x14ac:dyDescent="0.2">
      <c r="B55" s="29">
        <v>18</v>
      </c>
      <c r="C55" s="30" t="s">
        <v>183</v>
      </c>
      <c r="D55" s="30" t="s">
        <v>184</v>
      </c>
      <c r="E55" s="41" t="s">
        <v>1471</v>
      </c>
      <c r="F55" s="42">
        <v>-1.1338941520971139E-2</v>
      </c>
      <c r="G55" s="30" t="s">
        <v>1468</v>
      </c>
      <c r="H55" s="33">
        <v>18.914297835030428</v>
      </c>
      <c r="I55" s="33">
        <v>31.24</v>
      </c>
      <c r="J55" s="34">
        <v>-0.39454872487098491</v>
      </c>
      <c r="K55" s="35">
        <v>5.8698236176799989</v>
      </c>
      <c r="L55" s="36">
        <v>0.7</v>
      </c>
      <c r="M55" s="36">
        <v>0.53823439424857256</v>
      </c>
      <c r="N55" s="37">
        <v>0.04</v>
      </c>
      <c r="O55" s="38">
        <v>0.14865178575273691</v>
      </c>
      <c r="P55" s="34">
        <f>IFERROR(INDEX(Pharma!$K$3:$K$677,MATCH($C55,Pharma!$B$3:$B$677,0)),"")</f>
        <v>-0.39454872487098491</v>
      </c>
      <c r="Q55" s="39">
        <f>IFERROR(IF(INDEX(Pharma!$M$3:$M$677,MATCH($C55,Pharma!$B$3:$B$677,0))="","",INDEX(Pharma!$M$3:$M$677,MATCH($C55,Pharma!$B$3:$B$677,0))),"")</f>
        <v>46356</v>
      </c>
      <c r="R55" s="30" t="str">
        <f>IFERROR(T(INDEX(Pharma!$N$3:$N$677,MATCH($C55,Pharma!$B$3:$B$677,0))),"")</f>
        <v>PDUFA Nov 30: bezuclastinib in GIST · Earnings Nov 6 (est.)</v>
      </c>
    </row>
    <row r="56" spans="2:18" x14ac:dyDescent="0.2">
      <c r="B56" s="29">
        <v>19</v>
      </c>
      <c r="C56" s="30" t="s">
        <v>129</v>
      </c>
      <c r="D56" s="30" t="s">
        <v>130</v>
      </c>
      <c r="E56" s="41" t="s">
        <v>1471</v>
      </c>
      <c r="F56" s="42">
        <v>-1.1093978946958761E-2</v>
      </c>
      <c r="G56" s="30" t="s">
        <v>1467</v>
      </c>
      <c r="H56" s="33">
        <v>30.764388738713389</v>
      </c>
      <c r="I56" s="33">
        <v>56.44</v>
      </c>
      <c r="J56" s="34">
        <v>-0.45491869704618371</v>
      </c>
      <c r="K56" s="35">
        <v>10.92530295796</v>
      </c>
      <c r="L56" s="36">
        <v>0.5</v>
      </c>
      <c r="M56" s="36">
        <v>0.63941255828798194</v>
      </c>
      <c r="N56" s="37">
        <v>0.06</v>
      </c>
      <c r="O56" s="38">
        <v>0.14544036394566789</v>
      </c>
      <c r="P56" s="34">
        <f>IFERROR(INDEX(Pharma!$K$3:$K$677,MATCH($C56,Pharma!$B$3:$B$677,0)),"")</f>
        <v>-0.45491869704618371</v>
      </c>
      <c r="Q56" s="39">
        <f>IFERROR(IF(INDEX(Pharma!$M$3:$M$677,MATCH($C56,Pharma!$B$3:$B$677,0))="","",INDEX(Pharma!$M$3:$M$677,MATCH($C56,Pharma!$B$3:$B$677,0))),"")</f>
        <v>46321</v>
      </c>
      <c r="R56" s="30" t="str">
        <f>IFERROR(T(INDEX(Pharma!$N$3:$N$677,MATCH($C56,Pharma!$B$3:$B$677,0))),"")</f>
        <v>Earnings Oct 26 (est.)</v>
      </c>
    </row>
    <row r="57" spans="2:18" x14ac:dyDescent="0.2">
      <c r="B57" s="29">
        <v>20</v>
      </c>
      <c r="C57" s="30" t="s">
        <v>139</v>
      </c>
      <c r="D57" s="30" t="s">
        <v>140</v>
      </c>
      <c r="E57" s="41" t="s">
        <v>1471</v>
      </c>
      <c r="F57" s="42">
        <v>-1.086220517612041E-2</v>
      </c>
      <c r="G57" s="30" t="s">
        <v>1467</v>
      </c>
      <c r="H57" s="33">
        <v>175.66781215787771</v>
      </c>
      <c r="I57" s="33">
        <v>325.42</v>
      </c>
      <c r="J57" s="34">
        <v>-0.46018126680020371</v>
      </c>
      <c r="K57" s="35">
        <v>9.6320532111199988</v>
      </c>
      <c r="L57" s="36">
        <v>0.5</v>
      </c>
      <c r="M57" s="36">
        <v>0.61889457742301157</v>
      </c>
      <c r="N57" s="37">
        <v>0.04</v>
      </c>
      <c r="O57" s="38">
        <v>0.14240184532714911</v>
      </c>
      <c r="P57" s="34">
        <f>IFERROR(INDEX(Pharma!$K$3:$K$677,MATCH($C57,Pharma!$B$3:$B$677,0)),"")</f>
        <v>-0.46018126680020366</v>
      </c>
      <c r="Q57" s="39">
        <f>IFERROR(IF(INDEX(Pharma!$M$3:$M$677,MATCH($C57,Pharma!$B$3:$B$677,0))="","",INDEX(Pharma!$M$3:$M$677,MATCH($C57,Pharma!$B$3:$B$677,0))),"")</f>
        <v>46328</v>
      </c>
      <c r="R57" s="30" t="str">
        <f>IFERROR(T(INDEX(Pharma!$N$3:$N$677,MATCH($C57,Pharma!$B$3:$B$677,0))),"")</f>
        <v>Earnings Nov 2 (est.)</v>
      </c>
    </row>
    <row r="58" spans="2:18" x14ac:dyDescent="0.2">
      <c r="B58" s="29">
        <v>21</v>
      </c>
      <c r="C58" s="30" t="s">
        <v>61</v>
      </c>
      <c r="D58" s="30" t="s">
        <v>62</v>
      </c>
      <c r="E58" s="41" t="s">
        <v>1471</v>
      </c>
      <c r="F58" s="42">
        <v>-1.0443074863401959E-2</v>
      </c>
      <c r="G58" s="30" t="s">
        <v>1467</v>
      </c>
      <c r="H58" s="33">
        <v>127.2684881888519</v>
      </c>
      <c r="I58" s="33">
        <v>405.92</v>
      </c>
      <c r="J58" s="34">
        <v>-0.68646903776889057</v>
      </c>
      <c r="K58" s="35">
        <v>58.511001486399998</v>
      </c>
      <c r="L58" s="36">
        <v>0.25</v>
      </c>
      <c r="M58" s="36">
        <v>0.91271407436818319</v>
      </c>
      <c r="N58" s="37">
        <v>0.08</v>
      </c>
      <c r="O58" s="38">
        <v>0.1369071111552275</v>
      </c>
      <c r="P58" s="34">
        <f>IFERROR(INDEX(Pharma!$K$3:$K$677,MATCH($C58,Pharma!$B$3:$B$677,0)),"")</f>
        <v>-0.68646903776889057</v>
      </c>
      <c r="Q58" s="39">
        <f>IFERROR(IF(INDEX(Pharma!$M$3:$M$677,MATCH($C58,Pharma!$B$3:$B$677,0))="","",INDEX(Pharma!$M$3:$M$677,MATCH($C58,Pharma!$B$3:$B$677,0))),"")</f>
        <v>46331</v>
      </c>
      <c r="R58" s="30" t="str">
        <f>IFERROR(T(INDEX(Pharma!$N$3:$N$677,MATCH($C58,Pharma!$B$3:$B$677,0))),"")</f>
        <v>Earnings Nov 5 (est.)</v>
      </c>
    </row>
    <row r="59" spans="2:18" x14ac:dyDescent="0.2">
      <c r="B59" s="29">
        <v>22</v>
      </c>
      <c r="C59" s="30" t="s">
        <v>157</v>
      </c>
      <c r="D59" s="30" t="s">
        <v>158</v>
      </c>
      <c r="E59" s="41" t="s">
        <v>1471</v>
      </c>
      <c r="F59" s="42">
        <v>-9.8008122055684918E-3</v>
      </c>
      <c r="G59" s="30" t="s">
        <v>1467</v>
      </c>
      <c r="H59" s="33">
        <v>31.001644589882659</v>
      </c>
      <c r="I59" s="33">
        <v>54.53</v>
      </c>
      <c r="J59" s="34">
        <v>-0.43147543389175391</v>
      </c>
      <c r="K59" s="35">
        <v>8.3468554600900013</v>
      </c>
      <c r="L59" s="36">
        <v>0.5</v>
      </c>
      <c r="M59" s="36">
        <v>0.5955710848837622</v>
      </c>
      <c r="N59" s="37">
        <v>0.04</v>
      </c>
      <c r="O59" s="38">
        <v>0.12848714613180201</v>
      </c>
      <c r="P59" s="34">
        <f>IFERROR(INDEX(Pharma!$K$3:$K$677,MATCH($C59,Pharma!$B$3:$B$677,0)),"")</f>
        <v>-0.43147543389175391</v>
      </c>
      <c r="Q59" s="39">
        <f>IFERROR(IF(INDEX(Pharma!$M$3:$M$677,MATCH($C59,Pharma!$B$3:$B$677,0))="","",INDEX(Pharma!$M$3:$M$677,MATCH($C59,Pharma!$B$3:$B$677,0))),"")</f>
        <v>46328</v>
      </c>
      <c r="R59" s="30" t="str">
        <f>IFERROR(T(INDEX(Pharma!$N$3:$N$677,MATCH($C59,Pharma!$B$3:$B$677,0))),"")</f>
        <v>Earnings Nov 2 (est.)</v>
      </c>
    </row>
    <row r="60" spans="2:18" x14ac:dyDescent="0.2">
      <c r="B60" s="29">
        <v>23</v>
      </c>
      <c r="C60" s="30" t="s">
        <v>146</v>
      </c>
      <c r="D60" s="30" t="s">
        <v>147</v>
      </c>
      <c r="E60" s="41" t="s">
        <v>1471</v>
      </c>
      <c r="F60" s="42">
        <v>-9.7159376022129453E-3</v>
      </c>
      <c r="G60" s="30" t="s">
        <v>1468</v>
      </c>
      <c r="H60" s="33">
        <v>44.742934152609983</v>
      </c>
      <c r="I60" s="33">
        <v>63.95</v>
      </c>
      <c r="J60" s="34">
        <v>-0.30034504843455861</v>
      </c>
      <c r="K60" s="35">
        <v>8.8905475810999999</v>
      </c>
      <c r="L60" s="36">
        <v>0.7</v>
      </c>
      <c r="M60" s="36">
        <v>0.60584819147152447</v>
      </c>
      <c r="N60" s="37">
        <v>0.04</v>
      </c>
      <c r="O60" s="38">
        <v>0.12737445308805331</v>
      </c>
      <c r="P60" s="34">
        <f>IFERROR(INDEX(Pharma!$K$3:$K$677,MATCH($C60,Pharma!$B$3:$B$677,0)),"")</f>
        <v>-0.30034504843455856</v>
      </c>
      <c r="Q60" s="39">
        <f>IFERROR(IF(INDEX(Pharma!$M$3:$M$677,MATCH($C60,Pharma!$B$3:$B$677,0))="","",INDEX(Pharma!$M$3:$M$677,MATCH($C60,Pharma!$B$3:$B$677,0))),"")</f>
        <v>46340</v>
      </c>
      <c r="R60" s="30" t="str">
        <f>IFERROR(T(INDEX(Pharma!$N$3:$N$677,MATCH($C60,Pharma!$B$3:$B$677,0))),"")</f>
        <v>PDUFA Nov 14: MAPLE-HCM label · Earnings Nov 4 (est.)</v>
      </c>
    </row>
    <row r="61" spans="2:18" x14ac:dyDescent="0.2">
      <c r="B61" s="29">
        <v>24</v>
      </c>
      <c r="C61" s="30" t="s">
        <v>242</v>
      </c>
      <c r="D61" s="30" t="s">
        <v>243</v>
      </c>
      <c r="E61" s="41" t="s">
        <v>1471</v>
      </c>
      <c r="F61" s="42">
        <v>-8.5457492862207555E-3</v>
      </c>
      <c r="G61" s="30" t="s">
        <v>1467</v>
      </c>
      <c r="H61" s="33">
        <v>35.323638096063469</v>
      </c>
      <c r="I61" s="33">
        <v>69.2</v>
      </c>
      <c r="J61" s="34">
        <v>-0.48954280208000772</v>
      </c>
      <c r="K61" s="35">
        <v>3.5800082315999999</v>
      </c>
      <c r="L61" s="36">
        <v>0.5</v>
      </c>
      <c r="M61" s="36">
        <v>0.4577065094608328</v>
      </c>
      <c r="N61" s="37">
        <v>0.04</v>
      </c>
      <c r="O61" s="38">
        <v>0.11203346358585781</v>
      </c>
      <c r="P61" s="34">
        <f>IFERROR(INDEX(Pharma!$K$3:$K$677,MATCH($C61,Pharma!$B$3:$B$677,0)),"")</f>
        <v>-0.48954280208000767</v>
      </c>
      <c r="Q61" s="39">
        <f>IFERROR(IF(INDEX(Pharma!$M$3:$M$677,MATCH($C61,Pharma!$B$3:$B$677,0))="","",INDEX(Pharma!$M$3:$M$677,MATCH($C61,Pharma!$B$3:$B$677,0))),"")</f>
        <v>46324</v>
      </c>
      <c r="R61" s="30" t="str">
        <f>IFERROR(T(INDEX(Pharma!$N$3:$N$677,MATCH($C61,Pharma!$B$3:$B$677,0))),"")</f>
        <v>Earnings Oct 29 (after close)</v>
      </c>
    </row>
    <row r="62" spans="2:18" x14ac:dyDescent="0.2">
      <c r="B62" s="29">
        <v>25</v>
      </c>
      <c r="C62" s="30" t="s">
        <v>98</v>
      </c>
      <c r="D62" s="30" t="s">
        <v>99</v>
      </c>
      <c r="E62" s="41" t="s">
        <v>1471</v>
      </c>
      <c r="F62" s="42">
        <v>-8.5240911612113474E-3</v>
      </c>
      <c r="G62" s="30" t="s">
        <v>1467</v>
      </c>
      <c r="H62" s="33">
        <v>9.3162831292020911</v>
      </c>
      <c r="I62" s="33">
        <v>95.67</v>
      </c>
      <c r="J62" s="34">
        <v>-0.90262064252950669</v>
      </c>
      <c r="K62" s="35">
        <v>20.892558392009999</v>
      </c>
      <c r="L62" s="36">
        <v>0.25</v>
      </c>
      <c r="M62" s="36">
        <v>0.74499685923926962</v>
      </c>
      <c r="N62" s="37">
        <v>0.06</v>
      </c>
      <c r="O62" s="38">
        <v>0.1117495288858904</v>
      </c>
      <c r="P62" s="34">
        <f>IFERROR(INDEX(Pharma!$K$3:$K$677,MATCH($C62,Pharma!$B$3:$B$677,0)),"")</f>
        <v>-0.90262064252950669</v>
      </c>
      <c r="Q62" s="39">
        <f>IFERROR(IF(INDEX(Pharma!$M$3:$M$677,MATCH($C62,Pharma!$B$3:$B$677,0))="","",INDEX(Pharma!$M$3:$M$677,MATCH($C62,Pharma!$B$3:$B$677,0))),"")</f>
        <v>46324</v>
      </c>
      <c r="R62" s="30" t="str">
        <f>IFERROR(T(INDEX(Pharma!$N$3:$N$677,MATCH($C62,Pharma!$B$3:$B$677,0))),"")</f>
        <v>Earnings Oct 29 (before open)</v>
      </c>
    </row>
    <row r="63" spans="2:18" x14ac:dyDescent="0.2">
      <c r="B63" s="29">
        <v>26</v>
      </c>
      <c r="C63" s="30" t="s">
        <v>285</v>
      </c>
      <c r="D63" s="30" t="s">
        <v>286</v>
      </c>
      <c r="E63" s="41" t="s">
        <v>1471</v>
      </c>
      <c r="F63" s="42">
        <v>-8.4003369617149017E-3</v>
      </c>
      <c r="G63" s="30" t="s">
        <v>1467</v>
      </c>
      <c r="H63" s="33">
        <v>21.35821045832537</v>
      </c>
      <c r="I63" s="33">
        <v>49.35</v>
      </c>
      <c r="J63" s="34">
        <v>-0.5672095145222823</v>
      </c>
      <c r="K63" s="35">
        <v>2.3379326606999999</v>
      </c>
      <c r="L63" s="36">
        <v>0.5</v>
      </c>
      <c r="M63" s="36">
        <v>0.38831199927040161</v>
      </c>
      <c r="N63" s="37">
        <v>0.02</v>
      </c>
      <c r="O63" s="38">
        <v>0.11012713029467069</v>
      </c>
      <c r="P63" s="34">
        <f>IFERROR(INDEX(Pharma!$K$3:$K$677,MATCH($C63,Pharma!$B$3:$B$677,0)),"")</f>
        <v>-0.5672095145222823</v>
      </c>
      <c r="Q63" s="39">
        <f>IFERROR(IF(INDEX(Pharma!$M$3:$M$677,MATCH($C63,Pharma!$B$3:$B$677,0))="","",INDEX(Pharma!$M$3:$M$677,MATCH($C63,Pharma!$B$3:$B$677,0))),"")</f>
        <v>46331</v>
      </c>
      <c r="R63" s="30" t="str">
        <f>IFERROR(T(INDEX(Pharma!$N$3:$N$677,MATCH($C63,Pharma!$B$3:$B$677,0))),"")</f>
        <v>Earnings Nov 5 (before open)</v>
      </c>
    </row>
    <row r="64" spans="2:18" x14ac:dyDescent="0.2">
      <c r="B64" s="29">
        <v>27</v>
      </c>
      <c r="C64" s="30" t="s">
        <v>230</v>
      </c>
      <c r="D64" s="30" t="s">
        <v>231</v>
      </c>
      <c r="E64" s="41" t="s">
        <v>1471</v>
      </c>
      <c r="F64" s="42">
        <v>-8.355017835819753E-3</v>
      </c>
      <c r="G64" s="30" t="s">
        <v>1467</v>
      </c>
      <c r="H64" s="33">
        <v>17.866044506123089</v>
      </c>
      <c r="I64" s="33">
        <v>32.82</v>
      </c>
      <c r="J64" s="34">
        <v>-0.4556354507579804</v>
      </c>
      <c r="K64" s="35">
        <v>4.12521016002</v>
      </c>
      <c r="L64" s="36">
        <v>0.5</v>
      </c>
      <c r="M64" s="36">
        <v>0.48079227951514181</v>
      </c>
      <c r="N64" s="37">
        <v>0.04</v>
      </c>
      <c r="O64" s="38">
        <v>0.1095330034989193</v>
      </c>
      <c r="P64" s="34">
        <f>IFERROR(INDEX(Pharma!$K$3:$K$677,MATCH($C64,Pharma!$B$3:$B$677,0)),"")</f>
        <v>-0.4556354507579804</v>
      </c>
      <c r="Q64" s="39">
        <f>IFERROR(IF(INDEX(Pharma!$M$3:$M$677,MATCH($C64,Pharma!$B$3:$B$677,0))="","",INDEX(Pharma!$M$3:$M$677,MATCH($C64,Pharma!$B$3:$B$677,0))),"")</f>
        <v>46322</v>
      </c>
      <c r="R64" s="30" t="str">
        <f>IFERROR(T(INDEX(Pharma!$N$3:$N$677,MATCH($C64,Pharma!$B$3:$B$677,0))),"")</f>
        <v>Earnings Oct 27 (est.)</v>
      </c>
    </row>
    <row r="65" spans="2:18" x14ac:dyDescent="0.2">
      <c r="B65" s="29">
        <v>28</v>
      </c>
      <c r="C65" s="30" t="s">
        <v>44</v>
      </c>
      <c r="D65" s="30" t="s">
        <v>45</v>
      </c>
      <c r="E65" s="41" t="s">
        <v>1471</v>
      </c>
      <c r="F65" s="42">
        <v>-8.3141240360142879E-3</v>
      </c>
      <c r="G65" s="30" t="s">
        <v>1467</v>
      </c>
      <c r="H65" s="33">
        <v>402.45949901286951</v>
      </c>
      <c r="I65" s="33">
        <v>514.65</v>
      </c>
      <c r="J65" s="34">
        <v>-0.21799378410012729</v>
      </c>
      <c r="K65" s="35">
        <v>130.44366453660001</v>
      </c>
      <c r="L65" s="36">
        <v>0.5</v>
      </c>
      <c r="M65" s="36">
        <v>1</v>
      </c>
      <c r="N65" s="37">
        <v>0.08</v>
      </c>
      <c r="O65" s="38">
        <v>0.1089968920500636</v>
      </c>
      <c r="P65" s="34">
        <f>IFERROR(INDEX(Pharma!$K$3:$K$677,MATCH($C65,Pharma!$B$3:$B$677,0)),"")</f>
        <v>-0.21799378410012726</v>
      </c>
      <c r="Q65" s="39">
        <f>IFERROR(IF(INDEX(Pharma!$M$3:$M$677,MATCH($C65,Pharma!$B$3:$B$677,0))="","",INDEX(Pharma!$M$3:$M$677,MATCH($C65,Pharma!$B$3:$B$677,0))),"")</f>
        <v>46328</v>
      </c>
      <c r="R65" s="30" t="str">
        <f>IFERROR(T(INDEX(Pharma!$N$3:$N$677,MATCH($C65,Pharma!$B$3:$B$677,0))),"")</f>
        <v>Earnings Nov 2 (after close)</v>
      </c>
    </row>
    <row r="66" spans="2:18" x14ac:dyDescent="0.2">
      <c r="D66" s="21" t="s">
        <v>1473</v>
      </c>
      <c r="F66" s="43">
        <v>-0.4</v>
      </c>
    </row>
  </sheetData>
  <mergeCells count="10">
    <mergeCell ref="C14:E14"/>
    <mergeCell ref="C13:E13"/>
    <mergeCell ref="C15:E15"/>
    <mergeCell ref="C8:E8"/>
    <mergeCell ref="C9:E9"/>
    <mergeCell ref="C7:E7"/>
    <mergeCell ref="C12:E12"/>
    <mergeCell ref="C6:E6"/>
    <mergeCell ref="C10:E10"/>
    <mergeCell ref="C11:E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677"/>
  <sheetViews>
    <sheetView showGridLines="0" zoomScale="125" workbookViewId="0">
      <pane xSplit="2" ySplit="2" topLeftCell="C3" activePane="bottomRight" state="frozen"/>
      <selection pane="topRight"/>
      <selection pane="bottomLeft"/>
      <selection pane="bottomRight" activeCell="J8" sqref="J8"/>
    </sheetView>
  </sheetViews>
  <sheetFormatPr baseColWidth="10" defaultRowHeight="16" x14ac:dyDescent="0.2"/>
  <cols>
    <col min="1" max="1" width="4.6640625" customWidth="1"/>
    <col min="3" max="3" width="38.1640625" customWidth="1"/>
    <col min="4" max="4" width="16" customWidth="1"/>
    <col min="6" max="6" width="10.83203125" style="1" customWidth="1"/>
    <col min="7" max="7" width="11.33203125" customWidth="1"/>
    <col min="8" max="8" width="12" customWidth="1"/>
    <col min="9" max="9" width="3" customWidth="1"/>
    <col min="10" max="10" width="12" customWidth="1"/>
    <col min="11" max="11" width="9" customWidth="1"/>
    <col min="12" max="12" width="25" customWidth="1"/>
    <col min="13" max="13" width="12" customWidth="1"/>
    <col min="14" max="14" width="58" customWidth="1"/>
    <col min="15" max="15" width="9" style="12" customWidth="1"/>
    <col min="16" max="16" width="9" customWidth="1"/>
  </cols>
  <sheetData>
    <row r="1" spans="2:14" x14ac:dyDescent="0.2">
      <c r="F1" s="7" t="s">
        <v>0</v>
      </c>
    </row>
    <row r="2" spans="2:14" x14ac:dyDescent="0.2">
      <c r="B2" s="2" t="s">
        <v>1</v>
      </c>
      <c r="C2" s="2" t="s">
        <v>2</v>
      </c>
      <c r="D2" s="2" t="s">
        <v>3</v>
      </c>
      <c r="E2" s="2" t="s">
        <v>4</v>
      </c>
      <c r="F2" s="14" t="s">
        <v>5</v>
      </c>
      <c r="G2" s="15" t="s">
        <v>6</v>
      </c>
      <c r="H2" s="15" t="s">
        <v>7</v>
      </c>
      <c r="I2" s="16"/>
      <c r="J2" s="15" t="s">
        <v>8</v>
      </c>
      <c r="K2" s="15" t="s">
        <v>9</v>
      </c>
      <c r="L2" s="15" t="s">
        <v>10</v>
      </c>
      <c r="M2" s="15" t="s">
        <v>11</v>
      </c>
      <c r="N2" s="15" t="s">
        <v>12</v>
      </c>
    </row>
    <row r="3" spans="2:14" x14ac:dyDescent="0.2">
      <c r="B3" s="3" t="s">
        <v>13</v>
      </c>
      <c r="C3" t="s">
        <v>14</v>
      </c>
      <c r="D3" t="s">
        <v>15</v>
      </c>
      <c r="E3" s="5" t="s">
        <v>16</v>
      </c>
      <c r="F3" s="1">
        <v>1286.835</v>
      </c>
      <c r="G3" s="8">
        <f>F3*[1]Main!$C$4</f>
        <v>1147029.4687392751</v>
      </c>
      <c r="H3" s="9">
        <f>G3-[1]Main!$C$7+[1]Main!$C$8</f>
        <v>1192927.4687392751</v>
      </c>
      <c r="J3" s="1">
        <f>[1]Main!$C$11</f>
        <v>734.21432802039237</v>
      </c>
      <c r="K3" s="11">
        <f t="shared" ref="K3:K66" si="0">IFERROR(J3/F3-1,"")</f>
        <v>-0.42944174814922476</v>
      </c>
      <c r="L3" s="12" t="str">
        <f>"rNPV ("&amp;[1]Main!$C$14&amp;")"</f>
        <v>rNPV (Base)</v>
      </c>
      <c r="M3" s="13">
        <v>46324</v>
      </c>
      <c r="N3" s="17" t="s">
        <v>17</v>
      </c>
    </row>
    <row r="4" spans="2:14" x14ac:dyDescent="0.2">
      <c r="B4" s="3" t="s">
        <v>18</v>
      </c>
      <c r="C4" t="s">
        <v>19</v>
      </c>
      <c r="D4" t="s">
        <v>15</v>
      </c>
      <c r="E4" s="6" t="s">
        <v>16</v>
      </c>
      <c r="F4" s="1">
        <v>259.39999999999998</v>
      </c>
      <c r="G4" s="8">
        <f>F4*[2]Main!$C$4</f>
        <v>625127.69606179988</v>
      </c>
      <c r="H4" s="10">
        <f>G4-[2]Main!$C$7+[2]Main!$C$8</f>
        <v>653405.69606179988</v>
      </c>
      <c r="J4" s="1">
        <f>IF(ISNUMBER([2]Main!$C$11),[2]Main!$C$11,"")</f>
        <v>172.80445083300157</v>
      </c>
      <c r="K4" s="11">
        <f t="shared" si="0"/>
        <v>-0.33383018183114266</v>
      </c>
      <c r="L4" s="12" t="str">
        <f>[2]Main!$C$15&amp;" ("&amp;[2]Main!$C$14&amp;")"</f>
        <v>DCF (Base)</v>
      </c>
      <c r="M4" s="13"/>
      <c r="N4" s="17"/>
    </row>
    <row r="5" spans="2:14" x14ac:dyDescent="0.2">
      <c r="B5" s="3" t="s">
        <v>20</v>
      </c>
      <c r="C5" t="s">
        <v>21</v>
      </c>
      <c r="D5" t="s">
        <v>22</v>
      </c>
      <c r="E5" s="6" t="s">
        <v>16</v>
      </c>
      <c r="F5" s="1">
        <v>289.14999999999998</v>
      </c>
      <c r="G5" s="8">
        <f>F5*[3]Main!$C$4</f>
        <v>510961.96295774996</v>
      </c>
      <c r="H5" s="10">
        <f>G5-[3]Main!$C$7+[3]Main!$C$8</f>
        <v>575214.96295774996</v>
      </c>
      <c r="J5" s="1">
        <f>IF(ISNUMBER([3]Main!$C$11),[3]Main!$C$11,"")</f>
        <v>130.4871413635997</v>
      </c>
      <c r="K5" s="11">
        <f t="shared" si="0"/>
        <v>-0.54872162765485144</v>
      </c>
      <c r="L5" s="12" t="str">
        <f>[3]Main!$C$15&amp;" ("&amp;[3]Main!$C$14&amp;")"</f>
        <v>DCF (Base)</v>
      </c>
      <c r="M5" s="13">
        <v>46325</v>
      </c>
      <c r="N5" s="17" t="s">
        <v>23</v>
      </c>
    </row>
    <row r="6" spans="2:14" x14ac:dyDescent="0.2">
      <c r="B6" s="3" t="s">
        <v>24</v>
      </c>
      <c r="C6" t="s">
        <v>25</v>
      </c>
      <c r="D6" t="s">
        <v>15</v>
      </c>
      <c r="E6" s="6" t="s">
        <v>16</v>
      </c>
      <c r="F6" s="1">
        <v>148.30000000000001</v>
      </c>
      <c r="G6" s="8">
        <f>F6*[4]Main!$C$4</f>
        <v>365881.5539154</v>
      </c>
      <c r="H6" s="10">
        <f>G6-[4]Main!$C$7+[4]Main!$C$8</f>
        <v>412646.5539154</v>
      </c>
      <c r="J6" s="1">
        <f>IF(ISNUMBER([4]Main!$C$11),[4]Main!$C$11,"")</f>
        <v>83.652528548421998</v>
      </c>
      <c r="K6" s="11">
        <f t="shared" si="0"/>
        <v>-0.43592361059728935</v>
      </c>
      <c r="L6" s="12" t="str">
        <f>[4]Main!$C$15&amp;" ("&amp;[4]Main!$C$14&amp;")"</f>
        <v>DCF (Base)</v>
      </c>
      <c r="M6" s="13">
        <v>46324</v>
      </c>
      <c r="N6" s="17" t="s">
        <v>17</v>
      </c>
    </row>
    <row r="7" spans="2:14" x14ac:dyDescent="0.2">
      <c r="B7" s="3" t="s">
        <v>26</v>
      </c>
      <c r="C7" t="s">
        <v>27</v>
      </c>
      <c r="D7" t="s">
        <v>15</v>
      </c>
      <c r="E7" s="6" t="s">
        <v>16</v>
      </c>
      <c r="F7" s="1">
        <v>153.63999999999999</v>
      </c>
      <c r="G7" s="8">
        <f>F7*[5]Main!$C$4</f>
        <v>293168.42396156001</v>
      </c>
      <c r="H7" s="10">
        <f>G7-[5]Main!$C$7+[5]Main!$C$8</f>
        <v>283111.42396156001</v>
      </c>
      <c r="J7" s="1">
        <f>IF(ISNUMBER([5]Main!$C$11),[5]Main!$C$11,"")</f>
        <v>177.13279023029418</v>
      </c>
      <c r="K7" s="11">
        <f t="shared" si="0"/>
        <v>0.15290803326148272</v>
      </c>
      <c r="L7" s="12" t="str">
        <f>[5]Main!$C$15&amp;" ("&amp;[5]Main!$C$14&amp;")"</f>
        <v>DCF (Base)</v>
      </c>
      <c r="M7" s="13">
        <v>46322</v>
      </c>
      <c r="N7" s="17" t="s">
        <v>28</v>
      </c>
    </row>
    <row r="8" spans="2:14" x14ac:dyDescent="0.2">
      <c r="B8" s="3" t="s">
        <v>29</v>
      </c>
      <c r="C8" t="s">
        <v>30</v>
      </c>
      <c r="D8" t="s">
        <v>15</v>
      </c>
      <c r="E8" s="6" t="s">
        <v>16</v>
      </c>
      <c r="F8" s="1">
        <v>168.82</v>
      </c>
      <c r="G8" s="8">
        <f>F8*[6]Main!$C$4</f>
        <v>261832.71723613999</v>
      </c>
      <c r="H8" s="10">
        <f>G8-[6]Main!$C$7+[6]Main!$C$8</f>
        <v>283910.71723613999</v>
      </c>
      <c r="J8" s="1">
        <f>IF(ISNUMBER([6]Main!$C$11),[6]Main!$C$11,"")</f>
        <v>142.27664813998601</v>
      </c>
      <c r="K8" s="11">
        <f t="shared" si="0"/>
        <v>-0.1572287161474587</v>
      </c>
      <c r="L8" s="12" t="str">
        <f>[6]Main!$C$15&amp;" ("&amp;[6]Main!$C$14&amp;")"</f>
        <v>DCF (Base)</v>
      </c>
      <c r="M8" s="13">
        <v>46325</v>
      </c>
      <c r="N8" s="17" t="s">
        <v>23</v>
      </c>
    </row>
    <row r="9" spans="2:14" x14ac:dyDescent="0.2">
      <c r="B9" s="3" t="s">
        <v>31</v>
      </c>
      <c r="C9" t="s">
        <v>32</v>
      </c>
      <c r="D9" t="s">
        <v>22</v>
      </c>
      <c r="E9" s="6" t="s">
        <v>33</v>
      </c>
      <c r="F9" s="1">
        <v>438.94</v>
      </c>
      <c r="G9" s="8">
        <f>F9*[7]Main!$C$4</f>
        <v>237305.01227470001</v>
      </c>
      <c r="H9" s="10">
        <f>G9-[7]Main!$C$7+[7]Main!$C$8</f>
        <v>280620.01227469998</v>
      </c>
      <c r="J9" s="1">
        <f>IF(ISNUMBER([7]Main!$C$11),[7]Main!$C$11,"")</f>
        <v>271.63788606981916</v>
      </c>
      <c r="K9" s="11">
        <f t="shared" si="0"/>
        <v>-0.38115030284362517</v>
      </c>
      <c r="L9" s="12" t="str">
        <f>[7]Main!$C$15&amp;" ("&amp;[7]Main!$C$14&amp;")"</f>
        <v>DCF (Base)</v>
      </c>
      <c r="M9" s="13">
        <v>46329</v>
      </c>
      <c r="N9" s="17" t="s">
        <v>34</v>
      </c>
    </row>
    <row r="10" spans="2:14" x14ac:dyDescent="0.2">
      <c r="B10" s="3" t="s">
        <v>35</v>
      </c>
      <c r="C10" t="s">
        <v>36</v>
      </c>
      <c r="D10" t="s">
        <v>22</v>
      </c>
      <c r="E10" s="6" t="s">
        <v>33</v>
      </c>
      <c r="F10" s="1">
        <v>156.51</v>
      </c>
      <c r="G10" s="8">
        <f>F10*[8]Main!$C$4</f>
        <v>194065.38130905002</v>
      </c>
      <c r="H10" s="10">
        <f>G10-[8]Main!$C$7+[8]Main!$C$8</f>
        <v>217132.38130905002</v>
      </c>
      <c r="J10" s="1">
        <f>IF(ISNUMBER([8]Main!$C$11),[8]Main!$C$11,"")</f>
        <v>71.511969257523816</v>
      </c>
      <c r="K10" s="11">
        <f t="shared" si="0"/>
        <v>-0.54308370546595219</v>
      </c>
      <c r="L10" s="12" t="str">
        <f>[8]Main!$C$15&amp;" ("&amp;[8]Main!$C$14&amp;")"</f>
        <v>DCF (Base)</v>
      </c>
      <c r="M10" s="13">
        <v>46324</v>
      </c>
      <c r="N10" s="17" t="s">
        <v>37</v>
      </c>
    </row>
    <row r="11" spans="2:14" x14ac:dyDescent="0.2">
      <c r="B11" s="3" t="s">
        <v>38</v>
      </c>
      <c r="C11" t="s">
        <v>39</v>
      </c>
      <c r="D11" t="s">
        <v>15</v>
      </c>
      <c r="E11" s="6" t="s">
        <v>16</v>
      </c>
      <c r="F11" s="1">
        <v>39.344999999999999</v>
      </c>
      <c r="G11" s="8">
        <f>F11*[9]Main!$C$4</f>
        <v>174849.18</v>
      </c>
      <c r="H11" s="10">
        <f>G11-[9]Main!$C$7+[9]Main!$C$8</f>
        <v>190580.30532931877</v>
      </c>
      <c r="J11" s="1">
        <f>IF(ISNUMBER([9]Main!$C$11),[9]Main!$C$11,"")</f>
        <v>37.44090648315759</v>
      </c>
      <c r="K11" s="11">
        <f t="shared" si="0"/>
        <v>-4.8394802817191773E-2</v>
      </c>
      <c r="L11" s="12" t="str">
        <f>[9]Main!$C$15&amp;" ("&amp;[9]Main!$C$14&amp;")"</f>
        <v>Reviewed DCF (Base)</v>
      </c>
      <c r="M11" s="13">
        <v>46330</v>
      </c>
      <c r="N11" s="17" t="s">
        <v>40</v>
      </c>
    </row>
    <row r="12" spans="2:14" x14ac:dyDescent="0.2">
      <c r="B12" s="3" t="s">
        <v>41</v>
      </c>
      <c r="C12" t="s">
        <v>42</v>
      </c>
      <c r="D12" t="s">
        <v>15</v>
      </c>
      <c r="E12" s="6" t="s">
        <v>16</v>
      </c>
      <c r="F12" s="1">
        <v>30.13</v>
      </c>
      <c r="G12" s="8">
        <f>F12*[10]Main!$C$4</f>
        <v>171731.16523657</v>
      </c>
      <c r="H12" s="10">
        <f>G12-[10]Main!$C$7+[10]Main!$C$8</f>
        <v>226668.16523657</v>
      </c>
      <c r="J12" s="1">
        <f>IF(ISNUMBER([10]Main!$C$11),[10]Main!$C$11,"")</f>
        <v>27.862901109003456</v>
      </c>
      <c r="K12" s="11">
        <f t="shared" si="0"/>
        <v>-7.5243906106755465E-2</v>
      </c>
      <c r="L12" s="12" t="str">
        <f>[10]Main!$C$15&amp;" ("&amp;[10]Main!$C$14&amp;")"</f>
        <v>Reviewed DCF (Base)</v>
      </c>
      <c r="M12" s="13">
        <v>46329</v>
      </c>
      <c r="N12" s="17" t="s">
        <v>43</v>
      </c>
    </row>
    <row r="13" spans="2:14" x14ac:dyDescent="0.2">
      <c r="B13" s="3" t="s">
        <v>44</v>
      </c>
      <c r="C13" t="s">
        <v>45</v>
      </c>
      <c r="D13" t="s">
        <v>22</v>
      </c>
      <c r="E13" s="6" t="s">
        <v>33</v>
      </c>
      <c r="F13" s="1">
        <v>514.65</v>
      </c>
      <c r="G13" s="8">
        <f>F13*[11]Main!$C$4</f>
        <v>130443.6645366</v>
      </c>
      <c r="H13" s="10">
        <f>G13-[11]Main!$C$7+[11]Main!$C$8</f>
        <v>122591.26453660001</v>
      </c>
      <c r="J13" s="1">
        <f>IF(ISNUMBER([11]Main!$C$11),[11]Main!$C$11,"")</f>
        <v>402.45949901286946</v>
      </c>
      <c r="K13" s="11">
        <f t="shared" si="0"/>
        <v>-0.21799378410012726</v>
      </c>
      <c r="L13" s="12" t="str">
        <f>[11]Main!$C$15&amp;" ("&amp;[11]Main!$C$14&amp;")"</f>
        <v>DCF (Base)</v>
      </c>
      <c r="M13" s="13">
        <v>46328</v>
      </c>
      <c r="N13" s="17" t="s">
        <v>46</v>
      </c>
    </row>
    <row r="14" spans="2:14" x14ac:dyDescent="0.2">
      <c r="B14" s="3" t="s">
        <v>47</v>
      </c>
      <c r="C14" t="s">
        <v>48</v>
      </c>
      <c r="D14" t="s">
        <v>15</v>
      </c>
      <c r="E14" s="6" t="s">
        <v>16</v>
      </c>
      <c r="F14" s="1">
        <v>61.715000000000003</v>
      </c>
      <c r="G14" s="8">
        <f>F14*[12]Main!$C$4</f>
        <v>126066.13499504002</v>
      </c>
      <c r="H14" s="10">
        <f>G14-[12]Main!$C$7+[12]Main!$C$8</f>
        <v>158119.13499504002</v>
      </c>
      <c r="J14" s="1">
        <f>IF(ISNUMBER([12]Main!$C$11),[12]Main!$C$11,"")</f>
        <v>71.545789441526807</v>
      </c>
      <c r="K14" s="11">
        <f t="shared" si="0"/>
        <v>0.15929335561090174</v>
      </c>
      <c r="L14" s="12" t="str">
        <f>[12]Main!$C$15&amp;" ("&amp;[12]Main!$C$14&amp;")"</f>
        <v>DCF (Base)</v>
      </c>
      <c r="M14" s="13">
        <v>46324</v>
      </c>
      <c r="N14" s="17" t="s">
        <v>17</v>
      </c>
    </row>
    <row r="15" spans="2:14" x14ac:dyDescent="0.2">
      <c r="B15" s="3" t="s">
        <v>49</v>
      </c>
      <c r="C15" t="s">
        <v>50</v>
      </c>
      <c r="D15" t="s">
        <v>15</v>
      </c>
      <c r="E15" s="6" t="s">
        <v>16</v>
      </c>
      <c r="F15" s="1">
        <v>50.645000000000003</v>
      </c>
      <c r="G15" s="8">
        <f>F15*[13]Main!$C$4</f>
        <v>109277.85667088501</v>
      </c>
      <c r="H15" s="10">
        <f>G15-[13]Main!$C$7+[13]Main!$C$8</f>
        <v>128377.99135730568</v>
      </c>
      <c r="J15" s="1">
        <f>IF(ISNUMBER([13]Main!$C$11),[13]Main!$C$11,"")</f>
        <v>66.386168871219525</v>
      </c>
      <c r="K15" s="11">
        <f t="shared" si="0"/>
        <v>0.31081387839311914</v>
      </c>
      <c r="L15" s="12" t="str">
        <f>[13]Main!$C$15&amp;" ("&amp;[13]Main!$C$14&amp;")"</f>
        <v>Reviewed DCF (Base)</v>
      </c>
      <c r="M15" s="13">
        <v>46323</v>
      </c>
      <c r="N15" s="17" t="s">
        <v>51</v>
      </c>
    </row>
    <row r="16" spans="2:14" x14ac:dyDescent="0.2">
      <c r="B16" s="3" t="s">
        <v>52</v>
      </c>
      <c r="C16" t="s">
        <v>53</v>
      </c>
      <c r="D16" t="s">
        <v>15</v>
      </c>
      <c r="E16" s="6" t="s">
        <v>33</v>
      </c>
      <c r="F16" s="1">
        <v>41.4</v>
      </c>
      <c r="G16" s="8">
        <f>F16*[14]Main!$C$4</f>
        <v>100968.56354879998</v>
      </c>
      <c r="H16" s="10">
        <f>G16-[14]Main!$C$7+[14]Main!$C$8</f>
        <v>112379.13013857098</v>
      </c>
      <c r="J16" s="1">
        <f>IF(ISNUMBER([14]Main!$C$11),[14]Main!$C$11,"")</f>
        <v>66.822469406445506</v>
      </c>
      <c r="K16" s="11">
        <f t="shared" si="0"/>
        <v>0.61406930933443249</v>
      </c>
      <c r="L16" s="12" t="str">
        <f>[14]Main!$C$15&amp;" ("&amp;[14]Main!$C$14&amp;")"</f>
        <v>Reviewed DCF (Base)</v>
      </c>
      <c r="M16" s="13">
        <v>46325</v>
      </c>
      <c r="N16" s="17" t="s">
        <v>23</v>
      </c>
    </row>
    <row r="17" spans="2:14" x14ac:dyDescent="0.2">
      <c r="B17" s="3" t="s">
        <v>54</v>
      </c>
      <c r="C17" t="s">
        <v>55</v>
      </c>
      <c r="D17" t="s">
        <v>22</v>
      </c>
      <c r="E17" s="6" t="s">
        <v>33</v>
      </c>
      <c r="F17" s="1">
        <v>242.08</v>
      </c>
      <c r="G17" s="8">
        <f>F17*[15]Main!$C$4</f>
        <v>96647.024009119996</v>
      </c>
      <c r="H17" s="10">
        <f>G17-[15]Main!$C$7+[15]Main!$C$8</f>
        <v>92100.024009119996</v>
      </c>
      <c r="J17" s="1">
        <f>IF(ISNUMBER([15]Main!$C$11),[15]Main!$C$11,"")</f>
        <v>3.485350300841989</v>
      </c>
      <c r="K17" s="11">
        <f t="shared" si="0"/>
        <v>-0.9856024855384915</v>
      </c>
      <c r="L17" s="12" t="str">
        <f>[15]Main!$C$15&amp;" ("&amp;[15]Main!$C$14&amp;")"</f>
        <v>DCF (Base)</v>
      </c>
      <c r="M17" s="13">
        <v>46332</v>
      </c>
      <c r="N17" s="17" t="s">
        <v>56</v>
      </c>
    </row>
    <row r="18" spans="2:14" x14ac:dyDescent="0.2">
      <c r="B18" s="3" t="s">
        <v>57</v>
      </c>
      <c r="C18" t="s">
        <v>58</v>
      </c>
      <c r="D18" t="s">
        <v>22</v>
      </c>
      <c r="E18" s="6" t="s">
        <v>33</v>
      </c>
      <c r="F18" s="1">
        <v>807.48</v>
      </c>
      <c r="G18" s="8">
        <f>F18*[16]Main!$C$4</f>
        <v>83134.093710240006</v>
      </c>
      <c r="H18" s="10">
        <f>G18-[16]Main!$C$7+[16]Main!$C$8</f>
        <v>77126.093710240006</v>
      </c>
      <c r="J18" s="1">
        <f>IF(ISNUMBER([16]Main!$C$11),[16]Main!$C$11,"")</f>
        <v>711.48026319141013</v>
      </c>
      <c r="K18" s="11">
        <f t="shared" si="0"/>
        <v>-0.11888806757887482</v>
      </c>
      <c r="L18" s="12" t="str">
        <f>[16]Main!$C$15&amp;" ("&amp;[16]Main!$C$14&amp;")"</f>
        <v>DCF (Base)</v>
      </c>
      <c r="M18" s="13">
        <v>46325</v>
      </c>
      <c r="N18" s="17" t="s">
        <v>23</v>
      </c>
    </row>
    <row r="19" spans="2:14" x14ac:dyDescent="0.2">
      <c r="B19" s="3" t="s">
        <v>59</v>
      </c>
      <c r="C19" t="s">
        <v>60</v>
      </c>
      <c r="D19" t="s">
        <v>15</v>
      </c>
      <c r="E19" s="6" t="s">
        <v>16</v>
      </c>
      <c r="F19" s="1">
        <v>20.079999999999998</v>
      </c>
      <c r="G19" s="8">
        <f>F19*[17]Main!$C$4</f>
        <v>63892.551999999996</v>
      </c>
      <c r="H19" s="10">
        <f>G19-[17]Main!$C$7+[17]Main!$C$8</f>
        <v>90029.471377294001</v>
      </c>
      <c r="J19" s="1">
        <f>IF(ISNUMBER([17]Main!$C$11),[17]Main!$C$11,"")</f>
        <v>17.467484760387503</v>
      </c>
      <c r="K19" s="11">
        <f t="shared" si="0"/>
        <v>-0.13010534061815215</v>
      </c>
      <c r="L19" s="12" t="str">
        <f>[17]Main!$C$15&amp;" ("&amp;[17]Main!$C$14&amp;")"</f>
        <v>DCF (Base)</v>
      </c>
      <c r="M19" s="13">
        <v>46324</v>
      </c>
      <c r="N19" s="17" t="s">
        <v>17</v>
      </c>
    </row>
    <row r="20" spans="2:14" x14ac:dyDescent="0.2">
      <c r="B20" s="3" t="s">
        <v>61</v>
      </c>
      <c r="C20" t="s">
        <v>62</v>
      </c>
      <c r="D20" t="s">
        <v>22</v>
      </c>
      <c r="E20" s="6" t="s">
        <v>33</v>
      </c>
      <c r="F20" s="1">
        <v>405.92</v>
      </c>
      <c r="G20" s="8">
        <f>F20*[18]Main!$C$4</f>
        <v>58511.001486400004</v>
      </c>
      <c r="H20" s="10">
        <f>G20-[18]Main!$C$7+[18]Main!$C$8</f>
        <v>57499.790486400001</v>
      </c>
      <c r="J20" s="1">
        <f>IF(ISNUMBER([18]Main!$C$11),[18]Main!$C$11,"")</f>
        <v>127.26848818885195</v>
      </c>
      <c r="K20" s="11">
        <f t="shared" si="0"/>
        <v>-0.68646903776889057</v>
      </c>
      <c r="L20" s="12" t="str">
        <f>[18]Main!$C$15&amp;" ("&amp;[18]Main!$C$14&amp;")"</f>
        <v>DCF (Base)</v>
      </c>
      <c r="M20" s="13">
        <v>46331</v>
      </c>
      <c r="N20" s="17" t="s">
        <v>63</v>
      </c>
    </row>
    <row r="21" spans="2:14" x14ac:dyDescent="0.2">
      <c r="B21" s="3" t="s">
        <v>64</v>
      </c>
      <c r="C21" t="s">
        <v>65</v>
      </c>
      <c r="D21" t="s">
        <v>22</v>
      </c>
      <c r="E21" s="6" t="s">
        <v>33</v>
      </c>
      <c r="F21" s="1">
        <v>869.72</v>
      </c>
      <c r="G21" s="8">
        <f>F21*[19]Main!$C$4</f>
        <v>53821.148894320002</v>
      </c>
      <c r="H21" s="10">
        <f>G21-[19]Main!$C$7+[19]Main!$C$8</f>
        <v>50329.859894320005</v>
      </c>
      <c r="J21" s="1">
        <f>IF(ISNUMBER([19]Main!$C$11),[19]Main!$C$11,"")</f>
        <v>725.20731686707347</v>
      </c>
      <c r="K21" s="11">
        <f t="shared" si="0"/>
        <v>-0.16616000912124196</v>
      </c>
      <c r="L21" s="12" t="str">
        <f>[19]Main!$C$15&amp;" ("&amp;[19]Main!$C$14&amp;")"</f>
        <v>DCF (Base)</v>
      </c>
      <c r="M21" s="13">
        <v>46317</v>
      </c>
      <c r="N21" s="17" t="s">
        <v>66</v>
      </c>
    </row>
    <row r="22" spans="2:14" x14ac:dyDescent="0.2">
      <c r="B22" s="3" t="s">
        <v>67</v>
      </c>
      <c r="C22" t="s">
        <v>68</v>
      </c>
      <c r="D22" t="s">
        <v>15</v>
      </c>
      <c r="E22" s="6" t="s">
        <v>16</v>
      </c>
      <c r="F22" s="1">
        <v>40.854999999999997</v>
      </c>
      <c r="G22" s="8">
        <f>F22*[20]Main!$C$4</f>
        <v>47608.171511820001</v>
      </c>
      <c r="H22" s="10">
        <f>G22-[20]Main!$C$7+[20]Main!$C$8</f>
        <v>48453.171511820001</v>
      </c>
      <c r="J22" s="1">
        <f>IF(ISNUMBER([20]Main!$C$11),[20]Main!$C$11,"")</f>
        <v>33.647553499248531</v>
      </c>
      <c r="K22" s="11">
        <f t="shared" si="0"/>
        <v>-0.17641528578512955</v>
      </c>
      <c r="L22" s="12" t="str">
        <f>[20]Main!$C$15&amp;" ("&amp;[20]Main!$C$14&amp;")"</f>
        <v>DCF (Base)</v>
      </c>
      <c r="M22" s="13">
        <v>46329</v>
      </c>
      <c r="N22" s="17" t="s">
        <v>43</v>
      </c>
    </row>
    <row r="23" spans="2:14" x14ac:dyDescent="0.2">
      <c r="B23" s="3" t="s">
        <v>69</v>
      </c>
      <c r="C23" t="s">
        <v>70</v>
      </c>
      <c r="D23" t="s">
        <v>15</v>
      </c>
      <c r="E23" s="6" t="s">
        <v>16</v>
      </c>
      <c r="F23" s="1">
        <v>10.17</v>
      </c>
      <c r="G23" s="8">
        <f>F23*[21]Main!$C$4</f>
        <v>45522.71830008</v>
      </c>
      <c r="H23" s="10">
        <f>G23-[21]Main!$C$7+[21]Main!$C$8</f>
        <v>55237.476464610794</v>
      </c>
      <c r="J23" s="1">
        <f>IF(ISNUMBER([21]Main!$C$11),[21]Main!$C$11,"")</f>
        <v>5.9735760441564487</v>
      </c>
      <c r="K23" s="11">
        <f t="shared" si="0"/>
        <v>-0.41262772427173566</v>
      </c>
      <c r="L23" s="12" t="str">
        <f>[21]Main!$C$15&amp;" ("&amp;[21]Main!$C$14&amp;")"</f>
        <v>DCF (Base)</v>
      </c>
      <c r="M23" s="13">
        <v>46324</v>
      </c>
      <c r="N23" s="17" t="s">
        <v>17</v>
      </c>
    </row>
    <row r="24" spans="2:14" x14ac:dyDescent="0.2">
      <c r="B24" s="3" t="s">
        <v>71</v>
      </c>
      <c r="C24" t="s">
        <v>72</v>
      </c>
      <c r="D24" t="s">
        <v>22</v>
      </c>
      <c r="E24" s="6" t="s">
        <v>33</v>
      </c>
      <c r="F24" s="1">
        <v>384.5</v>
      </c>
      <c r="G24" s="8">
        <f>F24*[22]Main!$C$4</f>
        <v>43718.371824807691</v>
      </c>
      <c r="H24" s="10">
        <f>G24-[22]Main!$C$7+[22]Main!$C$8</f>
        <v>39764.571824807696</v>
      </c>
      <c r="J24" s="1">
        <f>IF(ISNUMBER([22]Main!$C$11),[22]Main!$C$11,"")</f>
        <v>433.27763206047302</v>
      </c>
      <c r="K24" s="11">
        <f t="shared" si="0"/>
        <v>0.12685990132762814</v>
      </c>
      <c r="L24" s="12" t="str">
        <f>[22]Main!$C$15&amp;" ("&amp;[22]Main!$C$14&amp;")"</f>
        <v>DCF (Base)</v>
      </c>
      <c r="M24" s="13">
        <v>46331</v>
      </c>
      <c r="N24" s="17" t="s">
        <v>63</v>
      </c>
    </row>
    <row r="25" spans="2:14" x14ac:dyDescent="0.2">
      <c r="B25" s="3" t="s">
        <v>73</v>
      </c>
      <c r="C25" t="s">
        <v>74</v>
      </c>
      <c r="D25" t="s">
        <v>22</v>
      </c>
      <c r="E25" s="6" t="s">
        <v>33</v>
      </c>
      <c r="F25" s="1">
        <v>196.55</v>
      </c>
      <c r="G25" s="8">
        <f>F25*[23]Main!$C$4</f>
        <v>42127.822957900004</v>
      </c>
      <c r="H25" s="10">
        <f>G25-[23]Main!$C$7+[23]Main!$C$8</f>
        <v>38677.287957900007</v>
      </c>
      <c r="J25" s="1">
        <f>IF(ISNUMBER([23]Main!$C$11),[23]Main!$C$11,"")</f>
        <v>16.098687438174878</v>
      </c>
      <c r="K25" s="11">
        <f t="shared" si="0"/>
        <v>-0.9180936787678714</v>
      </c>
      <c r="L25" s="12" t="str">
        <f>[23]Main!$C$15&amp;" ("&amp;[23]Main!$C$14&amp;")"</f>
        <v>Net cash (pre-revenue)</v>
      </c>
      <c r="M25" s="13">
        <v>46330</v>
      </c>
      <c r="N25" s="17" t="s">
        <v>40</v>
      </c>
    </row>
    <row r="26" spans="2:14" x14ac:dyDescent="0.2">
      <c r="B26" s="3" t="s">
        <v>75</v>
      </c>
      <c r="C26" t="s">
        <v>76</v>
      </c>
      <c r="D26" t="s">
        <v>15</v>
      </c>
      <c r="E26" s="6" t="s">
        <v>33</v>
      </c>
      <c r="F26" s="1">
        <v>62.25</v>
      </c>
      <c r="G26" s="8">
        <f>F26*[24]Main!$C$4</f>
        <v>35793.824949000002</v>
      </c>
      <c r="H26" s="10">
        <f>G26-[24]Main!$C$7+[24]Main!$C$8</f>
        <v>43918.730949000004</v>
      </c>
      <c r="J26" s="1">
        <f>IF(ISNUMBER([24]Main!$C$11),[24]Main!$C$11,"")</f>
        <v>25.647486483584522</v>
      </c>
      <c r="K26" s="11">
        <f t="shared" si="0"/>
        <v>-0.58799218500265826</v>
      </c>
      <c r="L26" s="12" t="str">
        <f>[24]Main!$C$15&amp;" ("&amp;[24]Main!$C$14&amp;")"</f>
        <v>DCF (Base)</v>
      </c>
      <c r="M26" s="13">
        <v>46330</v>
      </c>
      <c r="N26" s="17" t="s">
        <v>77</v>
      </c>
    </row>
    <row r="27" spans="2:14" x14ac:dyDescent="0.2">
      <c r="B27" s="3" t="s">
        <v>78</v>
      </c>
      <c r="C27" t="s">
        <v>79</v>
      </c>
      <c r="D27" t="s">
        <v>22</v>
      </c>
      <c r="E27" s="6" t="s">
        <v>33</v>
      </c>
      <c r="F27" s="1">
        <v>243.1</v>
      </c>
      <c r="G27" s="8">
        <f>F27*[25]Main!$C$4</f>
        <v>35890.583142699994</v>
      </c>
      <c r="H27" s="10">
        <f>G27-[25]Main!$C$7+[25]Main!$C$8</f>
        <v>37896.383142699997</v>
      </c>
      <c r="J27" s="1">
        <f>IF(ISNUMBER([25]Main!$C$11),[25]Main!$C$11,"")</f>
        <v>193.21229447287226</v>
      </c>
      <c r="K27" s="11">
        <f t="shared" si="0"/>
        <v>-0.20521474918604576</v>
      </c>
      <c r="L27" s="12" t="str">
        <f>[25]Main!$C$15&amp;" ("&amp;[25]Main!$C$14&amp;")"</f>
        <v>DCF (Base)</v>
      </c>
      <c r="M27" s="13">
        <v>46323</v>
      </c>
      <c r="N27" s="17" t="s">
        <v>51</v>
      </c>
    </row>
    <row r="28" spans="2:14" x14ac:dyDescent="0.2">
      <c r="B28" s="3" t="s">
        <v>80</v>
      </c>
      <c r="C28" t="s">
        <v>81</v>
      </c>
      <c r="D28" t="s">
        <v>15</v>
      </c>
      <c r="E28" s="6" t="s">
        <v>16</v>
      </c>
      <c r="F28" s="1">
        <v>80.040000000000006</v>
      </c>
      <c r="G28" s="8">
        <f>F28*[26]Main!$C$4</f>
        <v>33074.417104080007</v>
      </c>
      <c r="H28" s="10">
        <f>G28-[26]Main!$C$7+[26]Main!$C$8</f>
        <v>40446.417104080007</v>
      </c>
      <c r="J28" s="1">
        <f>IF(ISNUMBER([26]Main!$C$11),[26]Main!$C$11,"")</f>
        <v>103.19817392209127</v>
      </c>
      <c r="K28" s="11">
        <f t="shared" si="0"/>
        <v>0.28933250777225461</v>
      </c>
      <c r="L28" s="12" t="str">
        <f>[26]Main!$C$15&amp;" ("&amp;[26]Main!$C$14&amp;")"</f>
        <v>Reviewed DCF (Base)</v>
      </c>
      <c r="M28" s="13">
        <v>46331</v>
      </c>
      <c r="N28" s="17" t="s">
        <v>82</v>
      </c>
    </row>
    <row r="29" spans="2:14" x14ac:dyDescent="0.2">
      <c r="B29" s="3" t="s">
        <v>83</v>
      </c>
      <c r="C29" t="s">
        <v>84</v>
      </c>
      <c r="D29" t="s">
        <v>22</v>
      </c>
      <c r="E29" s="6" t="s">
        <v>33</v>
      </c>
      <c r="F29" s="1">
        <v>230.71</v>
      </c>
      <c r="G29" s="8">
        <f>F29*[27]Main!$C$4</f>
        <v>30871.101613780003</v>
      </c>
      <c r="H29" s="10">
        <f>G29-[27]Main!$C$7+[27]Main!$C$8</f>
        <v>28573.935613780002</v>
      </c>
      <c r="J29" s="1">
        <f>IF(ISNUMBER([27]Main!$C$11),[27]Main!$C$11,"")</f>
        <v>288.29953858447794</v>
      </c>
      <c r="K29" s="11">
        <f t="shared" si="0"/>
        <v>0.24961873600831308</v>
      </c>
      <c r="L29" s="12" t="str">
        <f>[27]Main!$C$15&amp;" ("&amp;[27]Main!$C$14&amp;")"</f>
        <v>DCF (Base)</v>
      </c>
      <c r="M29" s="13">
        <v>46324</v>
      </c>
      <c r="N29" s="17" t="s">
        <v>17</v>
      </c>
    </row>
    <row r="30" spans="2:14" x14ac:dyDescent="0.2">
      <c r="B30" s="3" t="s">
        <v>85</v>
      </c>
      <c r="C30" t="s">
        <v>86</v>
      </c>
      <c r="D30" t="s">
        <v>22</v>
      </c>
      <c r="E30" s="6" t="s">
        <v>33</v>
      </c>
      <c r="F30" s="1">
        <v>34.92</v>
      </c>
      <c r="G30" s="8">
        <f>F30*[28]Main!$C$4</f>
        <v>25223.519683800005</v>
      </c>
      <c r="H30" s="10">
        <f>G30-[28]Main!$C$7+[28]Main!$C$8</f>
        <v>21381.437683800003</v>
      </c>
      <c r="J30" s="1">
        <f>IF(ISNUMBER([28]Main!$C$11),[28]Main!$C$11,"")</f>
        <v>5.3190635217403397</v>
      </c>
      <c r="K30" s="11">
        <f t="shared" si="0"/>
        <v>-0.84767859330640494</v>
      </c>
      <c r="L30" s="12" t="str">
        <f>[28]Main!$C$15&amp;" ("&amp;[28]Main!$C$14&amp;")"</f>
        <v>Net cash (small revenue)</v>
      </c>
      <c r="M30" s="13">
        <v>46335</v>
      </c>
      <c r="N30" s="17" t="s">
        <v>87</v>
      </c>
    </row>
    <row r="31" spans="2:14" x14ac:dyDescent="0.2">
      <c r="B31" s="3" t="s">
        <v>88</v>
      </c>
      <c r="C31" t="s">
        <v>89</v>
      </c>
      <c r="D31" t="s">
        <v>22</v>
      </c>
      <c r="E31" s="6" t="s">
        <v>33</v>
      </c>
      <c r="F31" s="1">
        <v>39.07</v>
      </c>
      <c r="G31" s="8">
        <f>F31*[29]Main!$C$4</f>
        <v>25097.946005600003</v>
      </c>
      <c r="H31" s="10">
        <f>G31-[29]Main!$C$7+[29]Main!$C$8</f>
        <v>28656.946005600003</v>
      </c>
      <c r="J31" s="1">
        <f>IF(ISNUMBER([29]Main!$C$11),[29]Main!$C$11,"")</f>
        <v>32.944120092335517</v>
      </c>
      <c r="K31" s="11">
        <f t="shared" si="0"/>
        <v>-0.15679242149128447</v>
      </c>
      <c r="L31" s="12" t="str">
        <f>[29]Main!$C$15&amp;" ("&amp;[29]Main!$C$14&amp;")"</f>
        <v>DCF (Base)</v>
      </c>
      <c r="M31" s="13">
        <v>46331</v>
      </c>
      <c r="N31" s="17" t="s">
        <v>82</v>
      </c>
    </row>
    <row r="32" spans="2:14" x14ac:dyDescent="0.2">
      <c r="B32" s="3" t="s">
        <v>90</v>
      </c>
      <c r="C32" t="s">
        <v>91</v>
      </c>
      <c r="D32" t="s">
        <v>22</v>
      </c>
      <c r="E32" s="6" t="s">
        <v>33</v>
      </c>
      <c r="F32" s="1">
        <v>553.88</v>
      </c>
      <c r="G32" s="8">
        <f>F32*[30]Main!$C$4</f>
        <v>23756.296484959999</v>
      </c>
      <c r="H32" s="10">
        <f>G32-[30]Main!$C$7+[30]Main!$C$8</f>
        <v>21093.99648496</v>
      </c>
      <c r="J32" s="1">
        <f>IF(ISNUMBER([30]Main!$C$11),[30]Main!$C$11,"")</f>
        <v>478.8181686189655</v>
      </c>
      <c r="K32" s="11">
        <f t="shared" si="0"/>
        <v>-0.13552002488090287</v>
      </c>
      <c r="L32" s="12" t="str">
        <f>[30]Main!$C$15&amp;" ("&amp;[30]Main!$C$14&amp;")"</f>
        <v>DCF (Base)</v>
      </c>
      <c r="M32" s="13">
        <v>46330</v>
      </c>
      <c r="N32" s="17" t="s">
        <v>40</v>
      </c>
    </row>
    <row r="33" spans="2:14" x14ac:dyDescent="0.2">
      <c r="B33" s="3" t="s">
        <v>92</v>
      </c>
      <c r="C33" t="s">
        <v>93</v>
      </c>
      <c r="D33" t="s">
        <v>22</v>
      </c>
      <c r="E33" s="6" t="s">
        <v>33</v>
      </c>
      <c r="F33" s="1">
        <v>116.61499999999999</v>
      </c>
      <c r="G33" s="8">
        <f>F33*[31]Main!$C$4</f>
        <v>23297.596005324998</v>
      </c>
      <c r="H33" s="10">
        <f>G33-[31]Main!$C$7+[31]Main!$C$8</f>
        <v>19281.771005324998</v>
      </c>
      <c r="J33" s="1">
        <f>IF(ISNUMBER([31]Main!$C$11),[31]Main!$C$11,"")</f>
        <v>88.667653631490353</v>
      </c>
      <c r="K33" s="11">
        <f t="shared" si="0"/>
        <v>-0.23965481600574234</v>
      </c>
      <c r="L33" s="12" t="str">
        <f>[31]Main!$C$15&amp;" ("&amp;[31]Main!$C$14&amp;")"</f>
        <v>Reviewed DCF (Base)</v>
      </c>
      <c r="M33" s="13">
        <v>46324</v>
      </c>
      <c r="N33" s="17" t="s">
        <v>17</v>
      </c>
    </row>
    <row r="34" spans="2:14" x14ac:dyDescent="0.2">
      <c r="B34" s="3" t="s">
        <v>94</v>
      </c>
      <c r="C34" t="s">
        <v>95</v>
      </c>
      <c r="D34" t="s">
        <v>22</v>
      </c>
      <c r="E34" s="6" t="s">
        <v>33</v>
      </c>
      <c r="F34" s="1">
        <v>91.17</v>
      </c>
      <c r="G34" s="8">
        <f>F34*[32]Main!$C$4</f>
        <v>22902.302048220001</v>
      </c>
      <c r="H34" s="10">
        <f>G34-[32]Main!$C$7+[32]Main!$C$8</f>
        <v>6160.9528106123944</v>
      </c>
      <c r="J34" s="1">
        <f>IF(ISNUMBER([32]Main!$C$11),[32]Main!$C$11,"")</f>
        <v>66.368037715650388</v>
      </c>
      <c r="K34" s="11">
        <f t="shared" si="0"/>
        <v>-0.27204082795162454</v>
      </c>
      <c r="L34" s="12" t="str">
        <f>[32]Main!$C$15&amp;" ("&amp;[32]Main!$C$14&amp;")"</f>
        <v>DCF (Base)</v>
      </c>
      <c r="M34" s="13">
        <v>46329</v>
      </c>
      <c r="N34" s="17" t="s">
        <v>43</v>
      </c>
    </row>
    <row r="35" spans="2:14" x14ac:dyDescent="0.2">
      <c r="B35" s="3" t="s">
        <v>96</v>
      </c>
      <c r="C35" t="s">
        <v>97</v>
      </c>
      <c r="D35" t="s">
        <v>15</v>
      </c>
      <c r="E35" s="6" t="s">
        <v>33</v>
      </c>
      <c r="F35" s="1">
        <v>18.649999999999999</v>
      </c>
      <c r="G35" s="8">
        <f>F35*[33]Main!$C$4</f>
        <v>21421.219613599998</v>
      </c>
      <c r="H35" s="10">
        <f>G35-[33]Main!$C$7+[33]Main!$C$8</f>
        <v>33883.319613599997</v>
      </c>
      <c r="J35" s="1">
        <f>IF(ISNUMBER([33]Main!$C$11),[33]Main!$C$11,"")</f>
        <v>10.885889625674809</v>
      </c>
      <c r="K35" s="11">
        <f t="shared" si="0"/>
        <v>-0.41630618629089489</v>
      </c>
      <c r="L35" s="12" t="str">
        <f>[33]Main!$C$15&amp;" ("&amp;[33]Main!$C$14&amp;")"</f>
        <v>DCF (Base)</v>
      </c>
      <c r="M35" s="13">
        <v>46331</v>
      </c>
      <c r="N35" s="17" t="s">
        <v>82</v>
      </c>
    </row>
    <row r="36" spans="2:14" x14ac:dyDescent="0.2">
      <c r="B36" s="3" t="s">
        <v>98</v>
      </c>
      <c r="C36" t="s">
        <v>99</v>
      </c>
      <c r="D36" t="s">
        <v>22</v>
      </c>
      <c r="E36" s="6" t="s">
        <v>33</v>
      </c>
      <c r="F36" s="1">
        <v>95.67</v>
      </c>
      <c r="G36" s="8">
        <f>F36*[34]Main!$C$4</f>
        <v>20892.55839201</v>
      </c>
      <c r="H36" s="10">
        <f>G36-[34]Main!$C$7+[34]Main!$C$8</f>
        <v>20275.759392009997</v>
      </c>
      <c r="J36" s="1">
        <f>IF(ISNUMBER([34]Main!$C$11),[34]Main!$C$11,"")</f>
        <v>9.3162831292020911</v>
      </c>
      <c r="K36" s="11">
        <f t="shared" si="0"/>
        <v>-0.90262064252950669</v>
      </c>
      <c r="L36" s="12" t="str">
        <f>[34]Main!$C$15&amp;" ("&amp;[34]Main!$C$14&amp;")"</f>
        <v>DCF (Base)</v>
      </c>
      <c r="M36" s="13">
        <v>46324</v>
      </c>
      <c r="N36" s="17" t="s">
        <v>17</v>
      </c>
    </row>
    <row r="37" spans="2:14" x14ac:dyDescent="0.2">
      <c r="B37" s="3" t="s">
        <v>100</v>
      </c>
      <c r="C37" t="s">
        <v>101</v>
      </c>
      <c r="D37" t="s">
        <v>22</v>
      </c>
      <c r="E37" s="6" t="s">
        <v>33</v>
      </c>
      <c r="F37" s="1">
        <v>64.39</v>
      </c>
      <c r="G37" s="8">
        <f>F37*[35]Main!$C$4</f>
        <v>15954.663147879999</v>
      </c>
      <c r="H37" s="10">
        <f>G37-[35]Main!$C$7+[35]Main!$C$8</f>
        <v>15115.278147879999</v>
      </c>
      <c r="J37" s="1">
        <f>IF(ISNUMBER([35]Main!$C$11),[35]Main!$C$11,"")</f>
        <v>57.046216433741321</v>
      </c>
      <c r="K37" s="11">
        <f t="shared" si="0"/>
        <v>-0.11405161618665449</v>
      </c>
      <c r="L37" s="12" t="str">
        <f>[35]Main!$C$15&amp;" ("&amp;[35]Main!$C$14&amp;")"</f>
        <v>DCF (Base)</v>
      </c>
      <c r="M37" s="13">
        <v>46324</v>
      </c>
      <c r="N37" s="17" t="s">
        <v>37</v>
      </c>
    </row>
    <row r="38" spans="2:14" x14ac:dyDescent="0.2">
      <c r="B38" s="3" t="s">
        <v>102</v>
      </c>
      <c r="C38" t="s">
        <v>103</v>
      </c>
      <c r="D38" t="s">
        <v>22</v>
      </c>
      <c r="E38" s="6" t="s">
        <v>33</v>
      </c>
      <c r="F38" s="1">
        <v>234.33</v>
      </c>
      <c r="G38" s="8">
        <f>F38*[36]Main!$C$4</f>
        <v>14523.16601664</v>
      </c>
      <c r="H38" s="10">
        <f>G38-[36]Main!$C$7+[36]Main!$C$8</f>
        <v>14746.655579460008</v>
      </c>
      <c r="J38" s="1">
        <f>IF(ISNUMBER([36]Main!$C$11),[36]Main!$C$11,"")</f>
        <v>61.683855976773692</v>
      </c>
      <c r="K38" s="11">
        <f t="shared" si="0"/>
        <v>-0.73676500671372125</v>
      </c>
      <c r="L38" s="12" t="str">
        <f>[36]Main!$C$15&amp;" ("&amp;[36]Main!$C$14&amp;")"</f>
        <v>DCF (Base)</v>
      </c>
      <c r="M38" s="13">
        <v>46337</v>
      </c>
      <c r="N38" s="17" t="s">
        <v>104</v>
      </c>
    </row>
    <row r="39" spans="2:14" x14ac:dyDescent="0.2">
      <c r="B39" s="3" t="s">
        <v>105</v>
      </c>
      <c r="C39" t="s">
        <v>106</v>
      </c>
      <c r="D39" t="s">
        <v>22</v>
      </c>
      <c r="E39" s="6" t="s">
        <v>33</v>
      </c>
      <c r="F39" s="1">
        <v>124.37</v>
      </c>
      <c r="G39" s="8">
        <f>F39*[37]Main!$C$4</f>
        <v>14115.746260000002</v>
      </c>
      <c r="H39" s="10">
        <f>G39-[37]Main!$C$7+[37]Main!$C$8</f>
        <v>16031.397260000002</v>
      </c>
      <c r="J39" s="1">
        <f>IF(ISNUMBER([37]Main!$C$11),[37]Main!$C$11,"")</f>
        <v>64.593781153269063</v>
      </c>
      <c r="K39" s="11">
        <f t="shared" si="0"/>
        <v>-0.4806321367430324</v>
      </c>
      <c r="L39" s="12" t="str">
        <f>[37]Main!$C$15&amp;" ("&amp;[37]Main!$C$14&amp;")"</f>
        <v>Reviewed DCF (Base)</v>
      </c>
      <c r="M39" s="13">
        <v>46328</v>
      </c>
      <c r="N39" s="17" t="s">
        <v>107</v>
      </c>
    </row>
    <row r="40" spans="2:14" x14ac:dyDescent="0.2">
      <c r="B40" s="3" t="s">
        <v>108</v>
      </c>
      <c r="C40" t="s">
        <v>109</v>
      </c>
      <c r="D40" t="s">
        <v>22</v>
      </c>
      <c r="E40" s="6" t="s">
        <v>33</v>
      </c>
      <c r="F40" s="1">
        <v>142</v>
      </c>
      <c r="G40" s="8">
        <f>F40*[38]Main!$C$4</f>
        <v>14434.183702</v>
      </c>
      <c r="H40" s="10">
        <f>G40-[38]Main!$C$7+[38]Main!$C$8</f>
        <v>14044.383702000001</v>
      </c>
      <c r="J40" s="1">
        <f>IF(ISNUMBER([38]Main!$C$11),[38]Main!$C$11,"")</f>
        <v>166.52692221053019</v>
      </c>
      <c r="K40" s="11">
        <f t="shared" si="0"/>
        <v>0.17272480429950843</v>
      </c>
      <c r="L40" s="12" t="str">
        <f>[38]Main!$C$15&amp;" ("&amp;[38]Main!$C$14&amp;")"</f>
        <v>Reviewed DCF (Base)</v>
      </c>
      <c r="M40" s="13">
        <v>46328</v>
      </c>
      <c r="N40" s="17" t="s">
        <v>46</v>
      </c>
    </row>
    <row r="41" spans="2:14" x14ac:dyDescent="0.2">
      <c r="B41" s="3" t="s">
        <v>110</v>
      </c>
      <c r="C41" t="s">
        <v>111</v>
      </c>
      <c r="D41" t="s">
        <v>15</v>
      </c>
      <c r="E41" s="6" t="s">
        <v>33</v>
      </c>
      <c r="F41" s="1">
        <v>213.76</v>
      </c>
      <c r="G41" s="8">
        <f>F41*[39]Main!$C$4</f>
        <v>13876.139979519998</v>
      </c>
      <c r="H41" s="10">
        <f>G41-[39]Main!$C$7+[39]Main!$C$8</f>
        <v>16027.739979519998</v>
      </c>
      <c r="J41" s="1">
        <f>IF(ISNUMBER([39]Main!$C$11),[39]Main!$C$11,"")</f>
        <v>148.69299690082684</v>
      </c>
      <c r="K41" s="11">
        <f t="shared" si="0"/>
        <v>-0.30439279144448517</v>
      </c>
      <c r="L41" s="12" t="str">
        <f>[39]Main!$C$15&amp;" ("&amp;[39]Main!$C$14&amp;")"</f>
        <v>DCF (Base)</v>
      </c>
      <c r="M41" s="13">
        <v>46330</v>
      </c>
      <c r="N41" s="17" t="s">
        <v>40</v>
      </c>
    </row>
    <row r="42" spans="2:14" x14ac:dyDescent="0.2">
      <c r="B42" s="3" t="s">
        <v>112</v>
      </c>
      <c r="C42" t="s">
        <v>113</v>
      </c>
      <c r="D42" t="s">
        <v>22</v>
      </c>
      <c r="E42" s="6" t="s">
        <v>33</v>
      </c>
      <c r="F42" s="1">
        <v>16.09</v>
      </c>
      <c r="G42" s="8">
        <f>F42*[40]Main!$C$4</f>
        <v>14588.893136180001</v>
      </c>
      <c r="H42" s="10">
        <f>G42-[40]Main!$C$7+[40]Main!$C$8</f>
        <v>11898.215136180001</v>
      </c>
      <c r="J42" s="1">
        <f>[40]Main!$C$11</f>
        <v>5.475264046248677</v>
      </c>
      <c r="K42" s="11">
        <f t="shared" si="0"/>
        <v>-0.65971012764147441</v>
      </c>
      <c r="L42" s="12" t="str">
        <f>"rNPV ("&amp;[40]Main!$C$14&amp;")"</f>
        <v>rNPV (Base)</v>
      </c>
      <c r="M42" s="13">
        <v>46340</v>
      </c>
      <c r="N42" s="18" t="s">
        <v>114</v>
      </c>
    </row>
    <row r="43" spans="2:14" x14ac:dyDescent="0.2">
      <c r="B43" s="3" t="s">
        <v>115</v>
      </c>
      <c r="C43" t="s">
        <v>116</v>
      </c>
      <c r="D43" t="s">
        <v>22</v>
      </c>
      <c r="E43" s="6" t="s">
        <v>33</v>
      </c>
      <c r="F43" s="1">
        <v>67.55</v>
      </c>
      <c r="G43" s="8">
        <f>F43*[41]Main!$C$4</f>
        <v>13205.178868699999</v>
      </c>
      <c r="H43" s="10">
        <f>G43-[41]Main!$C$7+[41]Main!$C$8</f>
        <v>14990.018868699999</v>
      </c>
      <c r="J43" s="1">
        <f>[41]Main!$C$11</f>
        <v>54.634523514083696</v>
      </c>
      <c r="K43" s="11">
        <f t="shared" si="0"/>
        <v>-0.19119876367011546</v>
      </c>
      <c r="L43" s="12" t="str">
        <f>"rNPV ("&amp;[41]Main!$C$14&amp;")"</f>
        <v>rNPV (Base)</v>
      </c>
      <c r="M43" s="13">
        <v>46353</v>
      </c>
      <c r="N43" s="18" t="s">
        <v>117</v>
      </c>
    </row>
    <row r="44" spans="2:14" x14ac:dyDescent="0.2">
      <c r="B44" s="3" t="s">
        <v>118</v>
      </c>
      <c r="C44" t="s">
        <v>119</v>
      </c>
      <c r="D44" t="s">
        <v>22</v>
      </c>
      <c r="E44" s="6" t="s">
        <v>33</v>
      </c>
      <c r="F44" s="1">
        <v>83.17</v>
      </c>
      <c r="G44" s="8">
        <f>F44*[42]Main!$C$4</f>
        <v>12797.869581440002</v>
      </c>
      <c r="H44" s="10">
        <f>G44-[42]Main!$C$7+[42]Main!$C$8</f>
        <v>12329.776581440001</v>
      </c>
      <c r="J44" s="1">
        <f>IF(ISNUMBER([42]Main!$C$11),[42]Main!$C$11,"")</f>
        <v>35.801052651703614</v>
      </c>
      <c r="K44" s="11">
        <f t="shared" si="0"/>
        <v>-0.56954367378016579</v>
      </c>
      <c r="L44" s="12" t="str">
        <f>[42]Main!$C$15&amp;" ("&amp;[42]Main!$C$14&amp;")"</f>
        <v>DCF (Base)</v>
      </c>
      <c r="M44" s="13">
        <v>46322</v>
      </c>
      <c r="N44" s="17" t="s">
        <v>120</v>
      </c>
    </row>
    <row r="45" spans="2:14" x14ac:dyDescent="0.2">
      <c r="B45" s="3" t="s">
        <v>121</v>
      </c>
      <c r="C45" t="s">
        <v>122</v>
      </c>
      <c r="D45" t="s">
        <v>15</v>
      </c>
      <c r="E45" s="6" t="s">
        <v>33</v>
      </c>
      <c r="F45" s="1">
        <v>116.45</v>
      </c>
      <c r="G45" s="8">
        <f>F45*[43]Main!$C$4</f>
        <v>12588.058330650001</v>
      </c>
      <c r="H45" s="10">
        <f>G45-[43]Main!$C$7+[43]Main!$C$8</f>
        <v>12043.41133065</v>
      </c>
      <c r="J45" s="1">
        <f>[43]Main!$C$11</f>
        <v>53.906272937291462</v>
      </c>
      <c r="K45" s="11">
        <f t="shared" si="0"/>
        <v>-0.53708653553206132</v>
      </c>
      <c r="L45" s="12" t="str">
        <f>"rNPV ("&amp;[43]Main!$C$14&amp;")"</f>
        <v>rNPV (Base)</v>
      </c>
      <c r="M45" s="13">
        <v>46373</v>
      </c>
      <c r="N45" s="18" t="s">
        <v>123</v>
      </c>
    </row>
    <row r="46" spans="2:14" x14ac:dyDescent="0.2">
      <c r="B46" s="3" t="s">
        <v>124</v>
      </c>
      <c r="C46" t="s">
        <v>125</v>
      </c>
      <c r="D46" t="s">
        <v>15</v>
      </c>
      <c r="E46" s="6" t="s">
        <v>16</v>
      </c>
      <c r="F46" s="1">
        <v>22.7</v>
      </c>
      <c r="G46" s="8">
        <f>F46*[44]Main!$C$4</f>
        <v>11341.415540999998</v>
      </c>
      <c r="H46" s="10">
        <f>G46-[44]Main!$C$7+[44]Main!$C$8</f>
        <v>14729.415540999998</v>
      </c>
      <c r="J46" s="1">
        <f>IF(ISNUMBER([44]Main!$C$11),[44]Main!$C$11,"")</f>
        <v>18.889598233038516</v>
      </c>
      <c r="K46" s="11">
        <f t="shared" si="0"/>
        <v>-0.16785910867671738</v>
      </c>
      <c r="L46" s="12" t="str">
        <f>[44]Main!$C$15&amp;" ("&amp;[44]Main!$C$14&amp;")"</f>
        <v>DCF (Base)</v>
      </c>
      <c r="M46" s="13">
        <v>46332</v>
      </c>
      <c r="N46" s="17" t="s">
        <v>56</v>
      </c>
    </row>
    <row r="47" spans="2:14" x14ac:dyDescent="0.2">
      <c r="B47" s="3" t="s">
        <v>126</v>
      </c>
      <c r="C47" t="s">
        <v>127</v>
      </c>
      <c r="D47" t="s">
        <v>15</v>
      </c>
      <c r="E47" s="6" t="s">
        <v>16</v>
      </c>
      <c r="F47" s="1">
        <v>13.26</v>
      </c>
      <c r="G47" s="8">
        <f>F47*[45]Main!$C$4</f>
        <v>11067.5514222</v>
      </c>
      <c r="H47" s="10">
        <f>G47-[45]Main!$C$7+[45]Main!$C$8</f>
        <v>10950.217808046673</v>
      </c>
      <c r="J47" s="1">
        <f>IF(ISNUMBER([45]Main!$C$11),[45]Main!$C$11,"")</f>
        <v>9.8620066497419749</v>
      </c>
      <c r="K47" s="11">
        <f t="shared" si="0"/>
        <v>-0.25625892535882544</v>
      </c>
      <c r="L47" s="12" t="str">
        <f>[45]Main!$C$15&amp;" ("&amp;[45]Main!$C$14&amp;")"</f>
        <v>Reviewed DCF (Base)</v>
      </c>
      <c r="M47" s="13">
        <v>46318</v>
      </c>
      <c r="N47" s="17" t="s">
        <v>128</v>
      </c>
    </row>
    <row r="48" spans="2:14" x14ac:dyDescent="0.2">
      <c r="B48" s="3" t="s">
        <v>129</v>
      </c>
      <c r="C48" t="s">
        <v>130</v>
      </c>
      <c r="D48" t="s">
        <v>22</v>
      </c>
      <c r="E48" s="6" t="s">
        <v>33</v>
      </c>
      <c r="F48" s="1">
        <v>56.44</v>
      </c>
      <c r="G48" s="8">
        <f>F48*[46]Main!$C$4</f>
        <v>10925.302957959999</v>
      </c>
      <c r="H48" s="10">
        <f>G48-[46]Main!$C$7+[46]Main!$C$8</f>
        <v>14237.439957959999</v>
      </c>
      <c r="J48" s="1">
        <f>IF(ISNUMBER([46]Main!$C$11),[46]Main!$C$11,"")</f>
        <v>30.764388738713389</v>
      </c>
      <c r="K48" s="11">
        <f t="shared" si="0"/>
        <v>-0.45491869704618371</v>
      </c>
      <c r="L48" s="12" t="str">
        <f>[46]Main!$C$15&amp;" ("&amp;[46]Main!$C$14&amp;")"</f>
        <v>DCF (Base)</v>
      </c>
      <c r="M48" s="13">
        <v>46321</v>
      </c>
      <c r="N48" s="17" t="s">
        <v>131</v>
      </c>
    </row>
    <row r="49" spans="2:14" x14ac:dyDescent="0.2">
      <c r="B49" s="3" t="s">
        <v>132</v>
      </c>
      <c r="C49" t="s">
        <v>133</v>
      </c>
      <c r="D49" t="s">
        <v>22</v>
      </c>
      <c r="E49" s="6" t="s">
        <v>33</v>
      </c>
      <c r="F49" s="1">
        <v>467.54</v>
      </c>
      <c r="G49" s="8">
        <f>F49*[47]Main!$C$4</f>
        <v>10802.103070040001</v>
      </c>
      <c r="H49" s="10">
        <f>G49-[47]Main!$C$7+[47]Main!$C$8</f>
        <v>10304.14407004</v>
      </c>
      <c r="J49" s="1">
        <f>IF(ISNUMBER([47]Main!$C$11),[47]Main!$C$11,"")</f>
        <v>21.552817016319946</v>
      </c>
      <c r="K49" s="11">
        <f t="shared" si="0"/>
        <v>-0.95390166185498582</v>
      </c>
      <c r="L49" s="12" t="str">
        <f>[47]Main!$C$15&amp;" ("&amp;[47]Main!$C$14&amp;")"</f>
        <v>Net cash (revenue jump)</v>
      </c>
      <c r="M49" s="13">
        <v>46329</v>
      </c>
      <c r="N49" s="17" t="s">
        <v>134</v>
      </c>
    </row>
    <row r="50" spans="2:14" x14ac:dyDescent="0.2">
      <c r="B50" s="3" t="s">
        <v>135</v>
      </c>
      <c r="C50" t="s">
        <v>136</v>
      </c>
      <c r="D50" t="s">
        <v>22</v>
      </c>
      <c r="E50" s="6" t="s">
        <v>33</v>
      </c>
      <c r="F50" s="1">
        <v>8.77</v>
      </c>
      <c r="G50" s="8">
        <f>F50*[48]Main!$C$4</f>
        <v>9294.7641142099983</v>
      </c>
      <c r="H50" s="10">
        <f>G50-[48]Main!$C$7+[48]Main!$C$8</f>
        <v>9352.4791142099984</v>
      </c>
      <c r="J50" s="1">
        <f>IF(ISNUMBER([48]Main!$C$11),[48]Main!$C$11,"")</f>
        <v>-5.4456524531501842E-2</v>
      </c>
      <c r="K50" s="11">
        <f t="shared" si="0"/>
        <v>-1.006209409866762</v>
      </c>
      <c r="L50" s="12" t="str">
        <f>[48]Main!$C$15&amp;" ("&amp;[48]Main!$C$14&amp;")"</f>
        <v>Net cash (revenue jump)</v>
      </c>
      <c r="M50" s="13">
        <v>46329</v>
      </c>
      <c r="N50" s="17" t="s">
        <v>134</v>
      </c>
    </row>
    <row r="51" spans="2:14" x14ac:dyDescent="0.2">
      <c r="B51" s="3" t="s">
        <v>137</v>
      </c>
      <c r="C51" t="s">
        <v>138</v>
      </c>
      <c r="D51" t="s">
        <v>22</v>
      </c>
      <c r="E51" s="6" t="s">
        <v>33</v>
      </c>
      <c r="F51" s="1">
        <v>66.23</v>
      </c>
      <c r="G51" s="8">
        <f>F51*[49]Main!$C$4</f>
        <v>9855.3735619399995</v>
      </c>
      <c r="H51" s="10">
        <f>G51-[49]Main!$C$7+[49]Main!$C$8</f>
        <v>8368.5355619399998</v>
      </c>
      <c r="J51" s="1">
        <f>IF(ISNUMBER([49]Main!$C$11),[49]Main!$C$11,"")</f>
        <v>9.9918364454787696</v>
      </c>
      <c r="K51" s="11">
        <f t="shared" si="0"/>
        <v>-0.84913428287062098</v>
      </c>
      <c r="L51" s="12" t="str">
        <f>[49]Main!$C$15&amp;" ("&amp;[49]Main!$C$14&amp;")"</f>
        <v>Net cash (pre-revenue)</v>
      </c>
      <c r="M51" s="13">
        <v>46329</v>
      </c>
      <c r="N51" s="17" t="s">
        <v>134</v>
      </c>
    </row>
    <row r="52" spans="2:14" x14ac:dyDescent="0.2">
      <c r="B52" s="3" t="s">
        <v>139</v>
      </c>
      <c r="C52" t="s">
        <v>140</v>
      </c>
      <c r="D52" t="s">
        <v>22</v>
      </c>
      <c r="E52" s="6" t="s">
        <v>33</v>
      </c>
      <c r="F52" s="1">
        <v>325.42</v>
      </c>
      <c r="G52" s="8">
        <f>F52*[50]Main!$C$4</f>
        <v>9632.0532111199991</v>
      </c>
      <c r="H52" s="10">
        <f>G52-[50]Main!$C$7+[50]Main!$C$8</f>
        <v>8786.4222111199997</v>
      </c>
      <c r="J52" s="1">
        <f>IF(ISNUMBER([50]Main!$C$11),[50]Main!$C$11,"")</f>
        <v>175.66781215787773</v>
      </c>
      <c r="K52" s="11">
        <f t="shared" si="0"/>
        <v>-0.46018126680020366</v>
      </c>
      <c r="L52" s="12" t="str">
        <f>[50]Main!$C$15&amp;" ("&amp;[50]Main!$C$14&amp;")"</f>
        <v>DCF (Base)</v>
      </c>
      <c r="M52" s="13">
        <v>46328</v>
      </c>
      <c r="N52" s="17" t="s">
        <v>107</v>
      </c>
    </row>
    <row r="53" spans="2:14" x14ac:dyDescent="0.2">
      <c r="B53" s="3" t="s">
        <v>141</v>
      </c>
      <c r="C53" t="s">
        <v>142</v>
      </c>
      <c r="D53" t="s">
        <v>22</v>
      </c>
      <c r="E53" s="6" t="s">
        <v>33</v>
      </c>
      <c r="F53" s="1">
        <v>113.46</v>
      </c>
      <c r="G53" s="8">
        <f>F53*[51]Main!$C$4</f>
        <v>9434.269118279999</v>
      </c>
      <c r="H53" s="10">
        <f>G53-[51]Main!$C$7+[51]Main!$C$8</f>
        <v>8743.2841182799984</v>
      </c>
      <c r="J53" s="1">
        <f>IF(ISNUMBER([51]Main!$C$11),[51]Main!$C$11,"")</f>
        <v>6.7639931170779004</v>
      </c>
      <c r="K53" s="11">
        <f t="shared" si="0"/>
        <v>-0.94038433706083291</v>
      </c>
      <c r="L53" s="12" t="str">
        <f>[51]Main!$C$15&amp;" ("&amp;[51]Main!$C$14&amp;")"</f>
        <v>DCF (Base)</v>
      </c>
      <c r="M53" s="13">
        <v>46329</v>
      </c>
      <c r="N53" s="17" t="s">
        <v>134</v>
      </c>
    </row>
    <row r="54" spans="2:14" x14ac:dyDescent="0.2">
      <c r="B54" s="3" t="s">
        <v>143</v>
      </c>
      <c r="C54" t="s">
        <v>144</v>
      </c>
      <c r="D54" t="s">
        <v>22</v>
      </c>
      <c r="E54" s="6" t="s">
        <v>33</v>
      </c>
      <c r="F54" s="1">
        <v>31.11</v>
      </c>
      <c r="G54" s="8">
        <f>F54*[52]Main!$C$4</f>
        <v>8791.5362364600005</v>
      </c>
      <c r="H54" s="10">
        <f>G54-[52]Main!$C$7+[52]Main!$C$8</f>
        <v>9082.4872364599996</v>
      </c>
      <c r="J54" s="1">
        <f>IF(ISNUMBER([52]Main!$C$11),[52]Main!$C$11,"")</f>
        <v>21.409854727715675</v>
      </c>
      <c r="K54" s="11">
        <f t="shared" si="0"/>
        <v>-0.31180151952055046</v>
      </c>
      <c r="L54" s="12" t="str">
        <f>[52]Main!$C$15&amp;" ("&amp;[52]Main!$C$14&amp;")"</f>
        <v>DCF (Base)</v>
      </c>
      <c r="M54" s="13">
        <v>46330</v>
      </c>
      <c r="N54" s="17" t="s">
        <v>145</v>
      </c>
    </row>
    <row r="55" spans="2:14" x14ac:dyDescent="0.2">
      <c r="B55" s="3" t="s">
        <v>146</v>
      </c>
      <c r="C55" t="s">
        <v>147</v>
      </c>
      <c r="D55" t="s">
        <v>22</v>
      </c>
      <c r="E55" s="6" t="s">
        <v>33</v>
      </c>
      <c r="F55" s="1">
        <v>63.95</v>
      </c>
      <c r="G55" s="8">
        <f>F55*[53]Main!$C$4</f>
        <v>8890.5475810999997</v>
      </c>
      <c r="H55" s="10">
        <f>G55-[53]Main!$C$7+[53]Main!$C$8</f>
        <v>8352.6045811000004</v>
      </c>
      <c r="J55" s="1">
        <f>[53]Main!$C$11</f>
        <v>44.742934152609983</v>
      </c>
      <c r="K55" s="11">
        <f t="shared" si="0"/>
        <v>-0.30034504843455856</v>
      </c>
      <c r="L55" s="12" t="str">
        <f>"rNPV ("&amp;[53]Main!$C$14&amp;")"</f>
        <v>rNPV (Base)</v>
      </c>
      <c r="M55" s="13">
        <v>46340</v>
      </c>
      <c r="N55" s="18" t="s">
        <v>148</v>
      </c>
    </row>
    <row r="56" spans="2:14" x14ac:dyDescent="0.2">
      <c r="B56" s="3" t="s">
        <v>149</v>
      </c>
      <c r="C56" t="s">
        <v>150</v>
      </c>
      <c r="D56" t="s">
        <v>15</v>
      </c>
      <c r="E56" s="6" t="s">
        <v>33</v>
      </c>
      <c r="F56" s="1">
        <v>159.58000000000001</v>
      </c>
      <c r="G56" s="8">
        <f>F56*[54]Main!$C$4</f>
        <v>8358.9309364399996</v>
      </c>
      <c r="H56" s="10">
        <f>G56-[54]Main!$C$7+[54]Main!$C$8</f>
        <v>8227.0389364399998</v>
      </c>
      <c r="J56" s="1">
        <f>IF(ISNUMBER([54]Main!$C$11),[54]Main!$C$11,"")</f>
        <v>63.208890610299846</v>
      </c>
      <c r="K56" s="11">
        <f t="shared" si="0"/>
        <v>-0.60390468347976034</v>
      </c>
      <c r="L56" s="12" t="str">
        <f>[54]Main!$C$15&amp;" ("&amp;[54]Main!$C$14&amp;")"</f>
        <v>DCF (Base)</v>
      </c>
      <c r="M56" s="13">
        <v>46328</v>
      </c>
      <c r="N56" s="17" t="s">
        <v>151</v>
      </c>
    </row>
    <row r="57" spans="2:14" x14ac:dyDescent="0.2">
      <c r="B57" s="3" t="s">
        <v>152</v>
      </c>
      <c r="C57" t="s">
        <v>153</v>
      </c>
      <c r="D57" t="s">
        <v>22</v>
      </c>
      <c r="E57" s="6" t="s">
        <v>33</v>
      </c>
      <c r="F57" s="1">
        <v>137.99</v>
      </c>
      <c r="G57" s="8">
        <f>F57*[55]Main!$C$4</f>
        <v>8929.0962471500006</v>
      </c>
      <c r="H57" s="10">
        <f>G57-[55]Main!$C$7+[55]Main!$C$8</f>
        <v>8146.5202471500006</v>
      </c>
      <c r="J57" s="1">
        <f>IF(ISNUMBER([55]Main!$C$11),[55]Main!$C$11,"")</f>
        <v>12.093907294869583</v>
      </c>
      <c r="K57" s="11">
        <f t="shared" si="0"/>
        <v>-0.91235663964874569</v>
      </c>
      <c r="L57" s="12" t="str">
        <f>[55]Main!$C$15&amp;" ("&amp;[55]Main!$C$14&amp;")"</f>
        <v>Net cash (revenue jump)</v>
      </c>
      <c r="M57" s="13">
        <v>46331</v>
      </c>
      <c r="N57" s="17" t="s">
        <v>63</v>
      </c>
    </row>
    <row r="58" spans="2:14" x14ac:dyDescent="0.2">
      <c r="B58" s="3" t="s">
        <v>154</v>
      </c>
      <c r="C58" t="s">
        <v>155</v>
      </c>
      <c r="D58" t="s">
        <v>22</v>
      </c>
      <c r="E58" s="6" t="s">
        <v>33</v>
      </c>
      <c r="F58" s="1">
        <v>142.69999999999999</v>
      </c>
      <c r="G58" s="8">
        <f>F58*[56]Main!$C$4</f>
        <v>8948.3494047999993</v>
      </c>
      <c r="H58" s="10">
        <f>G58-[56]Main!$C$7+[56]Main!$C$8</f>
        <v>8796.5104047999994</v>
      </c>
      <c r="J58" s="1">
        <f>IF(ISNUMBER([56]Main!$C$11),[56]Main!$C$11,"")</f>
        <v>15.588532270153587</v>
      </c>
      <c r="K58" s="11">
        <f t="shared" si="0"/>
        <v>-0.89076011023017809</v>
      </c>
      <c r="L58" s="12" t="str">
        <f>[56]Main!$C$15&amp;" ("&amp;[56]Main!$C$14&amp;")"</f>
        <v>DCF (Base)</v>
      </c>
      <c r="M58" s="13">
        <v>46339</v>
      </c>
      <c r="N58" s="17" t="s">
        <v>156</v>
      </c>
    </row>
    <row r="59" spans="2:14" x14ac:dyDescent="0.2">
      <c r="B59" s="3" t="s">
        <v>157</v>
      </c>
      <c r="C59" t="s">
        <v>158</v>
      </c>
      <c r="D59" t="s">
        <v>22</v>
      </c>
      <c r="E59" s="6" t="s">
        <v>33</v>
      </c>
      <c r="F59" s="1">
        <v>54.53</v>
      </c>
      <c r="G59" s="8">
        <f>F59*[57]Main!$C$4</f>
        <v>8346.8554600900006</v>
      </c>
      <c r="H59" s="10">
        <f>G59-[57]Main!$C$7+[57]Main!$C$8</f>
        <v>8479.9424600900002</v>
      </c>
      <c r="J59" s="1">
        <f>IF(ISNUMBER([57]Main!$C$11),[57]Main!$C$11,"")</f>
        <v>31.001644589882659</v>
      </c>
      <c r="K59" s="11">
        <f t="shared" si="0"/>
        <v>-0.43147543389175391</v>
      </c>
      <c r="L59" s="12" t="str">
        <f>[57]Main!$C$15&amp;" ("&amp;[57]Main!$C$14&amp;")"</f>
        <v>DCF (Base)</v>
      </c>
      <c r="M59" s="13">
        <v>46328</v>
      </c>
      <c r="N59" s="17" t="s">
        <v>107</v>
      </c>
    </row>
    <row r="60" spans="2:14" x14ac:dyDescent="0.2">
      <c r="B60" s="3" t="s">
        <v>159</v>
      </c>
      <c r="C60" t="s">
        <v>160</v>
      </c>
      <c r="D60" t="s">
        <v>22</v>
      </c>
      <c r="E60" s="6" t="s">
        <v>33</v>
      </c>
      <c r="F60" s="1">
        <v>58.92</v>
      </c>
      <c r="G60" s="8">
        <f>F60*[58]Main!$C$4</f>
        <v>8322.7131956400008</v>
      </c>
      <c r="H60" s="10">
        <f>G60-[58]Main!$C$7+[58]Main!$C$8</f>
        <v>7584.8261956400011</v>
      </c>
      <c r="J60" s="1">
        <f>IF(ISNUMBER([58]Main!$C$11),[58]Main!$C$11,"")</f>
        <v>5.223813559113851</v>
      </c>
      <c r="K60" s="11">
        <f t="shared" si="0"/>
        <v>-0.91134057095869225</v>
      </c>
      <c r="L60" s="12" t="str">
        <f>[58]Main!$C$15&amp;" ("&amp;[58]Main!$C$14&amp;")"</f>
        <v>Net cash (revenue jump)</v>
      </c>
      <c r="M60" s="13">
        <v>46350</v>
      </c>
      <c r="N60" s="17" t="s">
        <v>161</v>
      </c>
    </row>
    <row r="61" spans="2:14" x14ac:dyDescent="0.2">
      <c r="B61" s="3" t="s">
        <v>162</v>
      </c>
      <c r="C61" t="s">
        <v>163</v>
      </c>
      <c r="D61" t="s">
        <v>22</v>
      </c>
      <c r="E61" s="6" t="s">
        <v>33</v>
      </c>
      <c r="F61" s="1">
        <v>45.4</v>
      </c>
      <c r="G61" s="8">
        <f>F61*[59]Main!$C$4</f>
        <v>7544.7682187999999</v>
      </c>
      <c r="H61" s="10">
        <f>G61-[59]Main!$C$7+[59]Main!$C$8</f>
        <v>5490.1832187999998</v>
      </c>
      <c r="J61" s="1">
        <f>IF(ISNUMBER([59]Main!$C$11),[59]Main!$C$11,"")</f>
        <v>12.785845823339901</v>
      </c>
      <c r="K61" s="11">
        <f t="shared" si="0"/>
        <v>-0.71837344001453962</v>
      </c>
      <c r="L61" s="12" t="str">
        <f>[59]Main!$C$15&amp;" ("&amp;[59]Main!$C$14&amp;")"</f>
        <v>DCF (Base)</v>
      </c>
      <c r="M61" s="13">
        <v>46330</v>
      </c>
      <c r="N61" s="17" t="s">
        <v>40</v>
      </c>
    </row>
    <row r="62" spans="2:14" x14ac:dyDescent="0.2">
      <c r="B62" s="3" t="s">
        <v>164</v>
      </c>
      <c r="C62" t="s">
        <v>165</v>
      </c>
      <c r="D62" t="s">
        <v>22</v>
      </c>
      <c r="E62" s="6" t="s">
        <v>33</v>
      </c>
      <c r="F62" s="1">
        <v>264.49</v>
      </c>
      <c r="G62" s="8">
        <f>F62*[60]Main!$C$4</f>
        <v>7713.5654652900012</v>
      </c>
      <c r="H62" s="10">
        <f>G62-[60]Main!$C$7+[60]Main!$C$8</f>
        <v>6339.725465290001</v>
      </c>
      <c r="J62" s="1">
        <f>[60]Main!$C$11</f>
        <v>272.58648743171324</v>
      </c>
      <c r="K62" s="11">
        <f t="shared" si="0"/>
        <v>3.0611695836187502E-2</v>
      </c>
      <c r="L62" s="12" t="str">
        <f>"rNPV ("&amp;[60]Main!$C$14&amp;")"</f>
        <v>rNPV (Base)</v>
      </c>
      <c r="M62" s="13">
        <v>46383</v>
      </c>
      <c r="N62" s="18" t="s">
        <v>166</v>
      </c>
    </row>
    <row r="63" spans="2:14" x14ac:dyDescent="0.2">
      <c r="B63" s="3" t="s">
        <v>167</v>
      </c>
      <c r="C63" t="s">
        <v>168</v>
      </c>
      <c r="D63" t="s">
        <v>22</v>
      </c>
      <c r="E63" s="6" t="s">
        <v>33</v>
      </c>
      <c r="F63" s="1">
        <v>91.4</v>
      </c>
      <c r="G63" s="8">
        <f>F63*[61]Main!$C$4</f>
        <v>8059.0818467999998</v>
      </c>
      <c r="H63" s="10">
        <f>G63-[61]Main!$C$7+[61]Main!$C$8</f>
        <v>6913.7358468000002</v>
      </c>
      <c r="J63" s="1">
        <f>IF(ISNUMBER([61]Main!$C$11),[61]Main!$C$11,"")</f>
        <v>12.98964651185009</v>
      </c>
      <c r="K63" s="11">
        <f t="shared" si="0"/>
        <v>-0.85788132919201221</v>
      </c>
      <c r="L63" s="12" t="str">
        <f>[61]Main!$C$15&amp;" ("&amp;[61]Main!$C$14&amp;")"</f>
        <v>Net cash (pre-revenue)</v>
      </c>
      <c r="M63" s="13">
        <v>46329</v>
      </c>
      <c r="N63" s="17" t="s">
        <v>134</v>
      </c>
    </row>
    <row r="64" spans="2:14" x14ac:dyDescent="0.2">
      <c r="B64" s="3" t="s">
        <v>169</v>
      </c>
      <c r="C64" t="s">
        <v>170</v>
      </c>
      <c r="D64" t="s">
        <v>22</v>
      </c>
      <c r="E64" s="6" t="s">
        <v>33</v>
      </c>
      <c r="F64" s="1">
        <v>92.59</v>
      </c>
      <c r="G64" s="8">
        <f>F64*[62]Main!$C$4</f>
        <v>7271.6863870799998</v>
      </c>
      <c r="H64" s="10">
        <f>G64-[62]Main!$C$7+[62]Main!$C$8</f>
        <v>6690.2595036050661</v>
      </c>
      <c r="J64" s="1">
        <f>IF(ISNUMBER([62]Main!$C$11),[62]Main!$C$11,"")</f>
        <v>7.4032779021650974</v>
      </c>
      <c r="K64" s="11">
        <f t="shared" si="0"/>
        <v>-0.92004235984269256</v>
      </c>
      <c r="L64" s="12" t="str">
        <f>[62]Main!$C$15&amp;" ("&amp;[62]Main!$C$14&amp;")"</f>
        <v>Net cash (small revenue)</v>
      </c>
      <c r="M64" s="13"/>
      <c r="N64" s="17"/>
    </row>
    <row r="65" spans="2:14" x14ac:dyDescent="0.2">
      <c r="B65" s="3" t="s">
        <v>171</v>
      </c>
      <c r="C65" t="s">
        <v>172</v>
      </c>
      <c r="D65" t="s">
        <v>22</v>
      </c>
      <c r="E65" s="6" t="s">
        <v>33</v>
      </c>
      <c r="F65" s="1">
        <v>44.11</v>
      </c>
      <c r="G65" s="8">
        <f>F65*[63]Main!$C$4</f>
        <v>7400.0379279199997</v>
      </c>
      <c r="H65" s="10">
        <f>G65-[63]Main!$C$7+[63]Main!$C$8</f>
        <v>8246.5719279200002</v>
      </c>
      <c r="J65" s="1">
        <f>IF(ISNUMBER([63]Main!$C$11),[63]Main!$C$11,"")</f>
        <v>12.355105948043038</v>
      </c>
      <c r="K65" s="11">
        <f t="shared" si="0"/>
        <v>-0.71990238159050013</v>
      </c>
      <c r="L65" s="12" t="str">
        <f>[63]Main!$C$15&amp;" ("&amp;[63]Main!$C$14&amp;")"</f>
        <v>DCF (Base)</v>
      </c>
      <c r="M65" s="13">
        <v>46322</v>
      </c>
      <c r="N65" s="17" t="s">
        <v>120</v>
      </c>
    </row>
    <row r="66" spans="2:14" x14ac:dyDescent="0.2">
      <c r="B66" s="3" t="s">
        <v>173</v>
      </c>
      <c r="C66" t="s">
        <v>174</v>
      </c>
      <c r="D66" t="s">
        <v>22</v>
      </c>
      <c r="E66" s="6" t="s">
        <v>33</v>
      </c>
      <c r="F66" s="1">
        <v>14.86</v>
      </c>
      <c r="G66" s="8">
        <f>F66*[64]Main!$C$4</f>
        <v>6731.15547952</v>
      </c>
      <c r="H66" s="10">
        <f>G66-[64]Main!$C$7+[64]Main!$C$8</f>
        <v>6433.48147952</v>
      </c>
      <c r="J66" s="1">
        <f>IF(ISNUMBER([64]Main!$C$11),[64]Main!$C$11,"")</f>
        <v>0.15760837130098759</v>
      </c>
      <c r="K66" s="11">
        <f t="shared" si="0"/>
        <v>-0.98939378389629962</v>
      </c>
      <c r="L66" s="12" t="str">
        <f>[64]Main!$C$15&amp;" ("&amp;[64]Main!$C$14&amp;")"</f>
        <v>DCF (Base)</v>
      </c>
      <c r="M66" s="13">
        <v>46331</v>
      </c>
      <c r="N66" s="17" t="s">
        <v>63</v>
      </c>
    </row>
    <row r="67" spans="2:14" x14ac:dyDescent="0.2">
      <c r="B67" s="3" t="s">
        <v>175</v>
      </c>
      <c r="C67" t="s">
        <v>176</v>
      </c>
      <c r="D67" t="s">
        <v>15</v>
      </c>
      <c r="E67" s="6" t="s">
        <v>33</v>
      </c>
      <c r="F67" s="1">
        <v>19.84</v>
      </c>
      <c r="G67" s="8">
        <f>F67*[65]Main!$C$4</f>
        <v>6335.9817529600004</v>
      </c>
      <c r="H67" s="10">
        <f>G67-[65]Main!$C$7+[65]Main!$C$8</f>
        <v>8878.6407529600001</v>
      </c>
      <c r="J67" s="1">
        <f>IF(ISNUMBER([65]Main!$C$11),[65]Main!$C$11,"")</f>
        <v>17.53203349331973</v>
      </c>
      <c r="K67" s="11">
        <f t="shared" ref="K67:K130" si="1">IFERROR(J67/F67-1,"")</f>
        <v>-0.11632895698993295</v>
      </c>
      <c r="L67" s="12" t="str">
        <f>[65]Main!$C$15&amp;" ("&amp;[65]Main!$C$14&amp;")"</f>
        <v>DCF (Base)</v>
      </c>
      <c r="M67" s="13">
        <v>46329</v>
      </c>
      <c r="N67" s="17" t="s">
        <v>43</v>
      </c>
    </row>
    <row r="68" spans="2:14" x14ac:dyDescent="0.2">
      <c r="B68" s="3" t="s">
        <v>177</v>
      </c>
      <c r="C68" t="s">
        <v>178</v>
      </c>
      <c r="D68" t="s">
        <v>22</v>
      </c>
      <c r="E68" s="6" t="s">
        <v>33</v>
      </c>
      <c r="F68" s="1">
        <v>90.2</v>
      </c>
      <c r="G68" s="8">
        <f>F68*[66]Main!$C$4</f>
        <v>6210.4577964</v>
      </c>
      <c r="H68" s="10">
        <f>G68-[66]Main!$C$7+[66]Main!$C$8</f>
        <v>5985.6627963999999</v>
      </c>
      <c r="J68" s="1">
        <f>IF(ISNUMBER([66]Main!$C$11),[66]Main!$C$11,"")</f>
        <v>3.7457419713281723</v>
      </c>
      <c r="K68" s="11">
        <f t="shared" si="1"/>
        <v>-0.95847292714713783</v>
      </c>
      <c r="L68" s="12" t="str">
        <f>[66]Main!$C$15&amp;" ("&amp;[66]Main!$C$14&amp;")"</f>
        <v>DCF (Base)</v>
      </c>
      <c r="M68" s="13">
        <v>46329</v>
      </c>
      <c r="N68" s="17" t="s">
        <v>134</v>
      </c>
    </row>
    <row r="69" spans="2:14" x14ac:dyDescent="0.2">
      <c r="B69" s="3" t="s">
        <v>179</v>
      </c>
      <c r="C69" t="s">
        <v>180</v>
      </c>
      <c r="D69" t="s">
        <v>15</v>
      </c>
      <c r="E69" s="6" t="s">
        <v>33</v>
      </c>
      <c r="F69" s="1">
        <v>306.39999999999998</v>
      </c>
      <c r="G69" s="8">
        <f>F69*[67]Main!$C$4</f>
        <v>6108.2705975999997</v>
      </c>
      <c r="H69" s="10">
        <f>G69-[67]Main!$C$7+[67]Main!$C$8</f>
        <v>5877.1065976</v>
      </c>
      <c r="J69" s="1">
        <f>IF(ISNUMBER([67]Main!$C$11),[67]Main!$C$11,"")</f>
        <v>94.079072956242555</v>
      </c>
      <c r="K69" s="11">
        <f t="shared" si="1"/>
        <v>-0.69295341724463921</v>
      </c>
      <c r="L69" s="12" t="str">
        <f>[67]Main!$C$15&amp;" ("&amp;[67]Main!$C$14&amp;")"</f>
        <v>DCF (Base)</v>
      </c>
      <c r="M69" s="13">
        <v>46324</v>
      </c>
      <c r="N69" s="17" t="s">
        <v>17</v>
      </c>
    </row>
    <row r="70" spans="2:14" x14ac:dyDescent="0.2">
      <c r="B70" s="3" t="s">
        <v>181</v>
      </c>
      <c r="C70" t="s">
        <v>182</v>
      </c>
      <c r="D70" t="s">
        <v>15</v>
      </c>
      <c r="E70" s="6" t="s">
        <v>33</v>
      </c>
      <c r="F70" s="1">
        <v>154.44999999999999</v>
      </c>
      <c r="G70" s="8">
        <f>F70*[68]Main!$C$4</f>
        <v>6076.0568219999996</v>
      </c>
      <c r="H70" s="10">
        <f>G70-[68]Main!$C$7+[68]Main!$C$8</f>
        <v>5583.634822</v>
      </c>
      <c r="J70" s="1">
        <f>IF(ISNUMBER([68]Main!$C$11),[68]Main!$C$11,"")</f>
        <v>12.517094577625398</v>
      </c>
      <c r="K70" s="11">
        <f t="shared" si="1"/>
        <v>-0.91895697910245777</v>
      </c>
      <c r="L70" s="12" t="str">
        <f>[68]Main!$C$15&amp;" ("&amp;[68]Main!$C$14&amp;")"</f>
        <v>Net cash (pre-revenue)</v>
      </c>
      <c r="M70" s="13">
        <v>46335</v>
      </c>
      <c r="N70" s="17" t="s">
        <v>87</v>
      </c>
    </row>
    <row r="71" spans="2:14" x14ac:dyDescent="0.2">
      <c r="B71" s="3" t="s">
        <v>183</v>
      </c>
      <c r="C71" t="s">
        <v>184</v>
      </c>
      <c r="D71" t="s">
        <v>22</v>
      </c>
      <c r="E71" s="6" t="s">
        <v>33</v>
      </c>
      <c r="F71" s="1">
        <v>31.24</v>
      </c>
      <c r="G71" s="8">
        <f>F71*[69]Main!$C$4</f>
        <v>5869.8236176799992</v>
      </c>
      <c r="H71" s="10">
        <f>G71-[69]Main!$C$7+[69]Main!$C$8</f>
        <v>5236.1236176799994</v>
      </c>
      <c r="J71" s="1">
        <f>[69]Main!$C$11</f>
        <v>18.914297835030432</v>
      </c>
      <c r="K71" s="11">
        <f t="shared" si="1"/>
        <v>-0.39454872487098491</v>
      </c>
      <c r="L71" s="12" t="str">
        <f>"rNPV ("&amp;[69]Main!$C$14&amp;")"</f>
        <v>rNPV (Base)</v>
      </c>
      <c r="M71" s="13">
        <v>46356</v>
      </c>
      <c r="N71" s="18" t="s">
        <v>185</v>
      </c>
    </row>
    <row r="72" spans="2:14" x14ac:dyDescent="0.2">
      <c r="B72" s="3" t="s">
        <v>186</v>
      </c>
      <c r="C72" t="s">
        <v>187</v>
      </c>
      <c r="D72" t="s">
        <v>22</v>
      </c>
      <c r="E72" s="6" t="s">
        <v>33</v>
      </c>
      <c r="F72" s="1">
        <v>28.59</v>
      </c>
      <c r="G72" s="8">
        <f>F72*[70]Main!$C$4</f>
        <v>5905.3411783800002</v>
      </c>
      <c r="H72" s="10">
        <f>G72-[70]Main!$C$7+[70]Main!$C$8</f>
        <v>5107.5431783800004</v>
      </c>
      <c r="J72" s="1">
        <f>IF(ISNUMBER([70]Main!$C$11),[70]Main!$C$11,"")</f>
        <v>3.8624431901591092</v>
      </c>
      <c r="K72" s="11">
        <f t="shared" si="1"/>
        <v>-0.8649023018482298</v>
      </c>
      <c r="L72" s="12" t="str">
        <f>[70]Main!$C$15&amp;" ("&amp;[70]Main!$C$14&amp;")"</f>
        <v>Net cash (pre-revenue)</v>
      </c>
      <c r="M72" s="13">
        <v>46335</v>
      </c>
      <c r="N72" s="17" t="s">
        <v>87</v>
      </c>
    </row>
    <row r="73" spans="2:14" x14ac:dyDescent="0.2">
      <c r="B73" s="3" t="s">
        <v>188</v>
      </c>
      <c r="C73" t="s">
        <v>189</v>
      </c>
      <c r="D73" t="s">
        <v>22</v>
      </c>
      <c r="E73" s="6" t="s">
        <v>33</v>
      </c>
      <c r="F73" s="1">
        <v>92.97</v>
      </c>
      <c r="G73" s="8">
        <f>F73*[71]Main!$C$4</f>
        <v>5843.1140172900004</v>
      </c>
      <c r="H73" s="10">
        <f>G73-[71]Main!$C$7+[71]Main!$C$8</f>
        <v>5717.2110172900002</v>
      </c>
      <c r="J73" s="1">
        <f>IF(ISNUMBER([71]Main!$C$11),[71]Main!$C$11,"")</f>
        <v>2.0032472197810716</v>
      </c>
      <c r="K73" s="11">
        <f t="shared" si="1"/>
        <v>-0.97845275659050157</v>
      </c>
      <c r="L73" s="12" t="str">
        <f>[71]Main!$C$15&amp;" ("&amp;[71]Main!$C$14&amp;")"</f>
        <v>Net cash (pre-revenue)</v>
      </c>
      <c r="M73" s="13">
        <v>46338</v>
      </c>
      <c r="N73" s="17" t="s">
        <v>190</v>
      </c>
    </row>
    <row r="74" spans="2:14" x14ac:dyDescent="0.2">
      <c r="B74" s="3" t="s">
        <v>191</v>
      </c>
      <c r="C74" t="s">
        <v>192</v>
      </c>
      <c r="D74" t="s">
        <v>22</v>
      </c>
      <c r="E74" s="6" t="s">
        <v>33</v>
      </c>
      <c r="F74" s="1">
        <v>61.93</v>
      </c>
      <c r="G74" s="8">
        <f>F74*[72]Main!$C$4</f>
        <v>5489.4984237500003</v>
      </c>
      <c r="H74" s="10">
        <f>G74-[72]Main!$C$7+[72]Main!$C$8</f>
        <v>4464.22042375</v>
      </c>
      <c r="J74" s="1">
        <f>IF(ISNUMBER([72]Main!$C$11),[72]Main!$C$11,"")</f>
        <v>11.566715506336699</v>
      </c>
      <c r="K74" s="11">
        <f t="shared" si="1"/>
        <v>-0.81322920222288553</v>
      </c>
      <c r="L74" s="12" t="str">
        <f>[72]Main!$C$15&amp;" ("&amp;[72]Main!$C$14&amp;")"</f>
        <v>Net cash (small revenue)</v>
      </c>
      <c r="M74" s="13">
        <v>46339</v>
      </c>
      <c r="N74" s="17" t="s">
        <v>156</v>
      </c>
    </row>
    <row r="75" spans="2:14" x14ac:dyDescent="0.2">
      <c r="B75" s="3" t="s">
        <v>193</v>
      </c>
      <c r="C75" t="s">
        <v>194</v>
      </c>
      <c r="D75" t="s">
        <v>22</v>
      </c>
      <c r="E75" s="6" t="s">
        <v>33</v>
      </c>
      <c r="F75" s="1">
        <v>124.67</v>
      </c>
      <c r="G75" s="8">
        <f>F75*[73]Main!$C$4</f>
        <v>5568.5393927800005</v>
      </c>
      <c r="H75" s="10">
        <f>G75-[73]Main!$C$7+[73]Main!$C$8</f>
        <v>4706.9303927800001</v>
      </c>
      <c r="J75" s="1">
        <f>IF(ISNUMBER([73]Main!$C$11),[73]Main!$C$11,"")</f>
        <v>3.4664440007756281</v>
      </c>
      <c r="K75" s="11">
        <f t="shared" si="1"/>
        <v>-0.9721950429070696</v>
      </c>
      <c r="L75" s="12" t="str">
        <f>[73]Main!$C$15&amp;" ("&amp;[73]Main!$C$14&amp;")"</f>
        <v>DCF (Base)</v>
      </c>
      <c r="M75" s="13">
        <v>46337</v>
      </c>
      <c r="N75" s="17" t="s">
        <v>104</v>
      </c>
    </row>
    <row r="76" spans="2:14" x14ac:dyDescent="0.2">
      <c r="B76" s="3" t="s">
        <v>195</v>
      </c>
      <c r="C76" t="s">
        <v>196</v>
      </c>
      <c r="D76" t="s">
        <v>22</v>
      </c>
      <c r="E76" s="6" t="s">
        <v>33</v>
      </c>
      <c r="F76" s="1">
        <v>2.2145000000000001</v>
      </c>
      <c r="G76" s="8">
        <f>F76*[74]Main!$C$4</f>
        <v>5781.6484666550004</v>
      </c>
      <c r="H76" s="10">
        <f>G76-[74]Main!$C$7+[74]Main!$C$8</f>
        <v>5782.8774666550007</v>
      </c>
      <c r="J76" s="1">
        <f>IF(ISNUMBER([74]Main!$C$11),[74]Main!$C$11,"")</f>
        <v>-4.7073434431315513E-4</v>
      </c>
      <c r="K76" s="11">
        <f t="shared" si="1"/>
        <v>-1.0002125691326769</v>
      </c>
      <c r="L76" s="12" t="str">
        <f>[74]Main!$C$15&amp;" ("&amp;[74]Main!$C$14&amp;")"</f>
        <v>Net cash (pre-revenue)</v>
      </c>
      <c r="M76" s="13">
        <v>46349</v>
      </c>
      <c r="N76" s="17" t="s">
        <v>197</v>
      </c>
    </row>
    <row r="77" spans="2:14" x14ac:dyDescent="0.2">
      <c r="B77" s="3" t="s">
        <v>198</v>
      </c>
      <c r="C77" t="s">
        <v>199</v>
      </c>
      <c r="D77" t="s">
        <v>22</v>
      </c>
      <c r="E77" s="6" t="s">
        <v>33</v>
      </c>
      <c r="F77" s="1">
        <v>85.07</v>
      </c>
      <c r="G77" s="8">
        <f>F77*[75]Main!$C$4</f>
        <v>5523.7825092099993</v>
      </c>
      <c r="H77" s="10">
        <f>G77-[75]Main!$C$7+[75]Main!$C$8</f>
        <v>5835.5705092099988</v>
      </c>
      <c r="J77" s="1">
        <f>IF(ISNUMBER([75]Main!$C$11),[75]Main!$C$11,"")</f>
        <v>33.892700406320593</v>
      </c>
      <c r="K77" s="11">
        <f t="shared" si="1"/>
        <v>-0.60159045014316925</v>
      </c>
      <c r="L77" s="12" t="str">
        <f>[75]Main!$C$15&amp;" ("&amp;[75]Main!$C$14&amp;")"</f>
        <v>DCF (Base)</v>
      </c>
      <c r="M77" s="13">
        <v>46329</v>
      </c>
      <c r="N77" s="17" t="s">
        <v>134</v>
      </c>
    </row>
    <row r="78" spans="2:14" x14ac:dyDescent="0.2">
      <c r="B78" s="3" t="s">
        <v>200</v>
      </c>
      <c r="C78" t="s">
        <v>201</v>
      </c>
      <c r="D78" t="s">
        <v>22</v>
      </c>
      <c r="E78" s="6" t="s">
        <v>33</v>
      </c>
      <c r="F78" s="1">
        <v>62.92</v>
      </c>
      <c r="G78" s="8">
        <f>F78*[76]Main!$C$4</f>
        <v>5251.3536618400003</v>
      </c>
      <c r="H78" s="10">
        <f>G78-[76]Main!$C$7+[76]Main!$C$8</f>
        <v>3613.2416618400002</v>
      </c>
      <c r="J78" s="1">
        <f>IF(ISNUMBER([76]Main!$C$11),[76]Main!$C$11,"")</f>
        <v>47.505232158878805</v>
      </c>
      <c r="K78" s="11">
        <f t="shared" si="1"/>
        <v>-0.24498995297395421</v>
      </c>
      <c r="L78" s="12" t="str">
        <f>[76]Main!$C$15&amp;" ("&amp;[76]Main!$C$14&amp;")"</f>
        <v>DCF (Base)</v>
      </c>
      <c r="M78" s="13">
        <v>46324</v>
      </c>
      <c r="N78" s="17" t="s">
        <v>37</v>
      </c>
    </row>
    <row r="79" spans="2:14" x14ac:dyDescent="0.2">
      <c r="B79" s="3" t="s">
        <v>202</v>
      </c>
      <c r="C79" t="s">
        <v>203</v>
      </c>
      <c r="D79" t="s">
        <v>22</v>
      </c>
      <c r="E79" s="6" t="s">
        <v>33</v>
      </c>
      <c r="F79" s="1">
        <v>41.36</v>
      </c>
      <c r="G79" s="8">
        <f>F79*[77]Main!$C$4</f>
        <v>5037.0392635199996</v>
      </c>
      <c r="H79" s="10">
        <f>G79-[77]Main!$C$7+[77]Main!$C$8</f>
        <v>4741.1542635200003</v>
      </c>
      <c r="J79" s="1">
        <f>IF(ISNUMBER([77]Main!$C$11),[77]Main!$C$11,"")</f>
        <v>2.4295628760789008</v>
      </c>
      <c r="K79" s="11">
        <f t="shared" si="1"/>
        <v>-0.94125815096521037</v>
      </c>
      <c r="L79" s="12" t="str">
        <f>[77]Main!$C$15&amp;" ("&amp;[77]Main!$C$14&amp;")"</f>
        <v>Net cash (pre-revenue)</v>
      </c>
      <c r="M79" s="13">
        <v>46339</v>
      </c>
      <c r="N79" s="17" t="s">
        <v>156</v>
      </c>
    </row>
    <row r="80" spans="2:14" x14ac:dyDescent="0.2">
      <c r="B80" s="3" t="s">
        <v>204</v>
      </c>
      <c r="C80" t="s">
        <v>205</v>
      </c>
      <c r="D80" t="s">
        <v>22</v>
      </c>
      <c r="E80" s="6" t="s">
        <v>33</v>
      </c>
      <c r="F80" s="1">
        <v>79.09</v>
      </c>
      <c r="G80" s="8">
        <f>F80*[78]Main!$C$4</f>
        <v>5236.5250939100006</v>
      </c>
      <c r="H80" s="10">
        <f>G80-[78]Main!$C$7+[78]Main!$C$8</f>
        <v>4362.9610939100003</v>
      </c>
      <c r="J80" s="1">
        <f>IF(ISNUMBER([78]Main!$C$11),[78]Main!$C$11,"")</f>
        <v>13.193897770174127</v>
      </c>
      <c r="K80" s="11">
        <f t="shared" si="1"/>
        <v>-0.83317868541946982</v>
      </c>
      <c r="L80" s="12" t="str">
        <f>[78]Main!$C$15&amp;" ("&amp;[78]Main!$C$14&amp;")"</f>
        <v>Net cash (pre-revenue)</v>
      </c>
      <c r="M80" s="13">
        <v>46337</v>
      </c>
      <c r="N80" s="17" t="s">
        <v>104</v>
      </c>
    </row>
    <row r="81" spans="2:14" x14ac:dyDescent="0.2">
      <c r="B81" s="3" t="s">
        <v>206</v>
      </c>
      <c r="C81" t="s">
        <v>207</v>
      </c>
      <c r="D81" t="s">
        <v>22</v>
      </c>
      <c r="E81" s="6" t="s">
        <v>33</v>
      </c>
      <c r="F81" s="1">
        <v>49.88</v>
      </c>
      <c r="G81" s="8">
        <f>F81*[79]Main!$C$4</f>
        <v>4823.0295316400006</v>
      </c>
      <c r="H81" s="10">
        <f>G81-[79]Main!$C$7+[79]Main!$C$8</f>
        <v>3044.8755316400006</v>
      </c>
      <c r="J81" s="1">
        <f>IF(ISNUMBER([79]Main!$C$11),[79]Main!$C$11,"")</f>
        <v>18.389752942242673</v>
      </c>
      <c r="K81" s="11">
        <f t="shared" si="1"/>
        <v>-0.63132010941774919</v>
      </c>
      <c r="L81" s="12" t="str">
        <f>[79]Main!$C$15&amp;" ("&amp;[79]Main!$C$14&amp;")"</f>
        <v>Net cash (small revenue)</v>
      </c>
      <c r="M81" s="13">
        <v>46335</v>
      </c>
      <c r="N81" s="17" t="s">
        <v>87</v>
      </c>
    </row>
    <row r="82" spans="2:14" x14ac:dyDescent="0.2">
      <c r="B82" s="3" t="s">
        <v>208</v>
      </c>
      <c r="C82" t="s">
        <v>209</v>
      </c>
      <c r="D82" t="s">
        <v>15</v>
      </c>
      <c r="E82" s="6" t="s">
        <v>33</v>
      </c>
      <c r="F82" s="1">
        <v>10.45</v>
      </c>
      <c r="G82" s="8">
        <f>F82*[80]Main!$C$4</f>
        <v>5181.9917291999991</v>
      </c>
      <c r="H82" s="10">
        <f>G82-[80]Main!$C$7+[80]Main!$C$8</f>
        <v>5167.7992741999988</v>
      </c>
      <c r="J82" s="1">
        <f>IF(ISNUMBER([80]Main!$C$11),[80]Main!$C$11,"")</f>
        <v>2.862049237058439E-2</v>
      </c>
      <c r="K82" s="11">
        <f t="shared" si="1"/>
        <v>-0.99726119690233639</v>
      </c>
      <c r="L82" s="12" t="str">
        <f>[80]Main!$C$15&amp;" ("&amp;[80]Main!$C$14&amp;")"</f>
        <v>Net cash (pre-revenue)</v>
      </c>
      <c r="M82" s="13"/>
      <c r="N82" s="17"/>
    </row>
    <row r="83" spans="2:14" x14ac:dyDescent="0.2">
      <c r="B83" s="3" t="s">
        <v>210</v>
      </c>
      <c r="C83" t="s">
        <v>211</v>
      </c>
      <c r="D83" t="s">
        <v>22</v>
      </c>
      <c r="E83" s="6" t="s">
        <v>33</v>
      </c>
      <c r="F83" s="1">
        <v>14.62</v>
      </c>
      <c r="G83" s="8">
        <f>F83*[81]Main!$C$4</f>
        <v>5113.5209517000003</v>
      </c>
      <c r="H83" s="10">
        <f>G83-[81]Main!$C$7+[81]Main!$C$8</f>
        <v>4729.2209517000001</v>
      </c>
      <c r="J83" s="1">
        <f>IF(ISNUMBER([81]Main!$C$11),[81]Main!$C$11,"")</f>
        <v>1.0987470381112117</v>
      </c>
      <c r="K83" s="11">
        <f t="shared" si="1"/>
        <v>-0.92484630382276256</v>
      </c>
      <c r="L83" s="12" t="str">
        <f>[81]Main!$C$15&amp;" ("&amp;[81]Main!$C$14&amp;")"</f>
        <v>Net cash (pre-revenue)</v>
      </c>
      <c r="M83" s="13">
        <v>46337</v>
      </c>
      <c r="N83" s="17" t="s">
        <v>104</v>
      </c>
    </row>
    <row r="84" spans="2:14" x14ac:dyDescent="0.2">
      <c r="B84" s="3" t="s">
        <v>212</v>
      </c>
      <c r="C84" t="s">
        <v>213</v>
      </c>
      <c r="D84" t="s">
        <v>22</v>
      </c>
      <c r="E84" s="6" t="s">
        <v>33</v>
      </c>
      <c r="F84" s="1">
        <v>52.3</v>
      </c>
      <c r="G84" s="8">
        <f>F84*[82]Main!$C$4</f>
        <v>4929.8545886000002</v>
      </c>
      <c r="H84" s="10">
        <f>G84-[82]Main!$C$7+[82]Main!$C$8</f>
        <v>5238.9905886000006</v>
      </c>
      <c r="J84" s="1">
        <f>IF(ISNUMBER([82]Main!$C$11),[82]Main!$C$11,"")</f>
        <v>21.127019530816117</v>
      </c>
      <c r="K84" s="11">
        <f t="shared" si="1"/>
        <v>-0.59604169157139353</v>
      </c>
      <c r="L84" s="12" t="str">
        <f>[82]Main!$C$15&amp;" ("&amp;[82]Main!$C$14&amp;")"</f>
        <v>DCF (Base)</v>
      </c>
      <c r="M84" s="13">
        <v>46324</v>
      </c>
      <c r="N84" s="17" t="s">
        <v>214</v>
      </c>
    </row>
    <row r="85" spans="2:14" x14ac:dyDescent="0.2">
      <c r="B85" s="3" t="s">
        <v>215</v>
      </c>
      <c r="C85" t="s">
        <v>216</v>
      </c>
      <c r="D85" t="s">
        <v>15</v>
      </c>
      <c r="E85" s="6" t="s">
        <v>16</v>
      </c>
      <c r="F85" s="1">
        <v>127.23</v>
      </c>
      <c r="G85" s="8">
        <f>F85*[83]Main!$C$4</f>
        <v>5315.6867032800001</v>
      </c>
      <c r="H85" s="10">
        <f>G85-[83]Main!$C$7+[83]Main!$C$8</f>
        <v>4495.7927032799998</v>
      </c>
      <c r="J85" s="1">
        <f>IF(ISNUMBER([83]Main!$C$11),[83]Main!$C$11,"")</f>
        <v>19.624014627429649</v>
      </c>
      <c r="K85" s="11">
        <f t="shared" si="1"/>
        <v>-0.84575953291338801</v>
      </c>
      <c r="L85" s="12" t="str">
        <f>[83]Main!$C$15&amp;" ("&amp;[83]Main!$C$14&amp;")"</f>
        <v>Net cash (pre-revenue)</v>
      </c>
      <c r="M85" s="13">
        <v>46336</v>
      </c>
      <c r="N85" s="17" t="s">
        <v>217</v>
      </c>
    </row>
    <row r="86" spans="2:14" x14ac:dyDescent="0.2">
      <c r="B86" s="3" t="s">
        <v>218</v>
      </c>
      <c r="C86" t="s">
        <v>219</v>
      </c>
      <c r="D86" t="s">
        <v>15</v>
      </c>
      <c r="E86" s="6" t="s">
        <v>33</v>
      </c>
      <c r="F86" s="1">
        <v>35.090000000000003</v>
      </c>
      <c r="G86" s="8">
        <f>F86*[84]Main!$C$4</f>
        <v>4714.9362755000002</v>
      </c>
      <c r="H86" s="10">
        <f>G86-[84]Main!$C$7+[84]Main!$C$8</f>
        <v>3667.5242755000004</v>
      </c>
      <c r="J86" s="1">
        <f>IF(ISNUMBER([84]Main!$C$11),[84]Main!$C$11,"")</f>
        <v>7.795160938013403</v>
      </c>
      <c r="K86" s="11">
        <f t="shared" si="1"/>
        <v>-0.77785235286368193</v>
      </c>
      <c r="L86" s="12" t="str">
        <f>[84]Main!$C$15&amp;" ("&amp;[84]Main!$C$14&amp;")"</f>
        <v>Net cash (pre-revenue)</v>
      </c>
      <c r="M86" s="13">
        <v>46331</v>
      </c>
      <c r="N86" s="17" t="s">
        <v>63</v>
      </c>
    </row>
    <row r="87" spans="2:14" x14ac:dyDescent="0.2">
      <c r="B87" s="3" t="s">
        <v>220</v>
      </c>
      <c r="C87" t="s">
        <v>221</v>
      </c>
      <c r="D87" t="s">
        <v>22</v>
      </c>
      <c r="E87" s="6" t="s">
        <v>33</v>
      </c>
      <c r="F87" s="1">
        <v>9.58</v>
      </c>
      <c r="G87" s="8">
        <f>F87*[85]Main!$C$4</f>
        <v>4683.1515967599998</v>
      </c>
      <c r="H87" s="10">
        <f>G87-[85]Main!$C$7+[85]Main!$C$8</f>
        <v>4662.2705967600004</v>
      </c>
      <c r="J87" s="1">
        <f>IF(ISNUMBER([85]Main!$C$11),[85]Main!$C$11,"")</f>
        <v>-0.20853436195696259</v>
      </c>
      <c r="K87" s="11">
        <f t="shared" si="1"/>
        <v>-1.0217676787011443</v>
      </c>
      <c r="L87" s="12" t="str">
        <f>[85]Main!$C$15&amp;" ("&amp;[85]Main!$C$14&amp;")"</f>
        <v>DCF (Base)</v>
      </c>
      <c r="M87" s="13">
        <v>46330</v>
      </c>
      <c r="N87" s="17" t="s">
        <v>40</v>
      </c>
    </row>
    <row r="88" spans="2:14" x14ac:dyDescent="0.2">
      <c r="B88" s="3" t="s">
        <v>222</v>
      </c>
      <c r="C88" t="s">
        <v>223</v>
      </c>
      <c r="D88" t="s">
        <v>15</v>
      </c>
      <c r="E88" s="6" t="s">
        <v>33</v>
      </c>
      <c r="F88" s="1">
        <v>39.75</v>
      </c>
      <c r="G88" s="8">
        <f>F88*[86]Main!$C$4</f>
        <v>4317.0141277499997</v>
      </c>
      <c r="H88" s="10">
        <f>G88-[86]Main!$C$7+[86]Main!$C$8</f>
        <v>4244.6951277499993</v>
      </c>
      <c r="J88" s="1">
        <f>IF(ISNUMBER([86]Main!$C$11),[86]Main!$C$11,"")</f>
        <v>0.66589549279475369</v>
      </c>
      <c r="K88" s="11">
        <f t="shared" si="1"/>
        <v>-0.98324791213094964</v>
      </c>
      <c r="L88" s="12" t="str">
        <f>[86]Main!$C$15&amp;" ("&amp;[86]Main!$C$14&amp;")"</f>
        <v>Net cash (pre-revenue)</v>
      </c>
      <c r="M88" s="13">
        <v>46331</v>
      </c>
      <c r="N88" s="17" t="s">
        <v>63</v>
      </c>
    </row>
    <row r="89" spans="2:14" x14ac:dyDescent="0.2">
      <c r="B89" s="3" t="s">
        <v>224</v>
      </c>
      <c r="C89" t="s">
        <v>225</v>
      </c>
      <c r="D89" t="s">
        <v>22</v>
      </c>
      <c r="E89" s="6" t="s">
        <v>33</v>
      </c>
      <c r="F89" s="1">
        <v>78.75</v>
      </c>
      <c r="G89" s="8">
        <f>F89*[87]Main!$C$4</f>
        <v>4404.8322674999999</v>
      </c>
      <c r="H89" s="10">
        <f>G89-[87]Main!$C$7+[87]Main!$C$8</f>
        <v>3518.0192674999998</v>
      </c>
      <c r="J89" s="1">
        <f>IF(ISNUMBER([87]Main!$C$11),[87]Main!$C$11,"")</f>
        <v>15.854525100824397</v>
      </c>
      <c r="K89" s="11">
        <f t="shared" si="1"/>
        <v>-0.79867269713238864</v>
      </c>
      <c r="L89" s="12" t="str">
        <f>[87]Main!$C$15&amp;" ("&amp;[87]Main!$C$14&amp;")"</f>
        <v>Net cash (pre-revenue)</v>
      </c>
      <c r="M89" s="13">
        <v>46330</v>
      </c>
      <c r="N89" s="17" t="s">
        <v>40</v>
      </c>
    </row>
    <row r="90" spans="2:14" x14ac:dyDescent="0.2">
      <c r="B90" s="3" t="s">
        <v>226</v>
      </c>
      <c r="C90" t="s">
        <v>227</v>
      </c>
      <c r="D90" t="s">
        <v>15</v>
      </c>
      <c r="E90" s="6" t="s">
        <v>33</v>
      </c>
      <c r="F90" s="1">
        <v>34.770000000000003</v>
      </c>
      <c r="G90" s="8">
        <f>F90*[88]Main!$C$4</f>
        <v>4103.3345757300003</v>
      </c>
      <c r="H90" s="10">
        <f>G90-[88]Main!$C$7+[88]Main!$C$8</f>
        <v>4368.3345757300003</v>
      </c>
      <c r="J90" s="1">
        <f>IF(ISNUMBER([88]Main!$C$11),[88]Main!$C$11,"")</f>
        <v>28.181455733312131</v>
      </c>
      <c r="K90" s="11">
        <f t="shared" si="1"/>
        <v>-0.18948933755213893</v>
      </c>
      <c r="L90" s="12" t="str">
        <f>[88]Main!$C$15&amp;" ("&amp;[88]Main!$C$14&amp;")"</f>
        <v>DCF (Base)</v>
      </c>
      <c r="M90" s="13">
        <v>46324</v>
      </c>
      <c r="N90" s="17" t="s">
        <v>214</v>
      </c>
    </row>
    <row r="91" spans="2:14" x14ac:dyDescent="0.2">
      <c r="B91" s="3" t="s">
        <v>228</v>
      </c>
      <c r="C91" t="s">
        <v>229</v>
      </c>
      <c r="D91" t="s">
        <v>22</v>
      </c>
      <c r="E91" s="6" t="s">
        <v>33</v>
      </c>
      <c r="F91" s="1">
        <v>25.254999999999999</v>
      </c>
      <c r="G91" s="8">
        <f>F91*[89]Main!$C$4</f>
        <v>4258.2548185850001</v>
      </c>
      <c r="H91" s="10">
        <f>G91-[89]Main!$C$7+[89]Main!$C$8</f>
        <v>3244.2648185850003</v>
      </c>
      <c r="J91" s="1">
        <f>IF(ISNUMBER([89]Main!$C$11),[89]Main!$C$11,"")</f>
        <v>3.7852885847835798</v>
      </c>
      <c r="K91" s="11">
        <f t="shared" si="1"/>
        <v>-0.8501172605510362</v>
      </c>
      <c r="L91" s="12" t="str">
        <f>[89]Main!$C$15&amp;" ("&amp;[89]Main!$C$14&amp;")"</f>
        <v>DCF (Base)</v>
      </c>
      <c r="M91" s="13">
        <v>46329</v>
      </c>
      <c r="N91" s="17" t="s">
        <v>134</v>
      </c>
    </row>
    <row r="92" spans="2:14" x14ac:dyDescent="0.2">
      <c r="B92" s="3" t="s">
        <v>230</v>
      </c>
      <c r="C92" t="s">
        <v>231</v>
      </c>
      <c r="D92" t="s">
        <v>22</v>
      </c>
      <c r="E92" s="6" t="s">
        <v>33</v>
      </c>
      <c r="F92" s="1">
        <v>32.82</v>
      </c>
      <c r="G92" s="8">
        <f>F92*[90]Main!$C$4</f>
        <v>4125.2101600200003</v>
      </c>
      <c r="H92" s="10">
        <f>G92-[90]Main!$C$7+[90]Main!$C$8</f>
        <v>3995.5581600200003</v>
      </c>
      <c r="J92" s="1">
        <f>IF(ISNUMBER([90]Main!$C$11),[90]Main!$C$11,"")</f>
        <v>17.866044506123085</v>
      </c>
      <c r="K92" s="11">
        <f t="shared" si="1"/>
        <v>-0.4556354507579804</v>
      </c>
      <c r="L92" s="12" t="str">
        <f>[90]Main!$C$15&amp;" ("&amp;[90]Main!$C$14&amp;")"</f>
        <v>DCF (Base)</v>
      </c>
      <c r="M92" s="13">
        <v>46322</v>
      </c>
      <c r="N92" s="17" t="s">
        <v>120</v>
      </c>
    </row>
    <row r="93" spans="2:14" x14ac:dyDescent="0.2">
      <c r="B93" s="3" t="s">
        <v>232</v>
      </c>
      <c r="C93" t="s">
        <v>233</v>
      </c>
      <c r="D93" t="s">
        <v>22</v>
      </c>
      <c r="E93" s="6" t="s">
        <v>33</v>
      </c>
      <c r="F93" s="1">
        <v>11.16</v>
      </c>
      <c r="G93" s="8">
        <f>F93*[91]Main!$C$4</f>
        <v>3780.7518668399998</v>
      </c>
      <c r="H93" s="10">
        <f>G93-[91]Main!$C$7+[91]Main!$C$8</f>
        <v>4043.9098668399997</v>
      </c>
      <c r="J93" s="1">
        <f>IF(ISNUMBER([91]Main!$C$11),[91]Main!$C$11,"")</f>
        <v>11.325641162457769</v>
      </c>
      <c r="K93" s="11">
        <f t="shared" si="1"/>
        <v>1.4842398069692564E-2</v>
      </c>
      <c r="L93" s="12" t="str">
        <f>[91]Main!$C$15&amp;" ("&amp;[91]Main!$C$14&amp;")"</f>
        <v>DCF (Base)</v>
      </c>
      <c r="M93" s="13"/>
      <c r="N93" s="17"/>
    </row>
    <row r="94" spans="2:14" x14ac:dyDescent="0.2">
      <c r="B94" s="3" t="s">
        <v>234</v>
      </c>
      <c r="C94" t="s">
        <v>235</v>
      </c>
      <c r="D94" t="s">
        <v>15</v>
      </c>
      <c r="E94" s="6" t="s">
        <v>16</v>
      </c>
      <c r="F94" s="1">
        <v>13.755000000000001</v>
      </c>
      <c r="G94" s="8">
        <f>F94*[92]Main!$C$4</f>
        <v>3612.1927509150005</v>
      </c>
      <c r="H94" s="10">
        <f>G94-[92]Main!$C$7+[92]Main!$C$8</f>
        <v>11033.192750915001</v>
      </c>
      <c r="J94" s="1">
        <f>IF(ISNUMBER([92]Main!$C$11),[92]Main!$C$11,"")</f>
        <v>10.85280996028869</v>
      </c>
      <c r="K94" s="11">
        <f t="shared" si="1"/>
        <v>-0.21099164229089862</v>
      </c>
      <c r="L94" s="12" t="str">
        <f>[92]Main!$C$15&amp;" ("&amp;[92]Main!$C$14&amp;")"</f>
        <v>DCF (Base)</v>
      </c>
      <c r="M94" s="13">
        <v>46335</v>
      </c>
      <c r="N94" s="17" t="s">
        <v>87</v>
      </c>
    </row>
    <row r="95" spans="2:14" x14ac:dyDescent="0.2">
      <c r="B95" s="3" t="s">
        <v>236</v>
      </c>
      <c r="C95" t="s">
        <v>237</v>
      </c>
      <c r="D95" t="s">
        <v>22</v>
      </c>
      <c r="E95" s="6" t="s">
        <v>33</v>
      </c>
      <c r="F95" s="1">
        <v>18.45</v>
      </c>
      <c r="G95" s="8">
        <f>F95*[93]Main!$C$4</f>
        <v>4043.1630919499999</v>
      </c>
      <c r="H95" s="10">
        <f>G95-[93]Main!$C$7+[93]Main!$C$8</f>
        <v>3921.97409195</v>
      </c>
      <c r="J95" s="1">
        <f>IF(ISNUMBER([93]Main!$C$11),[93]Main!$C$11,"")</f>
        <v>0.55301678392637321</v>
      </c>
      <c r="K95" s="11">
        <f t="shared" si="1"/>
        <v>-0.97002619057309625</v>
      </c>
      <c r="L95" s="12" t="str">
        <f>[93]Main!$C$15&amp;" ("&amp;[93]Main!$C$14&amp;")"</f>
        <v>Net cash (small revenue)</v>
      </c>
      <c r="M95" s="13">
        <v>46331</v>
      </c>
      <c r="N95" s="17" t="s">
        <v>63</v>
      </c>
    </row>
    <row r="96" spans="2:14" x14ac:dyDescent="0.2">
      <c r="B96" s="3" t="s">
        <v>238</v>
      </c>
      <c r="C96" t="s">
        <v>239</v>
      </c>
      <c r="D96" t="s">
        <v>22</v>
      </c>
      <c r="E96" s="6" t="s">
        <v>33</v>
      </c>
      <c r="F96" s="1">
        <v>44.79</v>
      </c>
      <c r="G96" s="8">
        <f>F96*[94]Main!$C$4</f>
        <v>3600.7008414900001</v>
      </c>
      <c r="H96" s="10">
        <f>G96-[94]Main!$C$7+[94]Main!$C$8</f>
        <v>3301.1798414899999</v>
      </c>
      <c r="J96" s="1">
        <f>IF(ISNUMBER([94]Main!$C$11),[94]Main!$C$11,"")</f>
        <v>26.369691936477601</v>
      </c>
      <c r="K96" s="11">
        <f t="shared" si="1"/>
        <v>-0.41125938967453446</v>
      </c>
      <c r="L96" s="12" t="str">
        <f>[94]Main!$C$15&amp;" ("&amp;[94]Main!$C$14&amp;")"</f>
        <v>DCF (Base)</v>
      </c>
      <c r="M96" s="13">
        <v>46330</v>
      </c>
      <c r="N96" s="17" t="s">
        <v>145</v>
      </c>
    </row>
    <row r="97" spans="2:14" x14ac:dyDescent="0.2">
      <c r="B97" s="3" t="s">
        <v>240</v>
      </c>
      <c r="C97" t="s">
        <v>241</v>
      </c>
      <c r="D97" t="s">
        <v>22</v>
      </c>
      <c r="E97" s="6" t="s">
        <v>33</v>
      </c>
      <c r="F97" s="1">
        <v>19.010000000000002</v>
      </c>
      <c r="G97" s="8">
        <f>F97*[95]Main!$C$4</f>
        <v>3515.7699373450005</v>
      </c>
      <c r="H97" s="10">
        <f>G97-[95]Main!$C$7+[95]Main!$C$8</f>
        <v>2932.9699373450003</v>
      </c>
      <c r="J97" s="1">
        <f>IF(ISNUMBER([95]Main!$C$11),[95]Main!$C$11,"")</f>
        <v>24.93830421292855</v>
      </c>
      <c r="K97" s="11">
        <f t="shared" si="1"/>
        <v>0.31185187863906094</v>
      </c>
      <c r="L97" s="12" t="str">
        <f>[95]Main!$C$15&amp;" ("&amp;[95]Main!$C$14&amp;")"</f>
        <v>DCF (Base)</v>
      </c>
      <c r="M97" s="13">
        <v>46337</v>
      </c>
      <c r="N97" s="17" t="s">
        <v>104</v>
      </c>
    </row>
    <row r="98" spans="2:14" x14ac:dyDescent="0.2">
      <c r="B98" s="3" t="s">
        <v>242</v>
      </c>
      <c r="C98" t="s">
        <v>243</v>
      </c>
      <c r="D98" t="s">
        <v>22</v>
      </c>
      <c r="E98" s="6" t="s">
        <v>33</v>
      </c>
      <c r="F98" s="1">
        <v>69.2</v>
      </c>
      <c r="G98" s="8">
        <f>F98*[96]Main!$C$4</f>
        <v>3580.0082316000003</v>
      </c>
      <c r="H98" s="10">
        <f>G98-[96]Main!$C$7+[96]Main!$C$8</f>
        <v>3206.3722316000003</v>
      </c>
      <c r="J98" s="1">
        <f>IF(ISNUMBER([96]Main!$C$11),[96]Main!$C$11,"")</f>
        <v>35.323638096063469</v>
      </c>
      <c r="K98" s="11">
        <f t="shared" si="1"/>
        <v>-0.48954280208000767</v>
      </c>
      <c r="L98" s="12" t="str">
        <f>[96]Main!$C$15&amp;" ("&amp;[96]Main!$C$14&amp;")"</f>
        <v>DCF (Base)</v>
      </c>
      <c r="M98" s="13">
        <v>46324</v>
      </c>
      <c r="N98" s="17" t="s">
        <v>37</v>
      </c>
    </row>
    <row r="99" spans="2:14" x14ac:dyDescent="0.2">
      <c r="B99" s="3" t="s">
        <v>244</v>
      </c>
      <c r="C99" t="s">
        <v>245</v>
      </c>
      <c r="D99" t="s">
        <v>22</v>
      </c>
      <c r="E99" s="6" t="s">
        <v>33</v>
      </c>
      <c r="F99" s="1">
        <v>20.440000000000001</v>
      </c>
      <c r="G99" s="8">
        <f>F99*[97]Main!$C$4</f>
        <v>3521.9247879200002</v>
      </c>
      <c r="H99" s="10">
        <f>G99-[97]Main!$C$7+[97]Main!$C$8</f>
        <v>2565.45078792</v>
      </c>
      <c r="J99" s="1">
        <f>IF(ISNUMBER([97]Main!$C$11),[97]Main!$C$11,"")</f>
        <v>21.156942163348617</v>
      </c>
      <c r="K99" s="11">
        <f t="shared" si="1"/>
        <v>3.5075448304726864E-2</v>
      </c>
      <c r="L99" s="12" t="str">
        <f>[97]Main!$C$15&amp;" ("&amp;[97]Main!$C$14&amp;")"</f>
        <v>DCF (Base)</v>
      </c>
      <c r="M99" s="13">
        <v>46330</v>
      </c>
      <c r="N99" s="17" t="s">
        <v>40</v>
      </c>
    </row>
    <row r="100" spans="2:14" x14ac:dyDescent="0.2">
      <c r="B100" s="3" t="s">
        <v>246</v>
      </c>
      <c r="C100" t="s">
        <v>247</v>
      </c>
      <c r="D100" t="s">
        <v>22</v>
      </c>
      <c r="E100" s="6" t="s">
        <v>33</v>
      </c>
      <c r="F100" s="1">
        <v>36.270000000000003</v>
      </c>
      <c r="G100" s="8">
        <f>F100*[98]Main!$C$4</f>
        <v>3512.4024686400007</v>
      </c>
      <c r="H100" s="10">
        <f>G100-[98]Main!$C$7+[98]Main!$C$8</f>
        <v>2581.7164686400006</v>
      </c>
      <c r="J100" s="1">
        <f>IF(ISNUMBER([98]Main!$C$11),[98]Main!$C$11,"")</f>
        <v>9.6105106181269413</v>
      </c>
      <c r="K100" s="11">
        <f t="shared" si="1"/>
        <v>-0.73502865679275042</v>
      </c>
      <c r="L100" s="12" t="str">
        <f>[98]Main!$C$15&amp;" ("&amp;[98]Main!$C$14&amp;")"</f>
        <v>Net cash (pre-revenue)</v>
      </c>
      <c r="M100" s="13">
        <v>46328</v>
      </c>
      <c r="N100" s="17" t="s">
        <v>107</v>
      </c>
    </row>
    <row r="101" spans="2:14" x14ac:dyDescent="0.2">
      <c r="B101" s="3" t="s">
        <v>248</v>
      </c>
      <c r="C101" t="s">
        <v>249</v>
      </c>
      <c r="D101" t="s">
        <v>22</v>
      </c>
      <c r="E101" s="6" t="s">
        <v>33</v>
      </c>
      <c r="F101" s="1">
        <v>35.36</v>
      </c>
      <c r="G101" s="8">
        <f>F101*[99]Main!$C$4</f>
        <v>3411.86815424</v>
      </c>
      <c r="H101" s="10">
        <f>G101-[99]Main!$C$7+[99]Main!$C$8</f>
        <v>2582.91315424</v>
      </c>
      <c r="J101" s="1">
        <f>IF(ISNUMBER([99]Main!$C$11),[99]Main!$C$11,"")</f>
        <v>8.5911434659553141</v>
      </c>
      <c r="K101" s="11">
        <f t="shared" si="1"/>
        <v>-0.75703779790850356</v>
      </c>
      <c r="L101" s="12" t="str">
        <f>[99]Main!$C$15&amp;" ("&amp;[99]Main!$C$14&amp;")"</f>
        <v>Net cash (revenue jump)</v>
      </c>
      <c r="M101" s="13">
        <v>46329</v>
      </c>
      <c r="N101" s="17" t="s">
        <v>134</v>
      </c>
    </row>
    <row r="102" spans="2:14" x14ac:dyDescent="0.2">
      <c r="B102" s="3" t="s">
        <v>250</v>
      </c>
      <c r="C102" t="s">
        <v>251</v>
      </c>
      <c r="D102" t="s">
        <v>15</v>
      </c>
      <c r="E102" s="6" t="s">
        <v>33</v>
      </c>
      <c r="F102" s="1">
        <v>36.35</v>
      </c>
      <c r="G102" s="8">
        <f>F102*[100]Main!$C$4</f>
        <v>3253.6481878500003</v>
      </c>
      <c r="H102" s="10">
        <f>G102-[100]Main!$C$7+[100]Main!$C$8</f>
        <v>2969.4671878500003</v>
      </c>
      <c r="J102" s="1">
        <f>IF(ISNUMBER([100]Main!$C$11),[100]Main!$C$11,"")</f>
        <v>3.1748913077249497</v>
      </c>
      <c r="K102" s="11">
        <f t="shared" si="1"/>
        <v>-0.9126577356884471</v>
      </c>
      <c r="L102" s="12" t="str">
        <f>[100]Main!$C$15&amp;" ("&amp;[100]Main!$C$14&amp;")"</f>
        <v>Net cash (revenue jump)</v>
      </c>
      <c r="M102" s="13">
        <v>46328</v>
      </c>
      <c r="N102" s="17" t="s">
        <v>107</v>
      </c>
    </row>
    <row r="103" spans="2:14" x14ac:dyDescent="0.2">
      <c r="B103" s="3" t="s">
        <v>252</v>
      </c>
      <c r="C103" t="s">
        <v>253</v>
      </c>
      <c r="D103" t="s">
        <v>15</v>
      </c>
      <c r="E103" s="6" t="s">
        <v>33</v>
      </c>
      <c r="F103" s="1">
        <v>71.224999999999994</v>
      </c>
      <c r="G103" s="8">
        <f>F103*[101]Main!$C$4</f>
        <v>3125.5663900999998</v>
      </c>
      <c r="H103" s="10">
        <f>G103-[101]Main!$C$7+[101]Main!$C$8</f>
        <v>2748.6383900999999</v>
      </c>
      <c r="J103" s="1">
        <f>IF(ISNUMBER([101]Main!$C$11),[101]Main!$C$11,"")</f>
        <v>55.991126072867225</v>
      </c>
      <c r="K103" s="11">
        <f t="shared" si="1"/>
        <v>-0.2138838038207479</v>
      </c>
      <c r="L103" s="12" t="str">
        <f>[101]Main!$C$15&amp;" ("&amp;[101]Main!$C$14&amp;")"</f>
        <v>DCF (Base)</v>
      </c>
      <c r="M103" s="13">
        <v>46329</v>
      </c>
      <c r="N103" s="17" t="s">
        <v>134</v>
      </c>
    </row>
    <row r="104" spans="2:14" x14ac:dyDescent="0.2">
      <c r="B104" s="3" t="s">
        <v>254</v>
      </c>
      <c r="C104" t="s">
        <v>255</v>
      </c>
      <c r="D104" t="s">
        <v>22</v>
      </c>
      <c r="E104" s="6" t="s">
        <v>33</v>
      </c>
      <c r="F104" s="1">
        <v>26.71</v>
      </c>
      <c r="G104" s="8">
        <f>F104*[102]Main!$C$4</f>
        <v>3115.7999472699998</v>
      </c>
      <c r="H104" s="10">
        <f>G104-[102]Main!$C$7+[102]Main!$C$8</f>
        <v>2614.1369472699998</v>
      </c>
      <c r="J104" s="1">
        <f>IF(ISNUMBER([102]Main!$C$11),[102]Main!$C$11,"")</f>
        <v>4.3004746635740512</v>
      </c>
      <c r="K104" s="11">
        <f t="shared" si="1"/>
        <v>-0.83899383513388059</v>
      </c>
      <c r="L104" s="12" t="str">
        <f>[102]Main!$C$15&amp;" ("&amp;[102]Main!$C$14&amp;")"</f>
        <v>Net cash (pre-revenue)</v>
      </c>
      <c r="M104" s="13">
        <v>46323</v>
      </c>
      <c r="N104" s="17" t="s">
        <v>256</v>
      </c>
    </row>
    <row r="105" spans="2:14" x14ac:dyDescent="0.2">
      <c r="B105" s="3" t="s">
        <v>257</v>
      </c>
      <c r="C105" t="s">
        <v>258</v>
      </c>
      <c r="D105" t="s">
        <v>15</v>
      </c>
      <c r="E105" s="6" t="s">
        <v>33</v>
      </c>
      <c r="F105" s="1">
        <v>28.77</v>
      </c>
      <c r="G105" s="8">
        <f>F105*[103]Main!$C$4</f>
        <v>3205.6410909599999</v>
      </c>
      <c r="H105" s="10">
        <f>G105-[103]Main!$C$7+[103]Main!$C$8</f>
        <v>2954.8810909599997</v>
      </c>
      <c r="J105" s="1">
        <f>IF(ISNUMBER([103]Main!$C$11),[103]Main!$C$11,"")</f>
        <v>2.2505218130453586</v>
      </c>
      <c r="K105" s="11">
        <f t="shared" si="1"/>
        <v>-0.92177539753057491</v>
      </c>
      <c r="L105" s="12" t="str">
        <f>[103]Main!$C$15&amp;" ("&amp;[103]Main!$C$14&amp;")"</f>
        <v>Net cash (pre-revenue)</v>
      </c>
      <c r="M105" s="13">
        <v>46331</v>
      </c>
      <c r="N105" s="17" t="s">
        <v>63</v>
      </c>
    </row>
    <row r="106" spans="2:14" x14ac:dyDescent="0.2">
      <c r="B106" s="3" t="s">
        <v>259</v>
      </c>
      <c r="C106" t="s">
        <v>260</v>
      </c>
      <c r="D106" t="s">
        <v>22</v>
      </c>
      <c r="E106" s="6" t="s">
        <v>16</v>
      </c>
      <c r="F106" s="1">
        <v>23.75</v>
      </c>
      <c r="G106" s="8">
        <f>F106*[104]Main!$C$4</f>
        <v>3024.16768</v>
      </c>
      <c r="H106" s="10">
        <f>G106-[104]Main!$C$7+[104]Main!$C$8</f>
        <v>2423.16768</v>
      </c>
      <c r="J106" s="1">
        <f>IF(ISNUMBER([104]Main!$C$11),[104]Main!$C$11,"")</f>
        <v>-0.19540691435743784</v>
      </c>
      <c r="K106" s="11">
        <f t="shared" si="1"/>
        <v>-1.0082276595518922</v>
      </c>
      <c r="L106" s="12" t="str">
        <f>[104]Main!$C$15&amp;" ("&amp;[104]Main!$C$14&amp;")"</f>
        <v>DCF (Base)</v>
      </c>
      <c r="M106" s="13">
        <v>46322</v>
      </c>
      <c r="N106" s="17" t="s">
        <v>120</v>
      </c>
    </row>
    <row r="107" spans="2:14" x14ac:dyDescent="0.2">
      <c r="B107" s="3" t="s">
        <v>261</v>
      </c>
      <c r="C107" t="s">
        <v>262</v>
      </c>
      <c r="D107" t="s">
        <v>22</v>
      </c>
      <c r="E107" s="6" t="s">
        <v>33</v>
      </c>
      <c r="F107" s="1">
        <v>18.93</v>
      </c>
      <c r="G107" s="8">
        <f>F107*[105]Main!$C$4</f>
        <v>3025.9113387900002</v>
      </c>
      <c r="H107" s="10">
        <f>G107-[105]Main!$C$7+[105]Main!$C$8</f>
        <v>2315.4403387900002</v>
      </c>
      <c r="J107" s="1">
        <f>IF(ISNUMBER([105]Main!$C$11),[105]Main!$C$11,"")</f>
        <v>4.444682782866356</v>
      </c>
      <c r="K107" s="11">
        <f t="shared" si="1"/>
        <v>-0.76520429039269122</v>
      </c>
      <c r="L107" s="12" t="str">
        <f>[105]Main!$C$15&amp;" ("&amp;[105]Main!$C$14&amp;")"</f>
        <v>Net cash (pre-revenue)</v>
      </c>
      <c r="M107" s="13">
        <v>46331</v>
      </c>
      <c r="N107" s="17" t="s">
        <v>63</v>
      </c>
    </row>
    <row r="108" spans="2:14" x14ac:dyDescent="0.2">
      <c r="B108" s="3" t="s">
        <v>263</v>
      </c>
      <c r="C108" t="s">
        <v>264</v>
      </c>
      <c r="D108" t="s">
        <v>22</v>
      </c>
      <c r="E108" s="6" t="s">
        <v>33</v>
      </c>
      <c r="F108" s="1">
        <v>27.08</v>
      </c>
      <c r="G108" s="8">
        <f>F108*[106]Main!$C$4</f>
        <v>3302.0986961600001</v>
      </c>
      <c r="H108" s="10">
        <f>G108-[106]Main!$C$7+[106]Main!$C$8</f>
        <v>2187.8116961599999</v>
      </c>
      <c r="J108" s="1">
        <f>IF(ISNUMBER([106]Main!$C$11),[106]Main!$C$11,"")</f>
        <v>9.1380951135985971</v>
      </c>
      <c r="K108" s="11">
        <f t="shared" si="1"/>
        <v>-0.66255187911378888</v>
      </c>
      <c r="L108" s="12" t="str">
        <f>[106]Main!$C$15&amp;" ("&amp;[106]Main!$C$14&amp;")"</f>
        <v>Net cash (pre-revenue)</v>
      </c>
      <c r="M108" s="13">
        <v>46338</v>
      </c>
      <c r="N108" s="17" t="s">
        <v>190</v>
      </c>
    </row>
    <row r="109" spans="2:14" x14ac:dyDescent="0.2">
      <c r="B109" s="3" t="s">
        <v>265</v>
      </c>
      <c r="C109" t="s">
        <v>266</v>
      </c>
      <c r="D109" t="s">
        <v>22</v>
      </c>
      <c r="E109" s="6" t="s">
        <v>33</v>
      </c>
      <c r="F109" s="1">
        <v>60</v>
      </c>
      <c r="G109" s="8">
        <f>F109*[107]Main!$C$4</f>
        <v>2935.9144799999999</v>
      </c>
      <c r="H109" s="10">
        <f>G109-[107]Main!$C$7+[107]Main!$C$8</f>
        <v>2935.1054800000002</v>
      </c>
      <c r="J109" s="1">
        <f>IF(ISNUMBER([107]Main!$C$11),[107]Main!$C$11,"")</f>
        <v>1.6533179127206098E-2</v>
      </c>
      <c r="K109" s="11">
        <f t="shared" si="1"/>
        <v>-0.99972444701454655</v>
      </c>
      <c r="L109" s="12" t="str">
        <f>[107]Main!$C$15&amp;" ("&amp;[107]Main!$C$14&amp;")"</f>
        <v>Net cash (pre-revenue)</v>
      </c>
      <c r="M109" s="13">
        <v>46337</v>
      </c>
      <c r="N109" s="17" t="s">
        <v>104</v>
      </c>
    </row>
    <row r="110" spans="2:14" x14ac:dyDescent="0.2">
      <c r="B110" s="3" t="s">
        <v>267</v>
      </c>
      <c r="C110" t="s">
        <v>268</v>
      </c>
      <c r="D110" t="s">
        <v>15</v>
      </c>
      <c r="E110" s="6" t="s">
        <v>33</v>
      </c>
      <c r="F110" s="1">
        <v>41.25</v>
      </c>
      <c r="G110" s="8">
        <f>F110*[108]Main!$C$4</f>
        <v>3022.4188912499999</v>
      </c>
      <c r="H110" s="10">
        <f>G110-[108]Main!$C$7+[108]Main!$C$8</f>
        <v>2127.2638912499997</v>
      </c>
      <c r="J110" s="1">
        <f>IF(ISNUMBER([108]Main!$C$11),[108]Main!$C$11,"")</f>
        <v>12.217083428408776</v>
      </c>
      <c r="K110" s="11">
        <f t="shared" si="1"/>
        <v>-0.70382828052342361</v>
      </c>
      <c r="L110" s="12" t="str">
        <f>[108]Main!$C$15&amp;" ("&amp;[108]Main!$C$14&amp;")"</f>
        <v>Net cash (pre-revenue)</v>
      </c>
      <c r="M110" s="13">
        <v>46337</v>
      </c>
      <c r="N110" s="17" t="s">
        <v>104</v>
      </c>
    </row>
    <row r="111" spans="2:14" x14ac:dyDescent="0.2">
      <c r="B111" s="3" t="s">
        <v>269</v>
      </c>
      <c r="C111" t="s">
        <v>270</v>
      </c>
      <c r="D111" t="s">
        <v>22</v>
      </c>
      <c r="E111" s="6" t="s">
        <v>33</v>
      </c>
      <c r="F111" s="1">
        <v>16.27</v>
      </c>
      <c r="G111" s="8">
        <f>F111*[109]Main!$C$4</f>
        <v>3038.36443237</v>
      </c>
      <c r="H111" s="10">
        <f>G111-[109]Main!$C$7+[109]Main!$C$8</f>
        <v>2339.2174323700001</v>
      </c>
      <c r="J111" s="1">
        <f>IF(ISNUMBER([109]Main!$C$11),[109]Main!$C$11,"")</f>
        <v>3.7438305849068678</v>
      </c>
      <c r="K111" s="11">
        <f t="shared" si="1"/>
        <v>-0.76989363338003269</v>
      </c>
      <c r="L111" s="12" t="str">
        <f>[109]Main!$C$15&amp;" ("&amp;[109]Main!$C$14&amp;")"</f>
        <v>Net cash (pre-revenue)</v>
      </c>
      <c r="M111" s="13">
        <v>46330</v>
      </c>
      <c r="N111" s="17" t="s">
        <v>40</v>
      </c>
    </row>
    <row r="112" spans="2:14" x14ac:dyDescent="0.2">
      <c r="B112" s="3" t="s">
        <v>271</v>
      </c>
      <c r="C112" t="s">
        <v>272</v>
      </c>
      <c r="D112" t="s">
        <v>22</v>
      </c>
      <c r="E112" s="6" t="s">
        <v>33</v>
      </c>
      <c r="F112" s="1">
        <v>25.08</v>
      </c>
      <c r="G112" s="8">
        <f>F112*[110]Main!$C$4</f>
        <v>2815.0930381200001</v>
      </c>
      <c r="H112" s="10">
        <f>G112-[110]Main!$C$7+[110]Main!$C$8</f>
        <v>2435.67503812</v>
      </c>
      <c r="J112" s="1">
        <f>IF(ISNUMBER([110]Main!$C$11),[110]Main!$C$11,"")</f>
        <v>1.6158726427105166</v>
      </c>
      <c r="K112" s="11">
        <f t="shared" si="1"/>
        <v>-0.93557126623961262</v>
      </c>
      <c r="L112" s="12" t="str">
        <f>[110]Main!$C$15&amp;" ("&amp;[110]Main!$C$14&amp;")"</f>
        <v>DCF (Base)</v>
      </c>
      <c r="M112" s="13">
        <v>46331</v>
      </c>
      <c r="N112" s="17" t="s">
        <v>63</v>
      </c>
    </row>
    <row r="113" spans="2:14" x14ac:dyDescent="0.2">
      <c r="B113" s="3" t="s">
        <v>273</v>
      </c>
      <c r="C113" t="s">
        <v>274</v>
      </c>
      <c r="D113" t="s">
        <v>22</v>
      </c>
      <c r="E113" s="6" t="s">
        <v>33</v>
      </c>
      <c r="F113" s="1">
        <v>26.1</v>
      </c>
      <c r="G113" s="8">
        <f>F113*[111]Main!$C$4</f>
        <v>2708.7019263000002</v>
      </c>
      <c r="H113" s="10">
        <f>G113-[111]Main!$C$7+[111]Main!$C$8</f>
        <v>2265.1729263000002</v>
      </c>
      <c r="J113" s="1">
        <f>IF(ISNUMBER([111]Main!$C$11),[111]Main!$C$11,"")</f>
        <v>4.2736732261318213</v>
      </c>
      <c r="K113" s="11">
        <f t="shared" si="1"/>
        <v>-0.83625773079954713</v>
      </c>
      <c r="L113" s="12" t="str">
        <f>[111]Main!$C$15&amp;" ("&amp;[111]Main!$C$14&amp;")"</f>
        <v>Net cash (revenue jump)</v>
      </c>
      <c r="M113" s="13"/>
      <c r="N113" s="17"/>
    </row>
    <row r="114" spans="2:14" x14ac:dyDescent="0.2">
      <c r="B114" s="3" t="s">
        <v>275</v>
      </c>
      <c r="C114" t="s">
        <v>276</v>
      </c>
      <c r="D114" t="s">
        <v>15</v>
      </c>
      <c r="E114" s="6" t="s">
        <v>33</v>
      </c>
      <c r="F114" s="1">
        <v>14.74</v>
      </c>
      <c r="G114" s="8">
        <f>F114*[112]Main!$C$4</f>
        <v>2571.6218237600001</v>
      </c>
      <c r="H114" s="10">
        <f>G114-[112]Main!$C$7+[112]Main!$C$8</f>
        <v>1297.5068237600003</v>
      </c>
      <c r="J114" s="1">
        <f>IF(ISNUMBER([112]Main!$C$11),[112]Main!$C$11,"")</f>
        <v>9.4955620915593606</v>
      </c>
      <c r="K114" s="11">
        <f t="shared" si="1"/>
        <v>-0.35579633028769608</v>
      </c>
      <c r="L114" s="12" t="str">
        <f>[112]Main!$C$15&amp;" ("&amp;[112]Main!$C$14&amp;")"</f>
        <v>DCF (Base)</v>
      </c>
      <c r="M114" s="13"/>
      <c r="N114" s="17"/>
    </row>
    <row r="115" spans="2:14" x14ac:dyDescent="0.2">
      <c r="B115" s="3" t="s">
        <v>277</v>
      </c>
      <c r="C115" t="s">
        <v>278</v>
      </c>
      <c r="D115" t="s">
        <v>22</v>
      </c>
      <c r="E115" s="6" t="s">
        <v>33</v>
      </c>
      <c r="F115" s="1">
        <v>24.93</v>
      </c>
      <c r="G115" s="8">
        <f>F115*[113]Main!$C$4</f>
        <v>2574.9614884500002</v>
      </c>
      <c r="H115" s="10">
        <f>G115-[113]Main!$C$7+[113]Main!$C$8</f>
        <v>1475.2194884500002</v>
      </c>
      <c r="J115" s="1">
        <f>IF(ISNUMBER([113]Main!$C$11),[113]Main!$C$11,"")</f>
        <v>2.0615725162469447</v>
      </c>
      <c r="K115" s="11">
        <f t="shared" si="1"/>
        <v>-0.91730555490385302</v>
      </c>
      <c r="L115" s="12" t="str">
        <f>[113]Main!$C$15&amp;" ("&amp;[113]Main!$C$14&amp;")"</f>
        <v>DCF (Base)</v>
      </c>
      <c r="M115" s="13">
        <v>46329</v>
      </c>
      <c r="N115" s="17" t="s">
        <v>134</v>
      </c>
    </row>
    <row r="116" spans="2:14" x14ac:dyDescent="0.2">
      <c r="B116" s="3" t="s">
        <v>279</v>
      </c>
      <c r="C116" t="s">
        <v>280</v>
      </c>
      <c r="D116" t="s">
        <v>22</v>
      </c>
      <c r="E116" s="6" t="s">
        <v>33</v>
      </c>
      <c r="F116" s="1">
        <v>11.23</v>
      </c>
      <c r="G116" s="8">
        <f>F116*[114]Main!$C$4</f>
        <v>2515.3479563999999</v>
      </c>
      <c r="H116" s="10">
        <f>G116-[114]Main!$C$7+[114]Main!$C$8</f>
        <v>2575.9169563999999</v>
      </c>
      <c r="J116" s="1">
        <f>IF(ISNUMBER([114]Main!$C$11),[114]Main!$C$11,"")</f>
        <v>7.9075324605976407</v>
      </c>
      <c r="K116" s="11">
        <f t="shared" si="1"/>
        <v>-0.29585641490671055</v>
      </c>
      <c r="L116" s="12" t="str">
        <f>[114]Main!$C$15&amp;" ("&amp;[114]Main!$C$14&amp;")"</f>
        <v>DCF (Base)</v>
      </c>
      <c r="M116" s="13">
        <v>46330</v>
      </c>
      <c r="N116" s="17" t="s">
        <v>40</v>
      </c>
    </row>
    <row r="117" spans="2:14" x14ac:dyDescent="0.2">
      <c r="B117" s="3" t="s">
        <v>281</v>
      </c>
      <c r="C117" t="s">
        <v>282</v>
      </c>
      <c r="D117" t="s">
        <v>15</v>
      </c>
      <c r="E117" s="6" t="s">
        <v>33</v>
      </c>
      <c r="F117" s="1">
        <v>53.5</v>
      </c>
      <c r="G117" s="8">
        <f>F117*[115]Main!$C$4</f>
        <v>2576.5651360000002</v>
      </c>
      <c r="H117" s="10">
        <f>G117-[115]Main!$C$7+[115]Main!$C$8</f>
        <v>2157.984136</v>
      </c>
      <c r="J117" s="1">
        <f>IF(ISNUMBER([115]Main!$C$11),[115]Main!$C$11,"")</f>
        <v>8.6914486216971003</v>
      </c>
      <c r="K117" s="11">
        <f t="shared" si="1"/>
        <v>-0.83754301641687667</v>
      </c>
      <c r="L117" s="12" t="str">
        <f>[115]Main!$C$15&amp;" ("&amp;[115]Main!$C$14&amp;")"</f>
        <v>Net cash (pre-revenue)</v>
      </c>
      <c r="M117" s="13">
        <v>46331</v>
      </c>
      <c r="N117" s="17" t="s">
        <v>63</v>
      </c>
    </row>
    <row r="118" spans="2:14" x14ac:dyDescent="0.2">
      <c r="B118" s="3" t="s">
        <v>283</v>
      </c>
      <c r="C118" t="s">
        <v>284</v>
      </c>
      <c r="D118" t="s">
        <v>22</v>
      </c>
      <c r="E118" s="6" t="s">
        <v>33</v>
      </c>
      <c r="F118" s="1">
        <v>21.5</v>
      </c>
      <c r="G118" s="8">
        <f>F118*[116]Main!$C$4</f>
        <v>2570.0491335000002</v>
      </c>
      <c r="H118" s="10">
        <f>G118-[116]Main!$C$7+[116]Main!$C$8</f>
        <v>1936.1951335000001</v>
      </c>
      <c r="J118" s="1">
        <f>IF(ISNUMBER([116]Main!$C$11),[116]Main!$C$11,"")</f>
        <v>5.302568274809988</v>
      </c>
      <c r="K118" s="11">
        <f t="shared" si="1"/>
        <v>-0.75336891745069823</v>
      </c>
      <c r="L118" s="12" t="str">
        <f>[116]Main!$C$15&amp;" ("&amp;[116]Main!$C$14&amp;")"</f>
        <v>Net cash (small revenue)</v>
      </c>
      <c r="M118" s="13">
        <v>46330</v>
      </c>
      <c r="N118" s="17" t="s">
        <v>40</v>
      </c>
    </row>
    <row r="119" spans="2:14" x14ac:dyDescent="0.2">
      <c r="B119" s="3" t="s">
        <v>285</v>
      </c>
      <c r="C119" t="s">
        <v>286</v>
      </c>
      <c r="D119" t="s">
        <v>15</v>
      </c>
      <c r="E119" s="6" t="s">
        <v>16</v>
      </c>
      <c r="F119" s="1">
        <v>49.35</v>
      </c>
      <c r="G119" s="8">
        <f>F119*[117]Main!$C$4</f>
        <v>2337.9326606999998</v>
      </c>
      <c r="H119" s="10">
        <f>G119-[117]Main!$C$7+[117]Main!$C$8</f>
        <v>4270.1296606999995</v>
      </c>
      <c r="J119" s="1">
        <f>IF(ISNUMBER([117]Main!$C$11),[117]Main!$C$11,"")</f>
        <v>21.35821045832537</v>
      </c>
      <c r="K119" s="11">
        <f t="shared" si="1"/>
        <v>-0.5672095145222823</v>
      </c>
      <c r="L119" s="12" t="str">
        <f>[117]Main!$C$15&amp;" ("&amp;[117]Main!$C$14&amp;")"</f>
        <v>DCF (Base)</v>
      </c>
      <c r="M119" s="13">
        <v>46331</v>
      </c>
      <c r="N119" s="17" t="s">
        <v>82</v>
      </c>
    </row>
    <row r="120" spans="2:14" x14ac:dyDescent="0.2">
      <c r="B120" s="3" t="s">
        <v>287</v>
      </c>
      <c r="C120" t="s">
        <v>288</v>
      </c>
      <c r="D120" t="s">
        <v>15</v>
      </c>
      <c r="E120" s="6" t="s">
        <v>16</v>
      </c>
      <c r="F120" s="1">
        <v>6.415</v>
      </c>
      <c r="G120" s="8">
        <f>F120*[118]Main!$C$4</f>
        <v>2399.1494488150001</v>
      </c>
      <c r="H120" s="10">
        <f>G120-[118]Main!$C$7+[118]Main!$C$8</f>
        <v>21315.149448814998</v>
      </c>
      <c r="J120" s="1">
        <f>IF(ISNUMBER([118]Main!$C$11),[118]Main!$C$11,"")</f>
        <v>10.708239624250202</v>
      </c>
      <c r="K120" s="11">
        <f t="shared" si="1"/>
        <v>0.66925013628218277</v>
      </c>
      <c r="L120" s="12" t="str">
        <f>[118]Main!$C$15&amp;" ("&amp;[118]Main!$C$14&amp;")"</f>
        <v>DCF (Base)</v>
      </c>
      <c r="M120" s="13">
        <v>46323</v>
      </c>
      <c r="N120" s="17" t="s">
        <v>289</v>
      </c>
    </row>
    <row r="121" spans="2:14" x14ac:dyDescent="0.2">
      <c r="B121" s="3" t="s">
        <v>290</v>
      </c>
      <c r="C121" t="s">
        <v>291</v>
      </c>
      <c r="D121" t="s">
        <v>15</v>
      </c>
      <c r="E121" s="6" t="s">
        <v>16</v>
      </c>
      <c r="F121" s="1">
        <v>16.170000000000002</v>
      </c>
      <c r="G121" s="8">
        <f>F121*[119]Main!$C$4</f>
        <v>2243.8986916500003</v>
      </c>
      <c r="H121" s="10">
        <f>G121-[119]Main!$C$7+[119]Main!$C$8</f>
        <v>5138.9986916500002</v>
      </c>
      <c r="J121" s="1">
        <f>IF(ISNUMBER([119]Main!$C$11),[119]Main!$C$11,"")</f>
        <v>13.749304210124896</v>
      </c>
      <c r="K121" s="11">
        <f t="shared" si="1"/>
        <v>-0.14970289362245548</v>
      </c>
      <c r="L121" s="12" t="str">
        <f>[119]Main!$C$15&amp;" ("&amp;[119]Main!$C$14&amp;")"</f>
        <v>DCF (Base)</v>
      </c>
      <c r="M121" s="13">
        <v>46330</v>
      </c>
      <c r="N121" s="17" t="s">
        <v>40</v>
      </c>
    </row>
    <row r="122" spans="2:14" x14ac:dyDescent="0.2">
      <c r="B122" s="3" t="s">
        <v>292</v>
      </c>
      <c r="C122" t="s">
        <v>293</v>
      </c>
      <c r="D122" t="s">
        <v>22</v>
      </c>
      <c r="E122" s="6" t="s">
        <v>33</v>
      </c>
      <c r="F122" s="1">
        <v>6.83</v>
      </c>
      <c r="G122" s="8">
        <f>F122*[120]Main!$C$4</f>
        <v>2445.3807370100003</v>
      </c>
      <c r="H122" s="10">
        <f>G122-[120]Main!$C$7+[120]Main!$C$8</f>
        <v>2500.5627370100005</v>
      </c>
      <c r="J122" s="1">
        <f>IF(ISNUMBER([120]Main!$C$11),[120]Main!$C$11,"")</f>
        <v>-0.15412449043040724</v>
      </c>
      <c r="K122" s="11">
        <f t="shared" si="1"/>
        <v>-1.0225658111903964</v>
      </c>
      <c r="L122" s="12" t="str">
        <f>[120]Main!$C$15&amp;" ("&amp;[120]Main!$C$14&amp;")"</f>
        <v>Net cash (revenue jump)</v>
      </c>
      <c r="M122" s="13">
        <v>46338</v>
      </c>
      <c r="N122" s="17" t="s">
        <v>190</v>
      </c>
    </row>
    <row r="123" spans="2:14" x14ac:dyDescent="0.2">
      <c r="B123" s="3" t="s">
        <v>294</v>
      </c>
      <c r="C123" t="s">
        <v>295</v>
      </c>
      <c r="D123" t="s">
        <v>15</v>
      </c>
      <c r="E123" s="6" t="s">
        <v>33</v>
      </c>
      <c r="F123" s="1">
        <v>38.700000000000003</v>
      </c>
      <c r="G123" s="8">
        <f>F123*[121]Main!$C$4</f>
        <v>2253.7484091000001</v>
      </c>
      <c r="H123" s="10">
        <f>G123-[121]Main!$C$7+[121]Main!$C$8</f>
        <v>1739.9184091</v>
      </c>
      <c r="J123" s="1">
        <f>IF(ISNUMBER([121]Main!$C$11),[121]Main!$C$11,"")</f>
        <v>89.024702177033234</v>
      </c>
      <c r="K123" s="11">
        <f t="shared" si="1"/>
        <v>1.300379901215329</v>
      </c>
      <c r="L123" s="12" t="str">
        <f>[121]Main!$C$15&amp;" ("&amp;[121]Main!$C$14&amp;")"</f>
        <v>DCF (Base)</v>
      </c>
      <c r="M123" s="13">
        <v>46329</v>
      </c>
      <c r="N123" s="17" t="s">
        <v>134</v>
      </c>
    </row>
    <row r="124" spans="2:14" x14ac:dyDescent="0.2">
      <c r="B124" s="3" t="s">
        <v>296</v>
      </c>
      <c r="C124" t="s">
        <v>297</v>
      </c>
      <c r="D124" t="s">
        <v>15</v>
      </c>
      <c r="E124" s="6" t="s">
        <v>33</v>
      </c>
      <c r="F124" s="1">
        <v>41.23</v>
      </c>
      <c r="G124" s="8">
        <f>F124*[122]Main!$C$4</f>
        <v>2396.5767459899998</v>
      </c>
      <c r="H124" s="10">
        <f>G124-[122]Main!$C$7+[122]Main!$C$8</f>
        <v>2024.5097459899998</v>
      </c>
      <c r="J124" s="1">
        <f>IF(ISNUMBER([122]Main!$C$11),[122]Main!$C$11,"")</f>
        <v>22.845623795053047</v>
      </c>
      <c r="K124" s="11">
        <f t="shared" si="1"/>
        <v>-0.44589804038192948</v>
      </c>
      <c r="L124" s="12" t="str">
        <f>[122]Main!$C$15&amp;" ("&amp;[122]Main!$C$14&amp;")"</f>
        <v>DCF (Base)</v>
      </c>
      <c r="M124" s="13">
        <v>46329</v>
      </c>
      <c r="N124" s="17" t="s">
        <v>134</v>
      </c>
    </row>
    <row r="125" spans="2:14" x14ac:dyDescent="0.2">
      <c r="B125" s="3" t="s">
        <v>298</v>
      </c>
      <c r="C125" t="s">
        <v>299</v>
      </c>
      <c r="D125" t="s">
        <v>22</v>
      </c>
      <c r="E125" s="6" t="s">
        <v>33</v>
      </c>
      <c r="F125" s="1">
        <v>16.739999999999998</v>
      </c>
      <c r="G125" s="8">
        <f>F125*[123]Main!$C$4</f>
        <v>2227.2765523199996</v>
      </c>
      <c r="H125" s="10">
        <f>G125-[123]Main!$C$7+[123]Main!$C$8</f>
        <v>1784.2535523199995</v>
      </c>
      <c r="J125" s="1">
        <f>IF(ISNUMBER([123]Main!$C$11),[123]Main!$C$11,"")</f>
        <v>14.629782246270619</v>
      </c>
      <c r="K125" s="11">
        <f t="shared" si="1"/>
        <v>-0.12605840822756154</v>
      </c>
      <c r="L125" s="12" t="str">
        <f>[123]Main!$C$15&amp;" ("&amp;[123]Main!$C$14&amp;")"</f>
        <v>DCF (Base)</v>
      </c>
      <c r="M125" s="13">
        <v>46329</v>
      </c>
      <c r="N125" s="17" t="s">
        <v>134</v>
      </c>
    </row>
    <row r="126" spans="2:14" x14ac:dyDescent="0.2">
      <c r="B126" s="3" t="s">
        <v>300</v>
      </c>
      <c r="C126" t="s">
        <v>301</v>
      </c>
      <c r="D126" t="s">
        <v>22</v>
      </c>
      <c r="E126" s="6" t="s">
        <v>33</v>
      </c>
      <c r="F126" s="1">
        <v>79.48</v>
      </c>
      <c r="G126" s="8">
        <f>F126*[124]Main!$C$4</f>
        <v>3051.46324112</v>
      </c>
      <c r="H126" s="10">
        <f>G126-[124]Main!$C$7+[124]Main!$C$8</f>
        <v>2393.0572411200001</v>
      </c>
      <c r="J126" s="1">
        <f>IF(ISNUMBER([124]Main!$C$11),[124]Main!$C$11,"")</f>
        <v>17.149185405488588</v>
      </c>
      <c r="K126" s="11">
        <f t="shared" si="1"/>
        <v>-0.7842326949485583</v>
      </c>
      <c r="L126" s="12" t="str">
        <f>[124]Main!$C$15&amp;" ("&amp;[124]Main!$C$14&amp;")"</f>
        <v>Net cash (pre-revenue)</v>
      </c>
      <c r="M126" s="13">
        <v>46331</v>
      </c>
      <c r="N126" s="17" t="s">
        <v>63</v>
      </c>
    </row>
    <row r="127" spans="2:14" x14ac:dyDescent="0.2">
      <c r="B127" s="3" t="s">
        <v>302</v>
      </c>
      <c r="C127" t="s">
        <v>303</v>
      </c>
      <c r="D127" t="s">
        <v>22</v>
      </c>
      <c r="E127" s="6" t="s">
        <v>33</v>
      </c>
      <c r="F127" s="1">
        <v>30.29</v>
      </c>
      <c r="G127" s="8">
        <f>F127*[125]Main!$C$4</f>
        <v>2378.6595242799999</v>
      </c>
      <c r="H127" s="10">
        <f>G127-[125]Main!$C$7+[125]Main!$C$8</f>
        <v>1661.0725242799999</v>
      </c>
      <c r="J127" s="1">
        <f>IF(ISNUMBER([125]Main!$C$11),[125]Main!$C$11,"")</f>
        <v>9.1377979942628453</v>
      </c>
      <c r="K127" s="11">
        <f t="shared" si="1"/>
        <v>-0.69832294505570003</v>
      </c>
      <c r="L127" s="12" t="str">
        <f>[125]Main!$C$15&amp;" ("&amp;[125]Main!$C$14&amp;")"</f>
        <v>Net cash (pre-revenue)</v>
      </c>
      <c r="M127" s="13">
        <v>46335</v>
      </c>
      <c r="N127" s="17" t="s">
        <v>87</v>
      </c>
    </row>
    <row r="128" spans="2:14" x14ac:dyDescent="0.2">
      <c r="B128" s="3" t="s">
        <v>304</v>
      </c>
      <c r="C128" t="s">
        <v>305</v>
      </c>
      <c r="D128" t="s">
        <v>22</v>
      </c>
      <c r="E128" s="6" t="s">
        <v>33</v>
      </c>
      <c r="F128" s="1">
        <v>22.43</v>
      </c>
      <c r="G128" s="8">
        <f>F128*[126]Main!$C$4</f>
        <v>2541.1455936699999</v>
      </c>
      <c r="H128" s="10">
        <f>G128-[126]Main!$C$7+[126]Main!$C$8</f>
        <v>1915.4165936699999</v>
      </c>
      <c r="J128" s="1">
        <f>IF(ISNUMBER([126]Main!$C$11),[126]Main!$C$11,"")</f>
        <v>5.5231394474057183</v>
      </c>
      <c r="K128" s="11">
        <f t="shared" si="1"/>
        <v>-0.75376105896541601</v>
      </c>
      <c r="L128" s="12" t="str">
        <f>[126]Main!$C$15&amp;" ("&amp;[126]Main!$C$14&amp;")"</f>
        <v>Net cash (revenue jump)</v>
      </c>
      <c r="M128" s="13">
        <v>46330</v>
      </c>
      <c r="N128" s="17" t="s">
        <v>40</v>
      </c>
    </row>
    <row r="129" spans="2:14" x14ac:dyDescent="0.2">
      <c r="B129" s="3" t="s">
        <v>306</v>
      </c>
      <c r="C129" t="s">
        <v>307</v>
      </c>
      <c r="D129" t="s">
        <v>22</v>
      </c>
      <c r="E129" s="6" t="s">
        <v>33</v>
      </c>
      <c r="F129" s="1">
        <v>40.58</v>
      </c>
      <c r="G129" s="8">
        <f>F129*[127]Main!$C$4</f>
        <v>2077.9643961199999</v>
      </c>
      <c r="H129" s="10">
        <f>G129-[127]Main!$C$7+[127]Main!$C$8</f>
        <v>1915.5063961199999</v>
      </c>
      <c r="J129" s="1">
        <f>IF(ISNUMBER([127]Main!$C$11),[127]Main!$C$11,"")</f>
        <v>20.363223827287637</v>
      </c>
      <c r="K129" s="11">
        <f t="shared" si="1"/>
        <v>-0.49819556857349334</v>
      </c>
      <c r="L129" s="12" t="str">
        <f>[127]Main!$C$15&amp;" ("&amp;[127]Main!$C$14&amp;")"</f>
        <v>DCF (Base)</v>
      </c>
      <c r="M129" s="13">
        <v>46331</v>
      </c>
      <c r="N129" s="17" t="s">
        <v>63</v>
      </c>
    </row>
    <row r="130" spans="2:14" x14ac:dyDescent="0.2">
      <c r="B130" s="3" t="s">
        <v>308</v>
      </c>
      <c r="C130" t="s">
        <v>309</v>
      </c>
      <c r="D130" t="s">
        <v>22</v>
      </c>
      <c r="E130" s="6" t="s">
        <v>33</v>
      </c>
      <c r="F130" s="1">
        <v>11.98</v>
      </c>
      <c r="G130" s="8">
        <f>F130*[128]Main!$C$4</f>
        <v>2419.3095938199999</v>
      </c>
      <c r="H130" s="10">
        <f>G130-[128]Main!$C$7+[128]Main!$C$8</f>
        <v>2280.9665938200001</v>
      </c>
      <c r="J130" s="1">
        <f>IF(ISNUMBER([128]Main!$C$11),[128]Main!$C$11,"")</f>
        <v>0.68505045581334933</v>
      </c>
      <c r="K130" s="11">
        <f t="shared" si="1"/>
        <v>-0.94281715727768367</v>
      </c>
      <c r="L130" s="12" t="str">
        <f>[128]Main!$C$15&amp;" ("&amp;[128]Main!$C$14&amp;")"</f>
        <v>Net cash (pre-revenue)</v>
      </c>
      <c r="M130" s="13">
        <v>46337</v>
      </c>
      <c r="N130" s="17" t="s">
        <v>104</v>
      </c>
    </row>
    <row r="131" spans="2:14" x14ac:dyDescent="0.2">
      <c r="B131" s="3" t="s">
        <v>310</v>
      </c>
      <c r="C131" t="s">
        <v>311</v>
      </c>
      <c r="D131" t="s">
        <v>22</v>
      </c>
      <c r="E131" s="6" t="s">
        <v>33</v>
      </c>
      <c r="F131" s="1">
        <v>30.06</v>
      </c>
      <c r="G131" s="8">
        <f>F131*[129]Main!$C$4</f>
        <v>2166.2238500999997</v>
      </c>
      <c r="H131" s="10">
        <f>G131-[129]Main!$C$7+[129]Main!$C$8</f>
        <v>1742.2908500999997</v>
      </c>
      <c r="J131" s="1">
        <f>IF(ISNUMBER([129]Main!$C$11),[129]Main!$C$11,"")</f>
        <v>5.8827835264632151</v>
      </c>
      <c r="K131" s="11">
        <f t="shared" ref="K131:K194" si="2">IFERROR(J131/F131-1,"")</f>
        <v>-0.80429861854746454</v>
      </c>
      <c r="L131" s="12" t="str">
        <f>[129]Main!$C$15&amp;" ("&amp;[129]Main!$C$14&amp;")"</f>
        <v>Net cash (pre-revenue)</v>
      </c>
      <c r="M131" s="13">
        <v>46330</v>
      </c>
      <c r="N131" s="17" t="s">
        <v>40</v>
      </c>
    </row>
    <row r="132" spans="2:14" x14ac:dyDescent="0.2">
      <c r="B132" s="3" t="s">
        <v>312</v>
      </c>
      <c r="C132" t="s">
        <v>313</v>
      </c>
      <c r="D132" t="s">
        <v>22</v>
      </c>
      <c r="E132" s="6" t="s">
        <v>33</v>
      </c>
      <c r="F132" s="1">
        <v>7.94</v>
      </c>
      <c r="G132" s="8">
        <f>F132*[130]Main!$C$4</f>
        <v>2028.9487337</v>
      </c>
      <c r="H132" s="10">
        <f>G132-[130]Main!$C$7+[130]Main!$C$8</f>
        <v>2071.7757337000003</v>
      </c>
      <c r="J132" s="1">
        <f>IF(ISNUMBER([130]Main!$C$11),[130]Main!$C$11,"")</f>
        <v>10.220888152556942</v>
      </c>
      <c r="K132" s="11">
        <f t="shared" si="2"/>
        <v>0.28726551039759962</v>
      </c>
      <c r="L132" s="12" t="str">
        <f>[130]Main!$C$15&amp;" ("&amp;[130]Main!$C$14&amp;")"</f>
        <v>DCF (Base)</v>
      </c>
      <c r="M132" s="13">
        <v>46328</v>
      </c>
      <c r="N132" s="17" t="s">
        <v>107</v>
      </c>
    </row>
    <row r="133" spans="2:14" x14ac:dyDescent="0.2">
      <c r="B133" s="3" t="s">
        <v>314</v>
      </c>
      <c r="C133" t="s">
        <v>315</v>
      </c>
      <c r="D133" t="s">
        <v>22</v>
      </c>
      <c r="E133" s="6" t="s">
        <v>33</v>
      </c>
      <c r="F133" s="1">
        <v>30.75</v>
      </c>
      <c r="G133" s="8">
        <f>F133*[131]Main!$C$4</f>
        <v>2026.3349332499999</v>
      </c>
      <c r="H133" s="10">
        <f>G133-[131]Main!$C$7+[131]Main!$C$8</f>
        <v>-1347.3757514965253</v>
      </c>
      <c r="J133" s="1">
        <f>IF(ISNUMBER([131]Main!$C$11),[131]Main!$C$11,"")</f>
        <v>51.196671317098833</v>
      </c>
      <c r="K133" s="11">
        <f t="shared" si="2"/>
        <v>0.66493240055605951</v>
      </c>
      <c r="L133" s="12" t="str">
        <f>[131]Main!$C$15&amp;" ("&amp;[131]Main!$C$14&amp;")"</f>
        <v>Net cash (revenue jump)</v>
      </c>
      <c r="M133" s="13"/>
      <c r="N133" s="17"/>
    </row>
    <row r="134" spans="2:14" x14ac:dyDescent="0.2">
      <c r="B134" s="3" t="s">
        <v>316</v>
      </c>
      <c r="C134" t="s">
        <v>317</v>
      </c>
      <c r="D134" t="s">
        <v>15</v>
      </c>
      <c r="E134" s="6" t="s">
        <v>16</v>
      </c>
      <c r="F134" s="1">
        <v>10.78</v>
      </c>
      <c r="G134" s="8">
        <f>F134*[132]Main!$C$4</f>
        <v>2073.8880392999999</v>
      </c>
      <c r="H134" s="10">
        <f>G134-[132]Main!$C$7+[132]Main!$C$8</f>
        <v>1842.0390392999998</v>
      </c>
      <c r="J134" s="1">
        <f>IF(ISNUMBER([132]Main!$C$11),[132]Main!$C$11,"")</f>
        <v>8.3781736853732109</v>
      </c>
      <c r="K134" s="11">
        <f t="shared" si="2"/>
        <v>-0.22280392529005455</v>
      </c>
      <c r="L134" s="12" t="str">
        <f>[132]Main!$C$15&amp;" ("&amp;[132]Main!$C$14&amp;")"</f>
        <v>DCF (Base)</v>
      </c>
      <c r="M134" s="13">
        <v>46331</v>
      </c>
      <c r="N134" s="17" t="s">
        <v>82</v>
      </c>
    </row>
    <row r="135" spans="2:14" x14ac:dyDescent="0.2">
      <c r="B135" s="3" t="s">
        <v>318</v>
      </c>
      <c r="C135" t="s">
        <v>319</v>
      </c>
      <c r="D135" t="s">
        <v>15</v>
      </c>
      <c r="E135" s="6" t="s">
        <v>33</v>
      </c>
      <c r="F135" s="1">
        <v>11.13</v>
      </c>
      <c r="G135" s="8">
        <f>F135*[133]Main!$C$4</f>
        <v>2029.2250057799999</v>
      </c>
      <c r="H135" s="10">
        <f>G135-[133]Main!$C$7+[133]Main!$C$8</f>
        <v>2160.06800578</v>
      </c>
      <c r="J135" s="1">
        <f>IF(ISNUMBER([133]Main!$C$11),[133]Main!$C$11,"")</f>
        <v>8.0399618899131902</v>
      </c>
      <c r="K135" s="11">
        <f t="shared" si="2"/>
        <v>-0.2776314564318787</v>
      </c>
      <c r="L135" s="12" t="str">
        <f>[133]Main!$C$15&amp;" ("&amp;[133]Main!$C$14&amp;")"</f>
        <v>DCF (Base)</v>
      </c>
      <c r="M135" s="13">
        <v>46331</v>
      </c>
      <c r="N135" s="17" t="s">
        <v>63</v>
      </c>
    </row>
    <row r="136" spans="2:14" x14ac:dyDescent="0.2">
      <c r="B136" s="3" t="s">
        <v>320</v>
      </c>
      <c r="C136" t="s">
        <v>321</v>
      </c>
      <c r="D136" t="s">
        <v>22</v>
      </c>
      <c r="E136" s="6" t="s">
        <v>33</v>
      </c>
      <c r="F136" s="1">
        <v>17.920000000000002</v>
      </c>
      <c r="G136" s="8">
        <f>F136*[134]Main!$C$4</f>
        <v>2035.3111116800003</v>
      </c>
      <c r="H136" s="10">
        <f>G136-[134]Main!$C$7+[134]Main!$C$8</f>
        <v>1515.3151116800004</v>
      </c>
      <c r="J136" s="1">
        <f>IF(ISNUMBER([134]Main!$C$11),[134]Main!$C$11,"")</f>
        <v>4.578331178228769</v>
      </c>
      <c r="K136" s="11">
        <f t="shared" si="2"/>
        <v>-0.74451276907205532</v>
      </c>
      <c r="L136" s="12" t="str">
        <f>[134]Main!$C$15&amp;" ("&amp;[134]Main!$C$14&amp;")"</f>
        <v>Net cash (pre-revenue)</v>
      </c>
      <c r="M136" s="13">
        <v>46331</v>
      </c>
      <c r="N136" s="17" t="s">
        <v>63</v>
      </c>
    </row>
    <row r="137" spans="2:14" x14ac:dyDescent="0.2">
      <c r="B137" s="3" t="s">
        <v>322</v>
      </c>
      <c r="C137" t="s">
        <v>323</v>
      </c>
      <c r="D137" t="s">
        <v>22</v>
      </c>
      <c r="E137" s="6" t="s">
        <v>33</v>
      </c>
      <c r="F137" s="1">
        <v>36.64</v>
      </c>
      <c r="G137" s="8">
        <f>F137*[135]Main!$C$4</f>
        <v>2187.4769564799999</v>
      </c>
      <c r="H137" s="10">
        <f>G137-[135]Main!$C$7+[135]Main!$C$8</f>
        <v>1222.6499564799999</v>
      </c>
      <c r="J137" s="1">
        <f>[135]Main!$C$11</f>
        <v>34.937731338792659</v>
      </c>
      <c r="K137" s="11">
        <f t="shared" si="2"/>
        <v>-4.6459297522034482E-2</v>
      </c>
      <c r="L137" s="12" t="str">
        <f>"rNPV ("&amp;[135]Main!$C$14&amp;")"</f>
        <v>rNPV (Base)</v>
      </c>
      <c r="M137" s="13">
        <v>46327</v>
      </c>
      <c r="N137" s="18" t="s">
        <v>324</v>
      </c>
    </row>
    <row r="138" spans="2:14" x14ac:dyDescent="0.2">
      <c r="B138" s="3" t="s">
        <v>325</v>
      </c>
      <c r="C138" t="s">
        <v>326</v>
      </c>
      <c r="D138" t="s">
        <v>15</v>
      </c>
      <c r="E138" s="6" t="s">
        <v>33</v>
      </c>
      <c r="F138" s="1">
        <v>8.9700000000000006</v>
      </c>
      <c r="G138" s="8">
        <f>F138*[136]Main!$C$4</f>
        <v>1799.59152126</v>
      </c>
      <c r="H138" s="10">
        <f>G138-[136]Main!$C$7+[136]Main!$C$8</f>
        <v>1791.3904162599999</v>
      </c>
      <c r="J138" s="1">
        <f>IF(ISNUMBER([136]Main!$C$11),[136]Main!$C$11,"")</f>
        <v>4.0878116495288649E-2</v>
      </c>
      <c r="K138" s="11">
        <f t="shared" si="2"/>
        <v>-0.99544279637733679</v>
      </c>
      <c r="L138" s="12" t="str">
        <f>[136]Main!$C$15&amp;" ("&amp;[136]Main!$C$14&amp;")"</f>
        <v>Net cash (small revenue)</v>
      </c>
      <c r="M138" s="13"/>
      <c r="N138" s="17"/>
    </row>
    <row r="139" spans="2:14" x14ac:dyDescent="0.2">
      <c r="B139" s="3" t="s">
        <v>327</v>
      </c>
      <c r="C139" t="s">
        <v>328</v>
      </c>
      <c r="D139" t="s">
        <v>22</v>
      </c>
      <c r="E139" s="6" t="s">
        <v>33</v>
      </c>
      <c r="F139" s="1">
        <v>11.43</v>
      </c>
      <c r="G139" s="8">
        <f>F139*[137]Main!$C$4</f>
        <v>1885.32964818</v>
      </c>
      <c r="H139" s="10">
        <f>G139-[137]Main!$C$7+[137]Main!$C$8</f>
        <v>1457.4796481800001</v>
      </c>
      <c r="J139" s="1">
        <f>IF(ISNUMBER([137]Main!$C$11),[137]Main!$C$11,"")</f>
        <v>3.1834965721368951</v>
      </c>
      <c r="K139" s="11">
        <f t="shared" si="2"/>
        <v>-0.72147886507988668</v>
      </c>
      <c r="L139" s="12" t="str">
        <f>[137]Main!$C$15&amp;" ("&amp;[137]Main!$C$14&amp;")"</f>
        <v>DCF (Base)</v>
      </c>
      <c r="M139" s="13">
        <v>46331</v>
      </c>
      <c r="N139" s="17" t="s">
        <v>63</v>
      </c>
    </row>
    <row r="140" spans="2:14" x14ac:dyDescent="0.2">
      <c r="B140" s="3" t="s">
        <v>329</v>
      </c>
      <c r="C140" t="s">
        <v>330</v>
      </c>
      <c r="D140" t="s">
        <v>22</v>
      </c>
      <c r="E140" s="6" t="s">
        <v>33</v>
      </c>
      <c r="F140" s="1">
        <v>3.66</v>
      </c>
      <c r="G140" s="8">
        <f>F140*[138]Main!$C$4</f>
        <v>1959.3523422000001</v>
      </c>
      <c r="H140" s="10">
        <f>G140-[138]Main!$C$7+[138]Main!$C$8</f>
        <v>1427.8653422</v>
      </c>
      <c r="J140" s="1">
        <f>IF(ISNUMBER([138]Main!$C$11),[138]Main!$C$11,"")</f>
        <v>0.54460310299961934</v>
      </c>
      <c r="K140" s="11">
        <f t="shared" si="2"/>
        <v>-0.85120133797824615</v>
      </c>
      <c r="L140" s="12" t="str">
        <f>[138]Main!$C$15&amp;" ("&amp;[138]Main!$C$14&amp;")"</f>
        <v>DCF (Base)</v>
      </c>
      <c r="M140" s="13">
        <v>46330</v>
      </c>
      <c r="N140" s="17" t="s">
        <v>40</v>
      </c>
    </row>
    <row r="141" spans="2:14" x14ac:dyDescent="0.2">
      <c r="B141" s="3" t="s">
        <v>331</v>
      </c>
      <c r="C141" t="s">
        <v>332</v>
      </c>
      <c r="D141" t="s">
        <v>15</v>
      </c>
      <c r="E141" s="6" t="s">
        <v>33</v>
      </c>
      <c r="F141" s="1">
        <v>30.9</v>
      </c>
      <c r="G141" s="8">
        <f>F141*[139]Main!$C$4</f>
        <v>2015.0072309999998</v>
      </c>
      <c r="H141" s="10">
        <f>G141-[139]Main!$C$7+[139]Main!$C$8</f>
        <v>1686.7801449706294</v>
      </c>
      <c r="J141" s="1">
        <f>IF(ISNUMBER([139]Main!$C$11),[139]Main!$C$11,"")</f>
        <v>5.0333402293917349</v>
      </c>
      <c r="K141" s="11">
        <f t="shared" si="2"/>
        <v>-0.83710873044039691</v>
      </c>
      <c r="L141" s="12" t="str">
        <f>[139]Main!$C$15&amp;" ("&amp;[139]Main!$C$14&amp;")"</f>
        <v>Net cash (pre-revenue)</v>
      </c>
      <c r="M141" s="13">
        <v>46337</v>
      </c>
      <c r="N141" s="17" t="s">
        <v>104</v>
      </c>
    </row>
    <row r="142" spans="2:14" x14ac:dyDescent="0.2">
      <c r="B142" s="3" t="s">
        <v>333</v>
      </c>
      <c r="C142" t="s">
        <v>334</v>
      </c>
      <c r="D142" t="s">
        <v>22</v>
      </c>
      <c r="E142" s="6" t="s">
        <v>33</v>
      </c>
      <c r="F142" s="1">
        <v>19.170000000000002</v>
      </c>
      <c r="G142" s="8">
        <f>F142*[140]Main!$C$4</f>
        <v>2024.8699925700002</v>
      </c>
      <c r="H142" s="10">
        <f>G142-[140]Main!$C$7+[140]Main!$C$8</f>
        <v>2084.0039925700003</v>
      </c>
      <c r="J142" s="1">
        <f>IF(ISNUMBER([140]Main!$C$11),[140]Main!$C$11,"")</f>
        <v>14.829629866902051</v>
      </c>
      <c r="K142" s="11">
        <f t="shared" si="2"/>
        <v>-0.22641471742816643</v>
      </c>
      <c r="L142" s="12" t="str">
        <f>[140]Main!$C$15&amp;" ("&amp;[140]Main!$C$14&amp;")"</f>
        <v>DCF (Base)</v>
      </c>
      <c r="M142" s="13">
        <v>46328</v>
      </c>
      <c r="N142" s="17" t="s">
        <v>107</v>
      </c>
    </row>
    <row r="143" spans="2:14" x14ac:dyDescent="0.2">
      <c r="B143" s="3" t="s">
        <v>335</v>
      </c>
      <c r="C143" t="s">
        <v>336</v>
      </c>
      <c r="D143" t="s">
        <v>22</v>
      </c>
      <c r="E143" s="6" t="s">
        <v>33</v>
      </c>
      <c r="F143" s="1">
        <v>21.58</v>
      </c>
      <c r="G143" s="8">
        <f>F143*[141]Main!$C$4</f>
        <v>1907.8205782999999</v>
      </c>
      <c r="H143" s="10">
        <f>G143-[141]Main!$C$7+[141]Main!$C$8</f>
        <v>1346.4205782999998</v>
      </c>
      <c r="J143" s="1">
        <f>[141]Main!$C$11</f>
        <v>23.020628641109727</v>
      </c>
      <c r="K143" s="11">
        <f t="shared" si="2"/>
        <v>6.6757582998597353E-2</v>
      </c>
      <c r="L143" s="12" t="str">
        <f>"rNPV ("&amp;[141]Main!$C$14&amp;")"</f>
        <v>rNPV (Base)</v>
      </c>
      <c r="M143" s="13">
        <v>46378</v>
      </c>
      <c r="N143" s="18" t="s">
        <v>337</v>
      </c>
    </row>
    <row r="144" spans="2:14" x14ac:dyDescent="0.2">
      <c r="B144" s="3" t="s">
        <v>338</v>
      </c>
      <c r="C144" t="s">
        <v>339</v>
      </c>
      <c r="D144" t="s">
        <v>22</v>
      </c>
      <c r="E144" s="6" t="s">
        <v>33</v>
      </c>
      <c r="F144" s="1">
        <v>9.15</v>
      </c>
      <c r="G144" s="8">
        <f>F144*[142]Main!$C$4</f>
        <v>1810.21401255</v>
      </c>
      <c r="H144" s="10">
        <f>G144-[142]Main!$C$7+[142]Main!$C$8</f>
        <v>1672.2970125500001</v>
      </c>
      <c r="J144" s="1">
        <f>IF(ISNUMBER([142]Main!$C$11),[142]Main!$C$11,"")</f>
        <v>0.69712229672906922</v>
      </c>
      <c r="K144" s="11">
        <f t="shared" si="2"/>
        <v>-0.92381177084928201</v>
      </c>
      <c r="L144" s="12" t="str">
        <f>[142]Main!$C$15&amp;" ("&amp;[142]Main!$C$14&amp;")"</f>
        <v>Net cash (small revenue)</v>
      </c>
      <c r="M144" s="13"/>
      <c r="N144" s="17"/>
    </row>
    <row r="145" spans="2:14" x14ac:dyDescent="0.2">
      <c r="B145" s="3" t="s">
        <v>340</v>
      </c>
      <c r="C145" t="s">
        <v>341</v>
      </c>
      <c r="D145" t="s">
        <v>22</v>
      </c>
      <c r="E145" s="6" t="s">
        <v>33</v>
      </c>
      <c r="F145" s="1">
        <v>26.91</v>
      </c>
      <c r="G145" s="8">
        <f>F145*[143]Main!$C$4</f>
        <v>1909.5131753100002</v>
      </c>
      <c r="H145" s="10">
        <f>G145-[143]Main!$C$7+[143]Main!$C$8</f>
        <v>1638.8141753100001</v>
      </c>
      <c r="J145" s="1">
        <f>IF(ISNUMBER([143]Main!$C$11),[143]Main!$C$11,"")</f>
        <v>3.8148519655107358</v>
      </c>
      <c r="K145" s="11">
        <f t="shared" si="2"/>
        <v>-0.85823664193568427</v>
      </c>
      <c r="L145" s="12" t="str">
        <f>[143]Main!$C$15&amp;" ("&amp;[143]Main!$C$14&amp;")"</f>
        <v>Net cash (small revenue)</v>
      </c>
      <c r="M145" s="13">
        <v>46331</v>
      </c>
      <c r="N145" s="17" t="s">
        <v>63</v>
      </c>
    </row>
    <row r="146" spans="2:14" x14ac:dyDescent="0.2">
      <c r="B146" s="3" t="s">
        <v>342</v>
      </c>
      <c r="C146" t="s">
        <v>343</v>
      </c>
      <c r="D146" t="s">
        <v>15</v>
      </c>
      <c r="E146" s="6" t="s">
        <v>33</v>
      </c>
      <c r="F146" s="1">
        <v>39.35</v>
      </c>
      <c r="G146" s="8">
        <f>F146*[144]Main!$C$4</f>
        <v>1836.73786445</v>
      </c>
      <c r="H146" s="10">
        <f>G146-[144]Main!$C$7+[144]Main!$C$8</f>
        <v>1464.4158644499998</v>
      </c>
      <c r="J146" s="1">
        <f>IF(ISNUMBER([144]Main!$C$11),[144]Main!$C$11,"")</f>
        <v>7.9765713897269253</v>
      </c>
      <c r="K146" s="11">
        <f t="shared" si="2"/>
        <v>-0.79729170547072614</v>
      </c>
      <c r="L146" s="12" t="str">
        <f>[144]Main!$C$15&amp;" ("&amp;[144]Main!$C$14&amp;")"</f>
        <v>Net cash (revenue jump)</v>
      </c>
      <c r="M146" s="13">
        <v>46335</v>
      </c>
      <c r="N146" s="17" t="s">
        <v>87</v>
      </c>
    </row>
    <row r="147" spans="2:14" x14ac:dyDescent="0.2">
      <c r="B147" s="3" t="s">
        <v>344</v>
      </c>
      <c r="C147" t="s">
        <v>345</v>
      </c>
      <c r="D147" t="s">
        <v>22</v>
      </c>
      <c r="E147" s="6" t="s">
        <v>33</v>
      </c>
      <c r="F147" s="1">
        <v>123.92</v>
      </c>
      <c r="G147" s="8">
        <f>F147*[145]Main!$C$4</f>
        <v>1785.4897954400001</v>
      </c>
      <c r="H147" s="10">
        <f>G147-[145]Main!$C$7+[145]Main!$C$8</f>
        <v>1534.90579544</v>
      </c>
      <c r="J147" s="1">
        <f>IF(ISNUMBER([145]Main!$C$11),[145]Main!$C$11,"")</f>
        <v>17.391513163113729</v>
      </c>
      <c r="K147" s="11">
        <f t="shared" si="2"/>
        <v>-0.8596553166307801</v>
      </c>
      <c r="L147" s="12" t="str">
        <f>[145]Main!$C$15&amp;" ("&amp;[145]Main!$C$14&amp;")"</f>
        <v>Net cash (pre-revenue)</v>
      </c>
      <c r="M147" s="13">
        <v>46336</v>
      </c>
      <c r="N147" s="17" t="s">
        <v>217</v>
      </c>
    </row>
    <row r="148" spans="2:14" x14ac:dyDescent="0.2">
      <c r="B148" s="3" t="s">
        <v>346</v>
      </c>
      <c r="C148" t="s">
        <v>347</v>
      </c>
      <c r="D148" t="s">
        <v>22</v>
      </c>
      <c r="E148" s="6" t="s">
        <v>33</v>
      </c>
      <c r="F148" s="1">
        <v>12.41</v>
      </c>
      <c r="G148" s="8">
        <f>F148*[146]Main!$C$4</f>
        <v>1609.4067050159997</v>
      </c>
      <c r="H148" s="10">
        <f>G148-[146]Main!$C$7+[146]Main!$C$8</f>
        <v>1606.3017050159997</v>
      </c>
      <c r="J148" s="1">
        <f>IF(ISNUMBER([146]Main!$C$11),[146]Main!$C$11,"")</f>
        <v>2.3942394349361681E-2</v>
      </c>
      <c r="K148" s="11">
        <f t="shared" si="2"/>
        <v>-0.9980707176189072</v>
      </c>
      <c r="L148" s="12" t="str">
        <f>[146]Main!$C$15&amp;" ("&amp;[146]Main!$C$14&amp;")"</f>
        <v>Net cash (revenue jump)</v>
      </c>
      <c r="M148" s="13"/>
      <c r="N148" s="17"/>
    </row>
    <row r="149" spans="2:14" x14ac:dyDescent="0.2">
      <c r="B149" s="3" t="s">
        <v>348</v>
      </c>
      <c r="C149" t="s">
        <v>349</v>
      </c>
      <c r="D149" t="s">
        <v>22</v>
      </c>
      <c r="E149" s="6" t="s">
        <v>33</v>
      </c>
      <c r="F149" s="1">
        <v>24.94</v>
      </c>
      <c r="G149" s="8">
        <f>F149*[147]Main!$C$4</f>
        <v>1854.3737211800001</v>
      </c>
      <c r="H149" s="10">
        <f>G149-[147]Main!$C$7+[147]Main!$C$8</f>
        <v>1581.45372118</v>
      </c>
      <c r="J149" s="1">
        <f>IF(ISNUMBER([147]Main!$C$11),[147]Main!$C$11,"")</f>
        <v>-0.27090436223807979</v>
      </c>
      <c r="K149" s="11">
        <f t="shared" si="2"/>
        <v>-1.0108622438748227</v>
      </c>
      <c r="L149" s="12" t="str">
        <f>[147]Main!$C$15&amp;" ("&amp;[147]Main!$C$14&amp;")"</f>
        <v>DCF (Base)</v>
      </c>
      <c r="M149" s="13">
        <v>46330</v>
      </c>
      <c r="N149" s="17" t="s">
        <v>40</v>
      </c>
    </row>
    <row r="150" spans="2:14" x14ac:dyDescent="0.2">
      <c r="B150" s="3" t="s">
        <v>350</v>
      </c>
      <c r="C150" t="s">
        <v>351</v>
      </c>
      <c r="D150" t="s">
        <v>15</v>
      </c>
      <c r="E150" s="6" t="s">
        <v>33</v>
      </c>
      <c r="F150" s="1">
        <v>12.83</v>
      </c>
      <c r="G150" s="8">
        <f>F150*[148]Main!$C$4</f>
        <v>1827.96504003</v>
      </c>
      <c r="H150" s="10">
        <f>G150-[148]Main!$C$7+[148]Main!$C$8</f>
        <v>1509.0950400299998</v>
      </c>
      <c r="J150" s="1">
        <f>IF(ISNUMBER([148]Main!$C$11),[148]Main!$C$11,"")</f>
        <v>2.2380636447690807</v>
      </c>
      <c r="K150" s="11">
        <f t="shared" si="2"/>
        <v>-0.82556012121831013</v>
      </c>
      <c r="L150" s="12" t="str">
        <f>[148]Main!$C$15&amp;" ("&amp;[148]Main!$C$14&amp;")"</f>
        <v>Net cash (pre-revenue)</v>
      </c>
      <c r="M150" s="13">
        <v>46338</v>
      </c>
      <c r="N150" s="17" t="s">
        <v>190</v>
      </c>
    </row>
    <row r="151" spans="2:14" x14ac:dyDescent="0.2">
      <c r="B151" s="3" t="s">
        <v>352</v>
      </c>
      <c r="C151" t="s">
        <v>353</v>
      </c>
      <c r="D151" t="s">
        <v>22</v>
      </c>
      <c r="E151" s="6" t="s">
        <v>33</v>
      </c>
      <c r="F151" s="1">
        <v>35.01</v>
      </c>
      <c r="G151" s="8">
        <f>F151*[149]Main!$C$4</f>
        <v>1711.3085456399999</v>
      </c>
      <c r="H151" s="10">
        <f>G151-[149]Main!$C$7+[149]Main!$C$8</f>
        <v>1790.7475456399998</v>
      </c>
      <c r="J151" s="1">
        <f>IF(ISNUMBER([149]Main!$C$11),[149]Main!$C$11,"")</f>
        <v>1.2256017952827458</v>
      </c>
      <c r="K151" s="11">
        <f t="shared" si="2"/>
        <v>-0.96499280790394903</v>
      </c>
      <c r="L151" s="12" t="str">
        <f>[149]Main!$C$15&amp;" ("&amp;[149]Main!$C$14&amp;")"</f>
        <v>DCF (Base)</v>
      </c>
      <c r="M151" s="13">
        <v>46331</v>
      </c>
      <c r="N151" s="17" t="s">
        <v>63</v>
      </c>
    </row>
    <row r="152" spans="2:14" x14ac:dyDescent="0.2">
      <c r="B152" s="3" t="s">
        <v>354</v>
      </c>
      <c r="C152" t="s">
        <v>355</v>
      </c>
      <c r="D152" t="s">
        <v>22</v>
      </c>
      <c r="E152" s="6" t="s">
        <v>33</v>
      </c>
      <c r="F152" s="1">
        <v>10.74</v>
      </c>
      <c r="G152" s="8">
        <f>F152*[150]Main!$C$4</f>
        <v>1817.3793889200001</v>
      </c>
      <c r="H152" s="10">
        <f>G152-[150]Main!$C$7+[150]Main!$C$8</f>
        <v>1288.7863889200003</v>
      </c>
      <c r="J152" s="1">
        <f>IF(ISNUMBER([150]Main!$C$11),[150]Main!$C$11,"")</f>
        <v>3.1237774867545292</v>
      </c>
      <c r="K152" s="11">
        <f t="shared" si="2"/>
        <v>-0.7091454854046062</v>
      </c>
      <c r="L152" s="12" t="str">
        <f>[150]Main!$C$15&amp;" ("&amp;[150]Main!$C$14&amp;")"</f>
        <v>Net cash (revenue jump)</v>
      </c>
      <c r="M152" s="13">
        <v>46330</v>
      </c>
      <c r="N152" s="17" t="s">
        <v>40</v>
      </c>
    </row>
    <row r="153" spans="2:14" x14ac:dyDescent="0.2">
      <c r="B153" s="3" t="s">
        <v>356</v>
      </c>
      <c r="C153" t="s">
        <v>357</v>
      </c>
      <c r="D153" t="s">
        <v>15</v>
      </c>
      <c r="E153" s="6" t="s">
        <v>33</v>
      </c>
      <c r="F153" s="1">
        <v>20.27</v>
      </c>
      <c r="G153" s="8">
        <f>F153*[151]Main!$C$4</f>
        <v>1825.0899016299998</v>
      </c>
      <c r="H153" s="10">
        <f>G153-[151]Main!$C$7+[151]Main!$C$8</f>
        <v>1702.2589016299999</v>
      </c>
      <c r="J153" s="1">
        <f>IF(ISNUMBER([151]Main!$C$11),[151]Main!$C$11,"")</f>
        <v>1.3641982062233522</v>
      </c>
      <c r="K153" s="11">
        <f t="shared" si="2"/>
        <v>-0.93269865780841876</v>
      </c>
      <c r="L153" s="12" t="str">
        <f>[151]Main!$C$15&amp;" ("&amp;[151]Main!$C$14&amp;")"</f>
        <v>Net cash (pre-revenue)</v>
      </c>
      <c r="M153" s="13">
        <v>46364</v>
      </c>
      <c r="N153" s="17" t="s">
        <v>358</v>
      </c>
    </row>
    <row r="154" spans="2:14" x14ac:dyDescent="0.2">
      <c r="B154" s="3" t="s">
        <v>359</v>
      </c>
      <c r="C154" t="s">
        <v>360</v>
      </c>
      <c r="D154" t="s">
        <v>15</v>
      </c>
      <c r="E154" s="6" t="s">
        <v>33</v>
      </c>
      <c r="F154" s="1">
        <v>72.67</v>
      </c>
      <c r="G154" s="8">
        <f>F154*[152]Main!$C$4</f>
        <v>1669.2554798399999</v>
      </c>
      <c r="H154" s="10">
        <f>G154-[152]Main!$C$7+[152]Main!$C$8</f>
        <v>1610.5274798399998</v>
      </c>
      <c r="J154" s="1">
        <f>IF(ISNUMBER([152]Main!$C$11),[152]Main!$C$11,"")</f>
        <v>158.06464336162114</v>
      </c>
      <c r="K154" s="11">
        <f t="shared" si="2"/>
        <v>1.1751017388416285</v>
      </c>
      <c r="L154" s="12" t="str">
        <f>[152]Main!$C$15&amp;" ("&amp;[152]Main!$C$14&amp;")"</f>
        <v>DCF (Base)</v>
      </c>
      <c r="M154" s="13">
        <v>46332</v>
      </c>
      <c r="N154" s="17" t="s">
        <v>361</v>
      </c>
    </row>
    <row r="155" spans="2:14" x14ac:dyDescent="0.2">
      <c r="B155" s="3" t="s">
        <v>362</v>
      </c>
      <c r="C155" t="s">
        <v>363</v>
      </c>
      <c r="D155" t="s">
        <v>22</v>
      </c>
      <c r="E155" s="6" t="s">
        <v>16</v>
      </c>
      <c r="F155" s="1">
        <v>11.82</v>
      </c>
      <c r="G155" s="8">
        <f>F155*[153]Main!$C$4</f>
        <v>1785.3374914199999</v>
      </c>
      <c r="H155" s="10">
        <f>G155-[153]Main!$C$7+[153]Main!$C$8</f>
        <v>1776.9514914199999</v>
      </c>
      <c r="J155" s="1">
        <f>IF(ISNUMBER([153]Main!$C$11),[153]Main!$C$11,"")</f>
        <v>5.5520326255603783E-2</v>
      </c>
      <c r="K155" s="11">
        <f t="shared" si="2"/>
        <v>-0.99530284887854448</v>
      </c>
      <c r="L155" s="12" t="str">
        <f>[153]Main!$C$15&amp;" ("&amp;[153]Main!$C$14&amp;")"</f>
        <v>Net cash (pre-revenue)</v>
      </c>
      <c r="M155" s="13">
        <v>46335</v>
      </c>
      <c r="N155" s="17" t="s">
        <v>87</v>
      </c>
    </row>
    <row r="156" spans="2:14" x14ac:dyDescent="0.2">
      <c r="B156" s="3" t="s">
        <v>364</v>
      </c>
      <c r="C156" t="s">
        <v>365</v>
      </c>
      <c r="D156" t="s">
        <v>22</v>
      </c>
      <c r="E156" s="6" t="s">
        <v>33</v>
      </c>
      <c r="F156" s="1">
        <v>28.18</v>
      </c>
      <c r="G156" s="8">
        <f>F156*[154]Main!$C$4</f>
        <v>1836.6800541399998</v>
      </c>
      <c r="H156" s="10">
        <f>G156-[154]Main!$C$7+[154]Main!$C$8</f>
        <v>1459.7960541399998</v>
      </c>
      <c r="J156" s="1">
        <f>IF(ISNUMBER([154]Main!$C$11),[154]Main!$C$11,"")</f>
        <v>5.7824938513708339</v>
      </c>
      <c r="K156" s="11">
        <f t="shared" si="2"/>
        <v>-0.79480149569301517</v>
      </c>
      <c r="L156" s="12" t="str">
        <f>[154]Main!$C$15&amp;" ("&amp;[154]Main!$C$14&amp;")"</f>
        <v>Net cash (pre-revenue)</v>
      </c>
      <c r="M156" s="13"/>
      <c r="N156" s="17"/>
    </row>
    <row r="157" spans="2:14" x14ac:dyDescent="0.2">
      <c r="B157" s="3" t="s">
        <v>366</v>
      </c>
      <c r="C157" t="s">
        <v>367</v>
      </c>
      <c r="D157" t="s">
        <v>22</v>
      </c>
      <c r="E157" s="6" t="s">
        <v>33</v>
      </c>
      <c r="F157" s="1">
        <v>11.84</v>
      </c>
      <c r="G157" s="8">
        <f>F157*[155]Main!$C$4</f>
        <v>1659.1000451199998</v>
      </c>
      <c r="H157" s="10">
        <f>G157-[155]Main!$C$7+[155]Main!$C$8</f>
        <v>1221.3410451199998</v>
      </c>
      <c r="J157" s="1">
        <f>IF(ISNUMBER([155]Main!$C$11),[155]Main!$C$11,"")</f>
        <v>1.9003168674395607</v>
      </c>
      <c r="K157" s="11">
        <f t="shared" si="2"/>
        <v>-0.83950026457436144</v>
      </c>
      <c r="L157" s="12" t="str">
        <f>[155]Main!$C$15&amp;" ("&amp;[155]Main!$C$14&amp;")"</f>
        <v>DCF (Base)</v>
      </c>
      <c r="M157" s="13">
        <v>46331</v>
      </c>
      <c r="N157" s="17" t="s">
        <v>63</v>
      </c>
    </row>
    <row r="158" spans="2:14" x14ac:dyDescent="0.2">
      <c r="B158" s="3" t="s">
        <v>368</v>
      </c>
      <c r="C158" t="s">
        <v>369</v>
      </c>
      <c r="D158" t="s">
        <v>15</v>
      </c>
      <c r="E158" s="6" t="s">
        <v>33</v>
      </c>
      <c r="F158" s="1">
        <v>38.799999999999997</v>
      </c>
      <c r="G158" s="8">
        <f>F158*[156]Main!$C$4</f>
        <v>1575.3421963999997</v>
      </c>
      <c r="H158" s="10">
        <f>G158-[156]Main!$C$7+[156]Main!$C$8</f>
        <v>2226.1421963999996</v>
      </c>
      <c r="J158" s="1">
        <f>IF(ISNUMBER([156]Main!$C$11),[156]Main!$C$11,"")</f>
        <v>90.169679701620638</v>
      </c>
      <c r="K158" s="11">
        <f t="shared" si="2"/>
        <v>1.3239608170520785</v>
      </c>
      <c r="L158" s="12" t="str">
        <f>[156]Main!$C$15&amp;" ("&amp;[156]Main!$C$14&amp;")"</f>
        <v>DCF (Base)</v>
      </c>
      <c r="M158" s="13">
        <v>46330</v>
      </c>
      <c r="N158" s="17" t="s">
        <v>40</v>
      </c>
    </row>
    <row r="159" spans="2:14" x14ac:dyDescent="0.2">
      <c r="B159" s="3" t="s">
        <v>370</v>
      </c>
      <c r="C159" t="s">
        <v>371</v>
      </c>
      <c r="D159" t="s">
        <v>22</v>
      </c>
      <c r="E159" s="6" t="s">
        <v>33</v>
      </c>
      <c r="F159" s="1">
        <v>5.03</v>
      </c>
      <c r="G159" s="8">
        <f>F159*[157]Main!$C$4</f>
        <v>1569.46751625</v>
      </c>
      <c r="H159" s="10">
        <f>G159-[157]Main!$C$7+[157]Main!$C$8</f>
        <v>2696.1765162500001</v>
      </c>
      <c r="J159" s="1">
        <f>IF(ISNUMBER([157]Main!$C$11),[157]Main!$C$11,"")</f>
        <v>2.6593298705318773</v>
      </c>
      <c r="K159" s="11">
        <f t="shared" si="2"/>
        <v>-0.47130618876105823</v>
      </c>
      <c r="L159" s="12" t="str">
        <f>[157]Main!$C$15&amp;" ("&amp;[157]Main!$C$14&amp;")"</f>
        <v>DCF (Base)</v>
      </c>
      <c r="M159" s="13">
        <v>46337</v>
      </c>
      <c r="N159" s="17" t="s">
        <v>104</v>
      </c>
    </row>
    <row r="160" spans="2:14" x14ac:dyDescent="0.2">
      <c r="B160" s="3" t="s">
        <v>372</v>
      </c>
      <c r="C160" t="s">
        <v>373</v>
      </c>
      <c r="D160" t="s">
        <v>22</v>
      </c>
      <c r="E160" s="6" t="s">
        <v>33</v>
      </c>
      <c r="F160" s="1">
        <v>26.61</v>
      </c>
      <c r="G160" s="8">
        <f>F160*[158]Main!$C$4</f>
        <v>1717.04329962</v>
      </c>
      <c r="H160" s="10">
        <f>G160-[158]Main!$C$7+[158]Main!$C$8</f>
        <v>1424.22529962</v>
      </c>
      <c r="J160" s="1">
        <f>IF(ISNUMBER([158]Main!$C$11),[158]Main!$C$11,"")</f>
        <v>4.5379676690299116</v>
      </c>
      <c r="K160" s="11">
        <f t="shared" si="2"/>
        <v>-0.8294638230353284</v>
      </c>
      <c r="L160" s="12" t="str">
        <f>[158]Main!$C$15&amp;" ("&amp;[158]Main!$C$14&amp;")"</f>
        <v>Net cash (small revenue)</v>
      </c>
      <c r="M160" s="13">
        <v>46329</v>
      </c>
      <c r="N160" s="17" t="s">
        <v>134</v>
      </c>
    </row>
    <row r="161" spans="2:14" x14ac:dyDescent="0.2">
      <c r="B161" s="3" t="s">
        <v>374</v>
      </c>
      <c r="C161" t="s">
        <v>375</v>
      </c>
      <c r="D161" t="s">
        <v>15</v>
      </c>
      <c r="E161" s="6" t="s">
        <v>16</v>
      </c>
      <c r="F161" s="1">
        <v>4.7649999999999997</v>
      </c>
      <c r="G161" s="8">
        <f>F161*[159]Main!$C$4</f>
        <v>1673.1022052450001</v>
      </c>
      <c r="H161" s="10">
        <f>G161-[159]Main!$C$7+[159]Main!$C$8</f>
        <v>1018.0392052450002</v>
      </c>
      <c r="J161" s="1">
        <f>IF(ISNUMBER([159]Main!$C$11),[159]Main!$C$11,"")</f>
        <v>1.8656213500973313</v>
      </c>
      <c r="K161" s="11">
        <f t="shared" si="2"/>
        <v>-0.60847400837411714</v>
      </c>
      <c r="L161" s="12" t="str">
        <f>[159]Main!$C$15&amp;" ("&amp;[159]Main!$C$14&amp;")"</f>
        <v>Net cash (revenue jump)</v>
      </c>
      <c r="M161" s="13">
        <v>46328</v>
      </c>
      <c r="N161" s="17" t="s">
        <v>107</v>
      </c>
    </row>
    <row r="162" spans="2:14" x14ac:dyDescent="0.2">
      <c r="B162" s="3" t="s">
        <v>376</v>
      </c>
      <c r="C162" t="s">
        <v>377</v>
      </c>
      <c r="D162" t="s">
        <v>22</v>
      </c>
      <c r="E162" s="6" t="s">
        <v>33</v>
      </c>
      <c r="F162" s="1">
        <v>12.9</v>
      </c>
      <c r="G162" s="8">
        <f>F162*[160]Main!$C$4</f>
        <v>1655.7464244000003</v>
      </c>
      <c r="H162" s="10">
        <f>G162-[160]Main!$C$7+[160]Main!$C$8</f>
        <v>1198.3314244000003</v>
      </c>
      <c r="J162" s="1">
        <f>IF(ISNUMBER([160]Main!$C$11),[160]Main!$C$11,"")</f>
        <v>3.5637422572953734</v>
      </c>
      <c r="K162" s="11">
        <f t="shared" si="2"/>
        <v>-0.72374091028718035</v>
      </c>
      <c r="L162" s="12" t="str">
        <f>[160]Main!$C$15&amp;" ("&amp;[160]Main!$C$14&amp;")"</f>
        <v>Net cash (pre-revenue)</v>
      </c>
      <c r="M162" s="13">
        <v>46331</v>
      </c>
      <c r="N162" s="17" t="s">
        <v>63</v>
      </c>
    </row>
    <row r="163" spans="2:14" x14ac:dyDescent="0.2">
      <c r="B163" s="3" t="s">
        <v>378</v>
      </c>
      <c r="C163" t="s">
        <v>379</v>
      </c>
      <c r="D163" t="s">
        <v>15</v>
      </c>
      <c r="E163" s="6" t="s">
        <v>33</v>
      </c>
      <c r="F163" s="1">
        <v>32.450000000000003</v>
      </c>
      <c r="G163" s="8">
        <f>F163*[161]Main!$C$4</f>
        <v>1802.5705016000002</v>
      </c>
      <c r="H163" s="10">
        <f>G163-[161]Main!$C$7+[161]Main!$C$8</f>
        <v>1430.4435016000002</v>
      </c>
      <c r="J163" s="1">
        <f>IF(ISNUMBER([161]Main!$C$11),[161]Main!$C$11,"")</f>
        <v>6.6990562306891794</v>
      </c>
      <c r="K163" s="11">
        <f t="shared" si="2"/>
        <v>-0.79355758919293751</v>
      </c>
      <c r="L163" s="12" t="str">
        <f>[161]Main!$C$15&amp;" ("&amp;[161]Main!$C$14&amp;")"</f>
        <v>Net cash (pre-revenue)</v>
      </c>
      <c r="M163" s="13">
        <v>46331</v>
      </c>
      <c r="N163" s="17" t="s">
        <v>63</v>
      </c>
    </row>
    <row r="164" spans="2:14" x14ac:dyDescent="0.2">
      <c r="B164" s="3" t="s">
        <v>380</v>
      </c>
      <c r="C164" t="s">
        <v>381</v>
      </c>
      <c r="D164" t="s">
        <v>22</v>
      </c>
      <c r="E164" s="6" t="s">
        <v>33</v>
      </c>
      <c r="F164" s="1">
        <v>32.6</v>
      </c>
      <c r="G164" s="8">
        <f>F164*[162]Main!$C$4</f>
        <v>1678.8549142000002</v>
      </c>
      <c r="H164" s="10">
        <f>G164-[162]Main!$C$7+[162]Main!$C$8</f>
        <v>798.64391420000015</v>
      </c>
      <c r="J164" s="1">
        <f>IF(ISNUMBER([162]Main!$C$11),[162]Main!$C$11,"")</f>
        <v>34.810773327462059</v>
      </c>
      <c r="K164" s="11">
        <f t="shared" si="2"/>
        <v>6.7815132744234896E-2</v>
      </c>
      <c r="L164" s="12" t="str">
        <f>[162]Main!$C$15&amp;" ("&amp;[162]Main!$C$14&amp;")"</f>
        <v>DCF (Base)</v>
      </c>
      <c r="M164" s="13">
        <v>46331</v>
      </c>
      <c r="N164" s="17" t="s">
        <v>63</v>
      </c>
    </row>
    <row r="165" spans="2:14" x14ac:dyDescent="0.2">
      <c r="B165" s="3" t="s">
        <v>382</v>
      </c>
      <c r="C165" t="s">
        <v>383</v>
      </c>
      <c r="D165" t="s">
        <v>15</v>
      </c>
      <c r="E165" s="6" t="s">
        <v>33</v>
      </c>
      <c r="F165" s="1">
        <v>6.65</v>
      </c>
      <c r="G165" s="8">
        <f>F165*[163]Main!$C$4</f>
        <v>1460.4455222000001</v>
      </c>
      <c r="H165" s="10">
        <f>G165-[163]Main!$C$7+[163]Main!$C$8</f>
        <v>934.59952220000014</v>
      </c>
      <c r="J165" s="1">
        <f>IF(ISNUMBER([163]Main!$C$11),[163]Main!$C$11,"")</f>
        <v>1.6233398913836945</v>
      </c>
      <c r="K165" s="11">
        <f t="shared" si="2"/>
        <v>-0.75588873813779034</v>
      </c>
      <c r="L165" s="12" t="str">
        <f>[163]Main!$C$15&amp;" ("&amp;[163]Main!$C$14&amp;")"</f>
        <v>DCF (Base)</v>
      </c>
      <c r="M165" s="13">
        <v>46329</v>
      </c>
      <c r="N165" s="17" t="s">
        <v>134</v>
      </c>
    </row>
    <row r="166" spans="2:14" x14ac:dyDescent="0.2">
      <c r="B166" s="3" t="s">
        <v>384</v>
      </c>
      <c r="C166" t="s">
        <v>385</v>
      </c>
      <c r="D166" t="s">
        <v>15</v>
      </c>
      <c r="E166" s="6" t="s">
        <v>33</v>
      </c>
      <c r="F166" s="1">
        <v>22.88</v>
      </c>
      <c r="G166" s="8">
        <f>F166*[164]Main!$C$4</f>
        <v>1631.5695357866668</v>
      </c>
      <c r="H166" s="10">
        <f>G166-[164]Main!$C$7+[164]Main!$C$8</f>
        <v>288.91153578666695</v>
      </c>
      <c r="J166" s="1">
        <f>IF(ISNUMBER([164]Main!$C$11),[164]Main!$C$11,"")</f>
        <v>18.82850492497596</v>
      </c>
      <c r="K166" s="11">
        <f t="shared" si="2"/>
        <v>-0.17707583369860314</v>
      </c>
      <c r="L166" s="12" t="str">
        <f>[164]Main!$C$15&amp;" ("&amp;[164]Main!$C$14&amp;")"</f>
        <v>Net cash (pre-revenue)</v>
      </c>
      <c r="M166" s="13">
        <v>46331</v>
      </c>
      <c r="N166" s="17" t="s">
        <v>63</v>
      </c>
    </row>
    <row r="167" spans="2:14" x14ac:dyDescent="0.2">
      <c r="B167" s="3" t="s">
        <v>386</v>
      </c>
      <c r="C167" t="s">
        <v>387</v>
      </c>
      <c r="D167" t="s">
        <v>15</v>
      </c>
      <c r="E167" s="6" t="s">
        <v>33</v>
      </c>
      <c r="F167" s="1">
        <v>21.28</v>
      </c>
      <c r="G167" s="8">
        <f>F167*[165]Main!$C$4</f>
        <v>1537.3839208000002</v>
      </c>
      <c r="H167" s="10">
        <f>G167-[165]Main!$C$7+[165]Main!$C$8</f>
        <v>1225.4499208000002</v>
      </c>
      <c r="J167" s="1">
        <f>IF(ISNUMBER([165]Main!$C$11),[165]Main!$C$11,"")</f>
        <v>40.280656987459565</v>
      </c>
      <c r="K167" s="11">
        <f t="shared" si="2"/>
        <v>0.89288801632798709</v>
      </c>
      <c r="L167" s="12" t="str">
        <f>[165]Main!$C$15&amp;" ("&amp;[165]Main!$C$14&amp;")"</f>
        <v>DCF (Base)</v>
      </c>
      <c r="M167" s="13">
        <v>46330</v>
      </c>
      <c r="N167" s="17" t="s">
        <v>40</v>
      </c>
    </row>
    <row r="168" spans="2:14" x14ac:dyDescent="0.2">
      <c r="B168" s="3" t="s">
        <v>388</v>
      </c>
      <c r="C168" t="s">
        <v>389</v>
      </c>
      <c r="D168" t="s">
        <v>22</v>
      </c>
      <c r="E168" s="6" t="s">
        <v>33</v>
      </c>
      <c r="F168" s="1">
        <v>11.9</v>
      </c>
      <c r="G168" s="8">
        <f>F168*[166]Main!$C$4</f>
        <v>1647.8741818000001</v>
      </c>
      <c r="H168" s="10">
        <f>G168-[166]Main!$C$7+[166]Main!$C$8</f>
        <v>1265.3061818000001</v>
      </c>
      <c r="J168" s="1">
        <f>IF(ISNUMBER([166]Main!$C$11),[166]Main!$C$11,"")</f>
        <v>2.7626861627428165</v>
      </c>
      <c r="K168" s="11">
        <f t="shared" si="2"/>
        <v>-0.76784149892917508</v>
      </c>
      <c r="L168" s="12" t="str">
        <f>[166]Main!$C$15&amp;" ("&amp;[166]Main!$C$14&amp;")"</f>
        <v>Net cash (pre-revenue)</v>
      </c>
      <c r="M168" s="13">
        <v>46329</v>
      </c>
      <c r="N168" s="17" t="s">
        <v>134</v>
      </c>
    </row>
    <row r="169" spans="2:14" x14ac:dyDescent="0.2">
      <c r="B169" s="3" t="s">
        <v>390</v>
      </c>
      <c r="C169" t="s">
        <v>391</v>
      </c>
      <c r="D169" t="s">
        <v>22</v>
      </c>
      <c r="E169" s="6" t="s">
        <v>33</v>
      </c>
      <c r="F169" s="1">
        <v>12.89</v>
      </c>
      <c r="G169" s="8">
        <f>F169*[167]Main!$C$4</f>
        <v>1671.10698364</v>
      </c>
      <c r="H169" s="10">
        <f>G169-[167]Main!$C$7+[167]Main!$C$8</f>
        <v>499.30698364</v>
      </c>
      <c r="J169" s="1">
        <f>IF(ISNUMBER([167]Main!$C$11),[167]Main!$C$11,"")</f>
        <v>9.0386205957319508</v>
      </c>
      <c r="K169" s="11">
        <f t="shared" si="2"/>
        <v>-0.29878816169651279</v>
      </c>
      <c r="L169" s="12" t="str">
        <f>[167]Main!$C$15&amp;" ("&amp;[167]Main!$C$14&amp;")"</f>
        <v>Net cash (pre-revenue)</v>
      </c>
      <c r="M169" s="13">
        <v>46337</v>
      </c>
      <c r="N169" s="17" t="s">
        <v>104</v>
      </c>
    </row>
    <row r="170" spans="2:14" x14ac:dyDescent="0.2">
      <c r="B170" s="3" t="s">
        <v>392</v>
      </c>
      <c r="C170" t="s">
        <v>393</v>
      </c>
      <c r="D170" t="s">
        <v>15</v>
      </c>
      <c r="E170" s="6" t="s">
        <v>33</v>
      </c>
      <c r="F170" s="1">
        <v>36.380000000000003</v>
      </c>
      <c r="G170" s="8">
        <f>F170*[168]Main!$C$4</f>
        <v>1450.1754126800001</v>
      </c>
      <c r="H170" s="10">
        <f>G170-[168]Main!$C$7+[168]Main!$C$8</f>
        <v>1562.2684126800002</v>
      </c>
      <c r="J170" s="1">
        <f>IF(ISNUMBER([168]Main!$C$11),[168]Main!$C$11,"")</f>
        <v>26.59226394414106</v>
      </c>
      <c r="K170" s="11">
        <f t="shared" si="2"/>
        <v>-0.26904167278336844</v>
      </c>
      <c r="L170" s="12" t="str">
        <f>[168]Main!$C$15&amp;" ("&amp;[168]Main!$C$14&amp;")"</f>
        <v>DCF (Base)</v>
      </c>
      <c r="M170" s="13">
        <v>46331</v>
      </c>
      <c r="N170" s="17" t="s">
        <v>63</v>
      </c>
    </row>
    <row r="171" spans="2:14" x14ac:dyDescent="0.2">
      <c r="B171" s="3" t="s">
        <v>394</v>
      </c>
      <c r="C171" t="s">
        <v>395</v>
      </c>
      <c r="D171" t="s">
        <v>15</v>
      </c>
      <c r="E171" s="6" t="s">
        <v>33</v>
      </c>
      <c r="F171" s="1">
        <v>50.19</v>
      </c>
      <c r="G171" s="8">
        <f>F171*[169]Main!$C$4</f>
        <v>1434.5875456499998</v>
      </c>
      <c r="H171" s="10">
        <f>G171-[169]Main!$C$7+[169]Main!$C$8</f>
        <v>1435.6455456499998</v>
      </c>
      <c r="J171" s="1">
        <f>IF(ISNUMBER([169]Main!$C$11),[169]Main!$C$11,"")</f>
        <v>17.174819903109086</v>
      </c>
      <c r="K171" s="11">
        <f t="shared" si="2"/>
        <v>-0.65780394693944833</v>
      </c>
      <c r="L171" s="12" t="str">
        <f>[169]Main!$C$15&amp;" ("&amp;[169]Main!$C$14&amp;")"</f>
        <v>DCF (Base)</v>
      </c>
      <c r="M171" s="13">
        <v>46331</v>
      </c>
      <c r="N171" s="17" t="s">
        <v>63</v>
      </c>
    </row>
    <row r="172" spans="2:14" x14ac:dyDescent="0.2">
      <c r="B172" s="3" t="s">
        <v>396</v>
      </c>
      <c r="C172" t="s">
        <v>397</v>
      </c>
      <c r="D172" t="s">
        <v>22</v>
      </c>
      <c r="E172" s="6" t="s">
        <v>33</v>
      </c>
      <c r="F172" s="1">
        <v>16.02</v>
      </c>
      <c r="G172" s="8">
        <f>F172*[170]Main!$C$4</f>
        <v>1579.39374546</v>
      </c>
      <c r="H172" s="10">
        <f>G172-[170]Main!$C$7+[170]Main!$C$8</f>
        <v>1287.39374546</v>
      </c>
      <c r="J172" s="1">
        <f>IF(ISNUMBER([170]Main!$C$11),[170]Main!$C$11,"")</f>
        <v>-3.2038868532259803</v>
      </c>
      <c r="K172" s="11">
        <f t="shared" si="2"/>
        <v>-1.1999929371551799</v>
      </c>
      <c r="L172" s="12" t="str">
        <f>[170]Main!$C$15&amp;" ("&amp;[170]Main!$C$14&amp;")"</f>
        <v>DCF (Base)</v>
      </c>
      <c r="M172" s="13">
        <v>46329</v>
      </c>
      <c r="N172" s="17" t="s">
        <v>134</v>
      </c>
    </row>
    <row r="173" spans="2:14" x14ac:dyDescent="0.2">
      <c r="B173" s="3" t="s">
        <v>398</v>
      </c>
      <c r="C173" t="s">
        <v>399</v>
      </c>
      <c r="D173" t="s">
        <v>22</v>
      </c>
      <c r="E173" s="6" t="s">
        <v>33</v>
      </c>
      <c r="F173" s="1">
        <v>9.07</v>
      </c>
      <c r="G173" s="8">
        <f>F173*[171]Main!$C$4</f>
        <v>1556.5390707000001</v>
      </c>
      <c r="H173" s="10">
        <f>G173-[171]Main!$C$7+[171]Main!$C$8</f>
        <v>1355.5470707000002</v>
      </c>
      <c r="J173" s="1">
        <f>IF(ISNUMBER([171]Main!$C$11),[171]Main!$C$11,"")</f>
        <v>1.1711864316905127</v>
      </c>
      <c r="K173" s="11">
        <f t="shared" si="2"/>
        <v>-0.870872499262347</v>
      </c>
      <c r="L173" s="12" t="str">
        <f>[171]Main!$C$15&amp;" ("&amp;[171]Main!$C$14&amp;")"</f>
        <v>Net cash (pre-revenue)</v>
      </c>
      <c r="M173" s="13">
        <v>46338</v>
      </c>
      <c r="N173" s="17" t="s">
        <v>400</v>
      </c>
    </row>
    <row r="174" spans="2:14" x14ac:dyDescent="0.2">
      <c r="B174" s="3" t="s">
        <v>401</v>
      </c>
      <c r="C174" t="s">
        <v>402</v>
      </c>
      <c r="D174" t="s">
        <v>22</v>
      </c>
      <c r="E174" s="6" t="s">
        <v>33</v>
      </c>
      <c r="F174" s="1">
        <v>34.17</v>
      </c>
      <c r="G174" s="8">
        <f>F174*[172]Main!$C$4</f>
        <v>1596.15303789</v>
      </c>
      <c r="H174" s="10">
        <f>G174-[172]Main!$C$7+[172]Main!$C$8</f>
        <v>1138.6930378899999</v>
      </c>
      <c r="J174" s="1">
        <f>IF(ISNUMBER([172]Main!$C$11),[172]Main!$C$11,"")</f>
        <v>9.7931763614995244</v>
      </c>
      <c r="K174" s="11">
        <f t="shared" si="2"/>
        <v>-0.71339840908693231</v>
      </c>
      <c r="L174" s="12" t="str">
        <f>[172]Main!$C$15&amp;" ("&amp;[172]Main!$C$14&amp;")"</f>
        <v>Net cash (pre-revenue)</v>
      </c>
      <c r="M174" s="13">
        <v>46336</v>
      </c>
      <c r="N174" s="17" t="s">
        <v>217</v>
      </c>
    </row>
    <row r="175" spans="2:14" x14ac:dyDescent="0.2">
      <c r="B175" s="3" t="s">
        <v>403</v>
      </c>
      <c r="C175" t="s">
        <v>404</v>
      </c>
      <c r="D175" t="s">
        <v>22</v>
      </c>
      <c r="E175" s="6" t="s">
        <v>33</v>
      </c>
      <c r="F175" s="1">
        <v>45.43</v>
      </c>
      <c r="G175" s="8">
        <f>F175*[173]Main!$C$4</f>
        <v>1358.1409349200001</v>
      </c>
      <c r="H175" s="10">
        <f>G175-[173]Main!$C$7+[173]Main!$C$8</f>
        <v>1492.99793492</v>
      </c>
      <c r="J175" s="1">
        <f>[173]Main!$C$11</f>
        <v>55.711320977032571</v>
      </c>
      <c r="K175" s="11">
        <f t="shared" si="2"/>
        <v>0.22631126958029002</v>
      </c>
      <c r="L175" s="12" t="str">
        <f>"rNPV ("&amp;[173]Main!$C$14&amp;")"</f>
        <v>rNPV (Base)</v>
      </c>
      <c r="M175" s="13">
        <v>46368</v>
      </c>
      <c r="N175" s="18" t="s">
        <v>405</v>
      </c>
    </row>
    <row r="176" spans="2:14" x14ac:dyDescent="0.2">
      <c r="B176" s="3" t="s">
        <v>406</v>
      </c>
      <c r="C176" t="s">
        <v>407</v>
      </c>
      <c r="D176" t="s">
        <v>22</v>
      </c>
      <c r="E176" s="6" t="s">
        <v>33</v>
      </c>
      <c r="F176" s="1">
        <v>22.715</v>
      </c>
      <c r="G176" s="8">
        <f>F176*[174]Main!$C$4</f>
        <v>1432.577921775</v>
      </c>
      <c r="H176" s="10">
        <f>G176-[174]Main!$C$7+[174]Main!$C$8</f>
        <v>895.67492177500003</v>
      </c>
      <c r="J176" s="1">
        <f>IF(ISNUMBER([174]Main!$C$11),[174]Main!$C$11,"")</f>
        <v>8.5131506353868414</v>
      </c>
      <c r="K176" s="11">
        <f t="shared" si="2"/>
        <v>-0.62521899029773975</v>
      </c>
      <c r="L176" s="12" t="str">
        <f>[174]Main!$C$15&amp;" ("&amp;[174]Main!$C$14&amp;")"</f>
        <v>Net cash (small revenue)</v>
      </c>
      <c r="M176" s="13">
        <v>46335</v>
      </c>
      <c r="N176" s="17" t="s">
        <v>87</v>
      </c>
    </row>
    <row r="177" spans="2:14" x14ac:dyDescent="0.2">
      <c r="B177" s="3" t="s">
        <v>408</v>
      </c>
      <c r="C177" t="s">
        <v>409</v>
      </c>
      <c r="D177" t="s">
        <v>15</v>
      </c>
      <c r="E177" s="6" t="s">
        <v>33</v>
      </c>
      <c r="F177" s="1">
        <v>29.37</v>
      </c>
      <c r="G177" s="8">
        <f>F177*[175]Main!$C$4</f>
        <v>1409.12225982</v>
      </c>
      <c r="H177" s="10">
        <f>G177-[175]Main!$C$7+[175]Main!$C$8</f>
        <v>973.04525981999996</v>
      </c>
      <c r="J177" s="1">
        <f>IF(ISNUMBER([175]Main!$C$11),[175]Main!$C$11,"")</f>
        <v>9.089049158613129</v>
      </c>
      <c r="K177" s="11">
        <f t="shared" si="2"/>
        <v>-0.69053288530428569</v>
      </c>
      <c r="L177" s="12" t="str">
        <f>[175]Main!$C$15&amp;" ("&amp;[175]Main!$C$14&amp;")"</f>
        <v>Net cash (pre-revenue)</v>
      </c>
      <c r="M177" s="13">
        <v>46331</v>
      </c>
      <c r="N177" s="17" t="s">
        <v>63</v>
      </c>
    </row>
    <row r="178" spans="2:14" x14ac:dyDescent="0.2">
      <c r="B178" s="3" t="s">
        <v>410</v>
      </c>
      <c r="C178" t="s">
        <v>411</v>
      </c>
      <c r="D178" t="s">
        <v>22</v>
      </c>
      <c r="E178" s="6" t="s">
        <v>33</v>
      </c>
      <c r="F178" s="1">
        <v>95.3</v>
      </c>
      <c r="G178" s="8">
        <f>F178*[176]Main!$C$4</f>
        <v>1402.5929980000001</v>
      </c>
      <c r="H178" s="10">
        <f>G178-[176]Main!$C$7+[176]Main!$C$8</f>
        <v>1445.5339980000001</v>
      </c>
      <c r="J178" s="1">
        <f>IF(ISNUMBER([176]Main!$C$11),[176]Main!$C$11,"")</f>
        <v>-2.9176513114177118</v>
      </c>
      <c r="K178" s="11">
        <f t="shared" si="2"/>
        <v>-1.0306154387347084</v>
      </c>
      <c r="L178" s="12" t="str">
        <f>[176]Main!$C$15&amp;" ("&amp;[176]Main!$C$14&amp;")"</f>
        <v>Net cash (pre-revenue)</v>
      </c>
      <c r="M178" s="13">
        <v>46339</v>
      </c>
      <c r="N178" s="17" t="s">
        <v>156</v>
      </c>
    </row>
    <row r="179" spans="2:14" x14ac:dyDescent="0.2">
      <c r="B179" s="3" t="s">
        <v>412</v>
      </c>
      <c r="C179" t="s">
        <v>413</v>
      </c>
      <c r="D179" t="s">
        <v>22</v>
      </c>
      <c r="E179" s="6" t="s">
        <v>33</v>
      </c>
      <c r="F179" s="1">
        <v>13.78</v>
      </c>
      <c r="G179" s="8">
        <f>F179*[177]Main!$C$4</f>
        <v>1428.3335996799999</v>
      </c>
      <c r="H179" s="10">
        <f>G179-[177]Main!$C$7+[177]Main!$C$8</f>
        <v>1163.5725996799999</v>
      </c>
      <c r="J179" s="1">
        <f>IF(ISNUMBER([177]Main!$C$11),[177]Main!$C$11,"")</f>
        <v>2.5543098480756727</v>
      </c>
      <c r="K179" s="11">
        <f t="shared" si="2"/>
        <v>-0.81463644063311524</v>
      </c>
      <c r="L179" s="12" t="str">
        <f>[177]Main!$C$15&amp;" ("&amp;[177]Main!$C$14&amp;")"</f>
        <v>Net cash (pre-revenue)</v>
      </c>
      <c r="M179" s="13">
        <v>46338</v>
      </c>
      <c r="N179" s="17" t="s">
        <v>190</v>
      </c>
    </row>
    <row r="180" spans="2:14" x14ac:dyDescent="0.2">
      <c r="B180" s="3" t="s">
        <v>414</v>
      </c>
      <c r="C180" t="s">
        <v>415</v>
      </c>
      <c r="D180" t="s">
        <v>22</v>
      </c>
      <c r="E180" s="6" t="s">
        <v>33</v>
      </c>
      <c r="F180" s="1">
        <v>41.25</v>
      </c>
      <c r="G180" s="8">
        <f>F180*[178]Main!$C$4</f>
        <v>1473.8972737500001</v>
      </c>
      <c r="H180" s="10">
        <f>G180-[178]Main!$C$7+[178]Main!$C$8</f>
        <v>1305.87927375</v>
      </c>
      <c r="J180" s="1">
        <f>IF(ISNUMBER([178]Main!$C$11),[178]Main!$C$11,"")</f>
        <v>4.7023239837918185</v>
      </c>
      <c r="K180" s="11">
        <f t="shared" si="2"/>
        <v>-0.88600426705959223</v>
      </c>
      <c r="L180" s="12" t="str">
        <f>[178]Main!$C$15&amp;" ("&amp;[178]Main!$C$14&amp;")"</f>
        <v>Net cash (pre-revenue)</v>
      </c>
      <c r="M180" s="13">
        <v>46337</v>
      </c>
      <c r="N180" s="17" t="s">
        <v>104</v>
      </c>
    </row>
    <row r="181" spans="2:14" x14ac:dyDescent="0.2">
      <c r="B181" s="3" t="s">
        <v>416</v>
      </c>
      <c r="C181" t="s">
        <v>417</v>
      </c>
      <c r="D181" t="s">
        <v>22</v>
      </c>
      <c r="E181" s="6" t="s">
        <v>33</v>
      </c>
      <c r="F181" s="1">
        <v>39.22</v>
      </c>
      <c r="G181" s="8">
        <f>F181*[179]Main!$C$4</f>
        <v>1339.0882246799999</v>
      </c>
      <c r="H181" s="10">
        <f>G181-[179]Main!$C$7+[179]Main!$C$8</f>
        <v>654.74722467999993</v>
      </c>
      <c r="J181" s="1">
        <f>IF(ISNUMBER([179]Main!$C$11),[179]Main!$C$11,"")</f>
        <v>15.172594586639747</v>
      </c>
      <c r="K181" s="11">
        <f t="shared" si="2"/>
        <v>-0.61314139248751287</v>
      </c>
      <c r="L181" s="12" t="str">
        <f>[179]Main!$C$15&amp;" ("&amp;[179]Main!$C$14&amp;")"</f>
        <v>DCF (Base)</v>
      </c>
      <c r="M181" s="13">
        <v>46331</v>
      </c>
      <c r="N181" s="17" t="s">
        <v>63</v>
      </c>
    </row>
    <row r="182" spans="2:14" x14ac:dyDescent="0.2">
      <c r="B182" s="3" t="s">
        <v>418</v>
      </c>
      <c r="C182" t="s">
        <v>419</v>
      </c>
      <c r="D182" t="s">
        <v>15</v>
      </c>
      <c r="E182" s="6" t="s">
        <v>33</v>
      </c>
      <c r="F182" s="1">
        <v>13.51</v>
      </c>
      <c r="G182" s="8">
        <f>F182*[180]Main!$C$4</f>
        <v>1263.2349734899999</v>
      </c>
      <c r="H182" s="10">
        <f>G182-[180]Main!$C$7+[180]Main!$C$8</f>
        <v>602.53497348999986</v>
      </c>
      <c r="J182" s="1">
        <f>IF(ISNUMBER([180]Main!$C$11),[180]Main!$C$11,"")</f>
        <v>7.0660306176764198</v>
      </c>
      <c r="K182" s="11">
        <f t="shared" si="2"/>
        <v>-0.47697774850655661</v>
      </c>
      <c r="L182" s="12" t="str">
        <f>[180]Main!$C$15&amp;" ("&amp;[180]Main!$C$14&amp;")"</f>
        <v>Net cash (pre-revenue)</v>
      </c>
      <c r="M182" s="13">
        <v>46336</v>
      </c>
      <c r="N182" s="17" t="s">
        <v>217</v>
      </c>
    </row>
    <row r="183" spans="2:14" x14ac:dyDescent="0.2">
      <c r="B183" s="3" t="s">
        <v>420</v>
      </c>
      <c r="C183" t="s">
        <v>421</v>
      </c>
      <c r="D183" t="s">
        <v>15</v>
      </c>
      <c r="E183" s="6" t="s">
        <v>33</v>
      </c>
      <c r="F183" s="1">
        <v>41</v>
      </c>
      <c r="G183" s="8">
        <f>F183*[181]Main!$C$4</f>
        <v>1322.6261749999999</v>
      </c>
      <c r="H183" s="10">
        <f>G183-[181]Main!$C$7+[181]Main!$C$8</f>
        <v>994.83617499999991</v>
      </c>
      <c r="J183" s="1">
        <f>IF(ISNUMBER([181]Main!$C$11),[181]Main!$C$11,"")</f>
        <v>10.16114020274852</v>
      </c>
      <c r="K183" s="11">
        <f t="shared" si="2"/>
        <v>-0.75216731212808485</v>
      </c>
      <c r="L183" s="12" t="str">
        <f>[181]Main!$C$15&amp;" ("&amp;[181]Main!$C$14&amp;")"</f>
        <v>Net cash (pre-revenue)</v>
      </c>
      <c r="M183" s="13">
        <v>46331</v>
      </c>
      <c r="N183" s="17" t="s">
        <v>63</v>
      </c>
    </row>
    <row r="184" spans="2:14" x14ac:dyDescent="0.2">
      <c r="B184" s="3" t="s">
        <v>422</v>
      </c>
      <c r="C184" t="s">
        <v>423</v>
      </c>
      <c r="D184" t="s">
        <v>15</v>
      </c>
      <c r="E184" s="6" t="s">
        <v>33</v>
      </c>
      <c r="F184" s="1">
        <v>3.28</v>
      </c>
      <c r="G184" s="8">
        <f>F184*[182]Main!$C$4</f>
        <v>1208.3941939199999</v>
      </c>
      <c r="H184" s="10">
        <f>G184-[182]Main!$C$7+[182]Main!$C$8</f>
        <v>411.3751939199999</v>
      </c>
      <c r="J184" s="1">
        <f>IF(ISNUMBER([182]Main!$C$11),[182]Main!$C$11,"")</f>
        <v>4.7836434609587188</v>
      </c>
      <c r="K184" s="11">
        <f t="shared" si="2"/>
        <v>0.4584278844386338</v>
      </c>
      <c r="L184" s="12" t="str">
        <f>[182]Main!$C$15&amp;" ("&amp;[182]Main!$C$14&amp;")"</f>
        <v>DCF (Base)</v>
      </c>
      <c r="M184" s="13">
        <v>46331</v>
      </c>
      <c r="N184" s="17" t="s">
        <v>82</v>
      </c>
    </row>
    <row r="185" spans="2:14" x14ac:dyDescent="0.2">
      <c r="B185" s="3" t="s">
        <v>424</v>
      </c>
      <c r="C185" t="s">
        <v>425</v>
      </c>
      <c r="D185" t="s">
        <v>22</v>
      </c>
      <c r="E185" s="6" t="s">
        <v>33</v>
      </c>
      <c r="F185" s="1">
        <v>4.1100000000000003</v>
      </c>
      <c r="G185" s="8">
        <f>F185*[183]Main!$C$4</f>
        <v>1339.1758699500001</v>
      </c>
      <c r="H185" s="10">
        <f>G185-[183]Main!$C$7+[183]Main!$C$8</f>
        <v>933.02886995000017</v>
      </c>
      <c r="J185" s="1">
        <f>IF(ISNUMBER([183]Main!$C$11),[183]Main!$C$11,"")</f>
        <v>1.2464861467839352</v>
      </c>
      <c r="K185" s="11">
        <f t="shared" si="2"/>
        <v>-0.69671869907933459</v>
      </c>
      <c r="L185" s="12" t="str">
        <f>[183]Main!$C$15&amp;" ("&amp;[183]Main!$C$14&amp;")"</f>
        <v>Net cash (small revenue)</v>
      </c>
      <c r="M185" s="13">
        <v>46329</v>
      </c>
      <c r="N185" s="17" t="s">
        <v>134</v>
      </c>
    </row>
    <row r="186" spans="2:14" x14ac:dyDescent="0.2">
      <c r="B186" s="3" t="s">
        <v>426</v>
      </c>
      <c r="C186" t="s">
        <v>427</v>
      </c>
      <c r="D186" t="s">
        <v>15</v>
      </c>
      <c r="E186" s="6" t="s">
        <v>33</v>
      </c>
      <c r="F186" s="1">
        <v>16.350000000000001</v>
      </c>
      <c r="G186" s="8">
        <f>F186*[184]Main!$C$4</f>
        <v>1183.5489666000001</v>
      </c>
      <c r="H186" s="10">
        <f>G186-[184]Main!$C$7+[184]Main!$C$8</f>
        <v>1124.8869666000001</v>
      </c>
      <c r="J186" s="1">
        <f>IF(ISNUMBER([184]Main!$C$11),[184]Main!$C$11,"")</f>
        <v>0.8103793987968998</v>
      </c>
      <c r="K186" s="11">
        <f t="shared" si="2"/>
        <v>-0.95043551077694799</v>
      </c>
      <c r="L186" s="12" t="str">
        <f>[184]Main!$C$15&amp;" ("&amp;[184]Main!$C$14&amp;")"</f>
        <v>Net cash (pre-revenue)</v>
      </c>
      <c r="M186" s="13">
        <v>46338</v>
      </c>
      <c r="N186" s="17" t="s">
        <v>190</v>
      </c>
    </row>
    <row r="187" spans="2:14" x14ac:dyDescent="0.2">
      <c r="B187" s="3" t="s">
        <v>428</v>
      </c>
      <c r="C187" t="s">
        <v>429</v>
      </c>
      <c r="D187" t="s">
        <v>22</v>
      </c>
      <c r="E187" s="6" t="s">
        <v>33</v>
      </c>
      <c r="F187" s="1">
        <v>18.350000000000001</v>
      </c>
      <c r="G187" s="8">
        <f>F187*[185]Main!$C$4</f>
        <v>1214.2733389</v>
      </c>
      <c r="H187" s="10">
        <f>G187-[185]Main!$C$7+[185]Main!$C$8</f>
        <v>717.01433889999998</v>
      </c>
      <c r="J187" s="1">
        <f>IF(ISNUMBER([185]Main!$C$11),[185]Main!$C$11,"")</f>
        <v>7.5145375902480014</v>
      </c>
      <c r="K187" s="11">
        <f t="shared" si="2"/>
        <v>-0.59048841470038149</v>
      </c>
      <c r="L187" s="12" t="str">
        <f>[185]Main!$C$15&amp;" ("&amp;[185]Main!$C$14&amp;")"</f>
        <v>Net cash (pre-revenue)</v>
      </c>
      <c r="M187" s="13">
        <v>46335</v>
      </c>
      <c r="N187" s="17" t="s">
        <v>87</v>
      </c>
    </row>
    <row r="188" spans="2:14" x14ac:dyDescent="0.2">
      <c r="B188" s="3" t="s">
        <v>430</v>
      </c>
      <c r="C188" t="s">
        <v>431</v>
      </c>
      <c r="D188" t="s">
        <v>22</v>
      </c>
      <c r="E188" s="6" t="s">
        <v>33</v>
      </c>
      <c r="F188" s="1">
        <v>13.25</v>
      </c>
      <c r="G188" s="8">
        <f>F188*[186]Main!$C$4</f>
        <v>1183.1863894999999</v>
      </c>
      <c r="H188" s="10">
        <f>G188-[186]Main!$C$7+[186]Main!$C$8</f>
        <v>1223.4423895</v>
      </c>
      <c r="J188" s="1">
        <f>IF(ISNUMBER([186]Main!$C$11),[186]Main!$C$11,"")</f>
        <v>-0.45080978342339162</v>
      </c>
      <c r="K188" s="11">
        <f t="shared" si="2"/>
        <v>-1.0340233798810108</v>
      </c>
      <c r="L188" s="12" t="str">
        <f>[186]Main!$C$15&amp;" ("&amp;[186]Main!$C$14&amp;")"</f>
        <v>Net cash (revenue jump)</v>
      </c>
      <c r="M188" s="13">
        <v>46328</v>
      </c>
      <c r="N188" s="17" t="s">
        <v>107</v>
      </c>
    </row>
    <row r="189" spans="2:14" x14ac:dyDescent="0.2">
      <c r="B189" s="3" t="s">
        <v>432</v>
      </c>
      <c r="C189" t="s">
        <v>433</v>
      </c>
      <c r="D189" t="s">
        <v>22</v>
      </c>
      <c r="E189" s="6" t="s">
        <v>33</v>
      </c>
      <c r="F189" s="1">
        <v>19.03</v>
      </c>
      <c r="G189" s="8">
        <f>F189*[187]Main!$C$4</f>
        <v>1125.8584548200001</v>
      </c>
      <c r="H189" s="10">
        <f>G189-[187]Main!$C$7+[187]Main!$C$8</f>
        <v>659.72945482000011</v>
      </c>
      <c r="J189" s="1">
        <f>IF(ISNUMBER([187]Main!$C$11),[187]Main!$C$11,"")</f>
        <v>7.8788188977256359</v>
      </c>
      <c r="K189" s="11">
        <f t="shared" si="2"/>
        <v>-0.5859790384799981</v>
      </c>
      <c r="L189" s="12" t="str">
        <f>[187]Main!$C$15&amp;" ("&amp;[187]Main!$C$14&amp;")"</f>
        <v>Net cash (pre-revenue)</v>
      </c>
      <c r="M189" s="13">
        <v>46338</v>
      </c>
      <c r="N189" s="17" t="s">
        <v>190</v>
      </c>
    </row>
    <row r="190" spans="2:14" x14ac:dyDescent="0.2">
      <c r="B190" s="3" t="s">
        <v>434</v>
      </c>
      <c r="C190" t="s">
        <v>435</v>
      </c>
      <c r="D190" t="s">
        <v>22</v>
      </c>
      <c r="E190" s="6" t="s">
        <v>33</v>
      </c>
      <c r="F190" s="1">
        <v>20.67</v>
      </c>
      <c r="G190" s="8">
        <f>F190*[188]Main!$C$4</f>
        <v>1276.07317773</v>
      </c>
      <c r="H190" s="10">
        <f>G190-[188]Main!$C$7+[188]Main!$C$8</f>
        <v>735.55817773000001</v>
      </c>
      <c r="J190" s="1">
        <f>IF(ISNUMBER([188]Main!$C$11),[188]Main!$C$11,"")</f>
        <v>8.7553325663302513</v>
      </c>
      <c r="K190" s="11">
        <f t="shared" si="2"/>
        <v>-0.57642319466230041</v>
      </c>
      <c r="L190" s="12" t="str">
        <f>[188]Main!$C$15&amp;" ("&amp;[188]Main!$C$14&amp;")"</f>
        <v>Net cash (pre-revenue)</v>
      </c>
      <c r="M190" s="13">
        <v>46331</v>
      </c>
      <c r="N190" s="17" t="s">
        <v>63</v>
      </c>
    </row>
    <row r="191" spans="2:14" x14ac:dyDescent="0.2">
      <c r="B191" s="3" t="s">
        <v>436</v>
      </c>
      <c r="C191" t="s">
        <v>437</v>
      </c>
      <c r="D191" t="s">
        <v>22</v>
      </c>
      <c r="E191" s="6" t="s">
        <v>33</v>
      </c>
      <c r="F191" s="1">
        <v>4.76</v>
      </c>
      <c r="G191" s="8">
        <f>F191*[189]Main!$C$4</f>
        <v>1209.3266805199999</v>
      </c>
      <c r="H191" s="10">
        <f>G191-[189]Main!$C$7+[189]Main!$C$8</f>
        <v>1066.4016805199999</v>
      </c>
      <c r="J191" s="1">
        <f>[189]Main!$C$11</f>
        <v>3.6845617641851964</v>
      </c>
      <c r="K191" s="11">
        <f t="shared" si="2"/>
        <v>-0.22593240248210156</v>
      </c>
      <c r="L191" s="12" t="str">
        <f>"rNPV ("&amp;[189]Main!$C$14&amp;")"</f>
        <v>rNPV (Base)</v>
      </c>
      <c r="M191" s="13">
        <v>46348</v>
      </c>
      <c r="N191" s="18" t="s">
        <v>438</v>
      </c>
    </row>
    <row r="192" spans="2:14" x14ac:dyDescent="0.2">
      <c r="B192" s="3" t="s">
        <v>439</v>
      </c>
      <c r="C192" t="s">
        <v>440</v>
      </c>
      <c r="D192" t="s">
        <v>15</v>
      </c>
      <c r="E192" s="6" t="s">
        <v>33</v>
      </c>
      <c r="F192" s="1">
        <v>19.164999999999999</v>
      </c>
      <c r="G192" s="8">
        <f>F192*[190]Main!$C$4</f>
        <v>1188.793355175</v>
      </c>
      <c r="H192" s="10">
        <f>G192-[190]Main!$C$7+[190]Main!$C$8</f>
        <v>942.54235517500001</v>
      </c>
      <c r="J192" s="1">
        <f>IF(ISNUMBER([190]Main!$C$11),[190]Main!$C$11,"")</f>
        <v>3.9699081379078418</v>
      </c>
      <c r="K192" s="11">
        <f t="shared" si="2"/>
        <v>-0.79285634553050655</v>
      </c>
      <c r="L192" s="12" t="str">
        <f>[190]Main!$C$15&amp;" ("&amp;[190]Main!$C$14&amp;")"</f>
        <v>Net cash (pre-revenue)</v>
      </c>
      <c r="M192" s="13">
        <v>46331</v>
      </c>
      <c r="N192" s="17" t="s">
        <v>63</v>
      </c>
    </row>
    <row r="193" spans="2:14" x14ac:dyDescent="0.2">
      <c r="B193" s="3" t="s">
        <v>441</v>
      </c>
      <c r="C193" t="s">
        <v>442</v>
      </c>
      <c r="D193" t="s">
        <v>22</v>
      </c>
      <c r="E193" s="6" t="s">
        <v>33</v>
      </c>
      <c r="F193" s="1">
        <v>20.47</v>
      </c>
      <c r="G193" s="8">
        <f>F193*[191]Main!$C$4</f>
        <v>1221.5869413299999</v>
      </c>
      <c r="H193" s="10">
        <f>G193-[191]Main!$C$7+[191]Main!$C$8</f>
        <v>1147.7519413299999</v>
      </c>
      <c r="J193" s="1">
        <f>IF(ISNUMBER([191]Main!$C$11),[191]Main!$C$11,"")</f>
        <v>1.2372450939549697</v>
      </c>
      <c r="K193" s="11">
        <f t="shared" si="2"/>
        <v>-0.93955812926453497</v>
      </c>
      <c r="L193" s="12" t="str">
        <f>[191]Main!$C$15&amp;" ("&amp;[191]Main!$C$14&amp;")"</f>
        <v>Net cash (pre-revenue)</v>
      </c>
      <c r="M193" s="13">
        <v>46330</v>
      </c>
      <c r="N193" s="17" t="s">
        <v>40</v>
      </c>
    </row>
    <row r="194" spans="2:14" x14ac:dyDescent="0.2">
      <c r="B194" s="3" t="s">
        <v>443</v>
      </c>
      <c r="C194" t="s">
        <v>444</v>
      </c>
      <c r="D194" t="s">
        <v>15</v>
      </c>
      <c r="E194" s="6" t="s">
        <v>33</v>
      </c>
      <c r="F194" s="1">
        <v>25.94</v>
      </c>
      <c r="G194" s="8">
        <f>F194*[192]Main!$C$4</f>
        <v>1103.4342673600001</v>
      </c>
      <c r="H194" s="10">
        <f>G194-[192]Main!$C$7+[192]Main!$C$8</f>
        <v>1425.36326736</v>
      </c>
      <c r="J194" s="1">
        <f>IF(ISNUMBER([192]Main!$C$11),[192]Main!$C$11,"")</f>
        <v>29.908820222805119</v>
      </c>
      <c r="K194" s="11">
        <f t="shared" si="2"/>
        <v>0.15300000858924889</v>
      </c>
      <c r="L194" s="12" t="str">
        <f>[192]Main!$C$15&amp;" ("&amp;[192]Main!$C$14&amp;")"</f>
        <v>DCF (Base)</v>
      </c>
      <c r="M194" s="13">
        <v>46331</v>
      </c>
      <c r="N194" s="17" t="s">
        <v>63</v>
      </c>
    </row>
    <row r="195" spans="2:14" x14ac:dyDescent="0.2">
      <c r="B195" s="3" t="s">
        <v>445</v>
      </c>
      <c r="C195" t="s">
        <v>446</v>
      </c>
      <c r="D195" t="s">
        <v>15</v>
      </c>
      <c r="E195" s="6" t="s">
        <v>33</v>
      </c>
      <c r="F195" s="1">
        <v>24.63</v>
      </c>
      <c r="G195" s="8">
        <f>F195*[193]Main!$C$4</f>
        <v>1091.9241298499999</v>
      </c>
      <c r="H195" s="10">
        <f>G195-[193]Main!$C$7+[193]Main!$C$8</f>
        <v>754.30012984999996</v>
      </c>
      <c r="J195" s="1">
        <f>IF(ISNUMBER([193]Main!$C$11),[193]Main!$C$11,"")</f>
        <v>7.6156198884828594</v>
      </c>
      <c r="K195" s="11">
        <f t="shared" ref="K195:K258" si="3">IFERROR(J195/F195-1,"")</f>
        <v>-0.69079903010625821</v>
      </c>
      <c r="L195" s="12" t="str">
        <f>[193]Main!$C$15&amp;" ("&amp;[193]Main!$C$14&amp;")"</f>
        <v>Net cash (pre-revenue)</v>
      </c>
      <c r="M195" s="13">
        <v>46337</v>
      </c>
      <c r="N195" s="17" t="s">
        <v>104</v>
      </c>
    </row>
    <row r="196" spans="2:14" x14ac:dyDescent="0.2">
      <c r="B196" s="3" t="s">
        <v>447</v>
      </c>
      <c r="C196" t="s">
        <v>448</v>
      </c>
      <c r="D196" t="s">
        <v>22</v>
      </c>
      <c r="E196" s="6" t="s">
        <v>33</v>
      </c>
      <c r="F196" s="1">
        <v>24.14</v>
      </c>
      <c r="G196" s="8">
        <f>F196*[194]Main!$C$4</f>
        <v>1168.6190415200001</v>
      </c>
      <c r="H196" s="10">
        <f>G196-[194]Main!$C$7+[194]Main!$C$8</f>
        <v>1109.2593385998402</v>
      </c>
      <c r="J196" s="1">
        <f>IF(ISNUMBER([194]Main!$C$11),[194]Main!$C$11,"")</f>
        <v>1.2261850762151334</v>
      </c>
      <c r="K196" s="11">
        <f t="shared" si="3"/>
        <v>-0.94920525782041698</v>
      </c>
      <c r="L196" s="12" t="str">
        <f>[194]Main!$C$15&amp;" ("&amp;[194]Main!$C$14&amp;")"</f>
        <v>Net cash (small revenue)</v>
      </c>
      <c r="M196" s="13"/>
      <c r="N196" s="17"/>
    </row>
    <row r="197" spans="2:14" x14ac:dyDescent="0.2">
      <c r="B197" s="3" t="s">
        <v>449</v>
      </c>
      <c r="C197" t="s">
        <v>450</v>
      </c>
      <c r="D197" t="s">
        <v>22</v>
      </c>
      <c r="E197" s="6" t="s">
        <v>33</v>
      </c>
      <c r="F197" s="1">
        <v>11.42</v>
      </c>
      <c r="G197" s="8">
        <f>F197*[195]Main!$C$4</f>
        <v>1075.98822028</v>
      </c>
      <c r="H197" s="10">
        <f>G197-[195]Main!$C$7+[195]Main!$C$8</f>
        <v>964.77422028000001</v>
      </c>
      <c r="J197" s="1">
        <f>IF(ISNUMBER([195]Main!$C$11),[195]Main!$C$11,"")</f>
        <v>1.1803696881267869</v>
      </c>
      <c r="K197" s="11">
        <f t="shared" si="3"/>
        <v>-0.89664013238819729</v>
      </c>
      <c r="L197" s="12" t="str">
        <f>[195]Main!$C$15&amp;" ("&amp;[195]Main!$C$14&amp;")"</f>
        <v>Net cash (pre-revenue)</v>
      </c>
      <c r="M197" s="13">
        <v>46331</v>
      </c>
      <c r="N197" s="17" t="s">
        <v>63</v>
      </c>
    </row>
    <row r="198" spans="2:14" x14ac:dyDescent="0.2">
      <c r="B198" s="3" t="s">
        <v>451</v>
      </c>
      <c r="C198" t="s">
        <v>452</v>
      </c>
      <c r="D198" t="s">
        <v>15</v>
      </c>
      <c r="E198" s="6" t="s">
        <v>33</v>
      </c>
      <c r="F198" s="1">
        <v>28.07</v>
      </c>
      <c r="G198" s="8">
        <f>F198*[196]Main!$C$4</f>
        <v>1052.2839495000001</v>
      </c>
      <c r="H198" s="10">
        <f>G198-[196]Main!$C$7+[196]Main!$C$8</f>
        <v>1260.7739495000001</v>
      </c>
      <c r="J198" s="1">
        <f>IF(ISNUMBER([196]Main!$C$11),[196]Main!$C$11,"")</f>
        <v>5.0095930194691807</v>
      </c>
      <c r="K198" s="11">
        <f t="shared" si="3"/>
        <v>-0.82153213325724328</v>
      </c>
      <c r="L198" s="12" t="str">
        <f>[196]Main!$C$15&amp;" ("&amp;[196]Main!$C$14&amp;")"</f>
        <v>DCF (Base)</v>
      </c>
      <c r="M198" s="13">
        <v>46335</v>
      </c>
      <c r="N198" s="17" t="s">
        <v>87</v>
      </c>
    </row>
    <row r="199" spans="2:14" x14ac:dyDescent="0.2">
      <c r="B199" s="3" t="s">
        <v>453</v>
      </c>
      <c r="C199" t="s">
        <v>454</v>
      </c>
      <c r="D199" t="s">
        <v>22</v>
      </c>
      <c r="E199" s="6" t="s">
        <v>33</v>
      </c>
      <c r="F199" s="1">
        <v>16.739999999999998</v>
      </c>
      <c r="G199" s="8">
        <f>F199*[197]Main!$C$4</f>
        <v>1023.4295800199999</v>
      </c>
      <c r="H199" s="10">
        <f>G199-[197]Main!$C$7+[197]Main!$C$8</f>
        <v>52.516580019999878</v>
      </c>
      <c r="J199" s="1">
        <f>IF(ISNUMBER([197]Main!$C$11),[197]Main!$C$11,"")</f>
        <v>15.880998494964725</v>
      </c>
      <c r="K199" s="11">
        <f t="shared" si="3"/>
        <v>-5.1314307349777377E-2</v>
      </c>
      <c r="L199" s="12" t="str">
        <f>[197]Main!$C$15&amp;" ("&amp;[197]Main!$C$14&amp;")"</f>
        <v>Net cash (small revenue)</v>
      </c>
      <c r="M199" s="13">
        <v>46331</v>
      </c>
      <c r="N199" s="17" t="s">
        <v>63</v>
      </c>
    </row>
    <row r="200" spans="2:14" x14ac:dyDescent="0.2">
      <c r="B200" s="3" t="s">
        <v>455</v>
      </c>
      <c r="C200" t="s">
        <v>456</v>
      </c>
      <c r="D200" t="s">
        <v>22</v>
      </c>
      <c r="E200" s="6" t="s">
        <v>33</v>
      </c>
      <c r="F200" s="1">
        <v>3.1</v>
      </c>
      <c r="G200" s="8">
        <f>F200*[198]Main!$C$4</f>
        <v>996.77597470000001</v>
      </c>
      <c r="H200" s="10">
        <f>G200-[198]Main!$C$7+[198]Main!$C$8</f>
        <v>1204.7309746999999</v>
      </c>
      <c r="J200" s="1">
        <f>IF(ISNUMBER([198]Main!$C$11),[198]Main!$C$11,"")</f>
        <v>2.9962755255740356</v>
      </c>
      <c r="K200" s="11">
        <f t="shared" si="3"/>
        <v>-3.3459507879343375E-2</v>
      </c>
      <c r="L200" s="12" t="str">
        <f>[198]Main!$C$15&amp;" ("&amp;[198]Main!$C$14&amp;")"</f>
        <v>DCF (Base)</v>
      </c>
      <c r="M200" s="13">
        <v>46330</v>
      </c>
      <c r="N200" s="17" t="s">
        <v>40</v>
      </c>
    </row>
    <row r="201" spans="2:14" x14ac:dyDescent="0.2">
      <c r="B201" s="3" t="s">
        <v>457</v>
      </c>
      <c r="C201" t="s">
        <v>458</v>
      </c>
      <c r="D201" t="s">
        <v>15</v>
      </c>
      <c r="E201" s="6" t="s">
        <v>33</v>
      </c>
      <c r="F201" s="1">
        <v>19.28</v>
      </c>
      <c r="G201" s="8">
        <f>F201*[199]Main!$C$4</f>
        <v>1032.0690039999999</v>
      </c>
      <c r="H201" s="10">
        <f>G201-[199]Main!$C$7+[199]Main!$C$8</f>
        <v>758.76000399999998</v>
      </c>
      <c r="J201" s="1">
        <f>IF(ISNUMBER([199]Main!$C$11),[199]Main!$C$11,"")</f>
        <v>5.1056639619805892</v>
      </c>
      <c r="K201" s="11">
        <f t="shared" si="3"/>
        <v>-0.7351834044615877</v>
      </c>
      <c r="L201" s="12" t="str">
        <f>[199]Main!$C$15&amp;" ("&amp;[199]Main!$C$14&amp;")"</f>
        <v>Net cash (pre-revenue)</v>
      </c>
      <c r="M201" s="13">
        <v>46328</v>
      </c>
      <c r="N201" s="17" t="s">
        <v>107</v>
      </c>
    </row>
    <row r="202" spans="2:14" x14ac:dyDescent="0.2">
      <c r="B202" s="3" t="s">
        <v>459</v>
      </c>
      <c r="C202" t="s">
        <v>460</v>
      </c>
      <c r="D202" t="s">
        <v>22</v>
      </c>
      <c r="E202" s="6" t="s">
        <v>33</v>
      </c>
      <c r="F202" s="1">
        <v>6.2</v>
      </c>
      <c r="G202" s="8">
        <f>F202*[200]Main!$C$4</f>
        <v>984.87394940000001</v>
      </c>
      <c r="H202" s="10">
        <f>G202-[200]Main!$C$7+[200]Main!$C$8</f>
        <v>975.57394940000006</v>
      </c>
      <c r="J202" s="1">
        <f>IF(ISNUMBER([200]Main!$C$11),[200]Main!$C$11,"")</f>
        <v>5.8545563150621802E-2</v>
      </c>
      <c r="K202" s="11">
        <f t="shared" si="3"/>
        <v>-0.99055716723377063</v>
      </c>
      <c r="L202" s="12" t="str">
        <f>[200]Main!$C$15&amp;" ("&amp;[200]Main!$C$14&amp;")"</f>
        <v>Net cash (pre-revenue)</v>
      </c>
      <c r="M202" s="13">
        <v>46338</v>
      </c>
      <c r="N202" s="17" t="s">
        <v>190</v>
      </c>
    </row>
    <row r="203" spans="2:14" x14ac:dyDescent="0.2">
      <c r="B203" s="3" t="s">
        <v>461</v>
      </c>
      <c r="C203" t="s">
        <v>462</v>
      </c>
      <c r="D203" t="s">
        <v>15</v>
      </c>
      <c r="E203" s="6" t="s">
        <v>33</v>
      </c>
      <c r="F203" s="1">
        <v>15.25</v>
      </c>
      <c r="G203" s="8">
        <f>F203*[201]Main!$C$4</f>
        <v>1011.06504175</v>
      </c>
      <c r="H203" s="10">
        <f>G203-[201]Main!$C$7+[201]Main!$C$8</f>
        <v>985.95904174999998</v>
      </c>
      <c r="J203" s="1">
        <f>IF(ISNUMBER([201]Main!$C$11),[201]Main!$C$11,"")</f>
        <v>0.37867642949786523</v>
      </c>
      <c r="K203" s="11">
        <f t="shared" si="3"/>
        <v>-0.97516875872145148</v>
      </c>
      <c r="L203" s="12" t="str">
        <f>[201]Main!$C$15&amp;" ("&amp;[201]Main!$C$14&amp;")"</f>
        <v>Net cash (pre-revenue)</v>
      </c>
      <c r="M203" s="13">
        <v>46359</v>
      </c>
      <c r="N203" s="17" t="s">
        <v>463</v>
      </c>
    </row>
    <row r="204" spans="2:14" x14ac:dyDescent="0.2">
      <c r="B204" s="3" t="s">
        <v>464</v>
      </c>
      <c r="C204" t="s">
        <v>465</v>
      </c>
      <c r="D204" t="s">
        <v>22</v>
      </c>
      <c r="E204" s="6" t="s">
        <v>33</v>
      </c>
      <c r="F204" s="1">
        <v>7.51</v>
      </c>
      <c r="G204" s="8">
        <f>F204*[202]Main!$C$4</f>
        <v>1006.8764543199999</v>
      </c>
      <c r="H204" s="10">
        <f>G204-[202]Main!$C$7+[202]Main!$C$8</f>
        <v>478.7303900652314</v>
      </c>
      <c r="J204" s="1">
        <f>IF(ISNUMBER([202]Main!$C$11),[202]Main!$C$11,"")</f>
        <v>3.9392886044117774</v>
      </c>
      <c r="K204" s="11">
        <f t="shared" si="3"/>
        <v>-0.47546090487193371</v>
      </c>
      <c r="L204" s="12" t="str">
        <f>[202]Main!$C$15&amp;" ("&amp;[202]Main!$C$14&amp;")"</f>
        <v>Net cash (pre-revenue)</v>
      </c>
      <c r="M204" s="13">
        <v>46342</v>
      </c>
      <c r="N204" s="17" t="s">
        <v>466</v>
      </c>
    </row>
    <row r="205" spans="2:14" x14ac:dyDescent="0.2">
      <c r="B205" s="3" t="s">
        <v>467</v>
      </c>
      <c r="C205" t="s">
        <v>468</v>
      </c>
      <c r="D205" t="s">
        <v>22</v>
      </c>
      <c r="E205" s="6" t="s">
        <v>33</v>
      </c>
      <c r="F205" s="1">
        <v>9.9700000000000006</v>
      </c>
      <c r="G205" s="8">
        <f>F205*[203]Main!$C$4</f>
        <v>957.54867012000011</v>
      </c>
      <c r="H205" s="10">
        <f>G205-[203]Main!$C$7+[203]Main!$C$8</f>
        <v>914.38267012000006</v>
      </c>
      <c r="J205" s="1">
        <f>IF(ISNUMBER([203]Main!$C$11),[203]Main!$C$11,"")</f>
        <v>0.44944453836071496</v>
      </c>
      <c r="K205" s="11">
        <f t="shared" si="3"/>
        <v>-0.95492030708518405</v>
      </c>
      <c r="L205" s="12" t="str">
        <f>[203]Main!$C$15&amp;" ("&amp;[203]Main!$C$14&amp;")"</f>
        <v>Net cash (revenue jump)</v>
      </c>
      <c r="M205" s="13">
        <v>46338</v>
      </c>
      <c r="N205" s="17" t="s">
        <v>190</v>
      </c>
    </row>
    <row r="206" spans="2:14" x14ac:dyDescent="0.2">
      <c r="B206" s="3" t="s">
        <v>469</v>
      </c>
      <c r="C206" t="s">
        <v>470</v>
      </c>
      <c r="D206" t="s">
        <v>22</v>
      </c>
      <c r="E206" s="6" t="s">
        <v>33</v>
      </c>
      <c r="F206" s="1">
        <v>48.11</v>
      </c>
      <c r="G206" s="8">
        <f>F206*[204]Main!$C$4</f>
        <v>898.68825703999994</v>
      </c>
      <c r="H206" s="10">
        <f>G206-[204]Main!$C$7+[204]Main!$C$8</f>
        <v>842.53825703999996</v>
      </c>
      <c r="J206" s="1">
        <f>IF(ISNUMBER([204]Main!$C$11),[204]Main!$C$11,"")</f>
        <v>25.235480556005236</v>
      </c>
      <c r="K206" s="11">
        <f t="shared" si="3"/>
        <v>-0.475462885969544</v>
      </c>
      <c r="L206" s="12" t="str">
        <f>[204]Main!$C$15&amp;" ("&amp;[204]Main!$C$14&amp;")"</f>
        <v>DCF (Base)</v>
      </c>
      <c r="M206" s="13">
        <v>46329</v>
      </c>
      <c r="N206" s="17" t="s">
        <v>134</v>
      </c>
    </row>
    <row r="207" spans="2:14" x14ac:dyDescent="0.2">
      <c r="B207" s="3" t="s">
        <v>471</v>
      </c>
      <c r="C207" t="s">
        <v>472</v>
      </c>
      <c r="D207" t="s">
        <v>15</v>
      </c>
      <c r="E207" s="6" t="s">
        <v>16</v>
      </c>
      <c r="F207" s="1">
        <v>24.414999999999999</v>
      </c>
      <c r="G207" s="8">
        <f>F207*[205]Main!$C$4</f>
        <v>958.09596915999987</v>
      </c>
      <c r="H207" s="10">
        <f>G207-[205]Main!$C$7+[205]Main!$C$8</f>
        <v>730.54996915999993</v>
      </c>
      <c r="J207" s="1">
        <f>IF(ISNUMBER([205]Main!$C$11),[205]Main!$C$11,"")</f>
        <v>5.7985168175488244</v>
      </c>
      <c r="K207" s="11">
        <f t="shared" si="3"/>
        <v>-0.76250187108135059</v>
      </c>
      <c r="L207" s="12" t="str">
        <f>[205]Main!$C$15&amp;" ("&amp;[205]Main!$C$14&amp;")"</f>
        <v>Net cash (pre-revenue)</v>
      </c>
      <c r="M207" s="13">
        <v>46337</v>
      </c>
      <c r="N207" s="17" t="s">
        <v>104</v>
      </c>
    </row>
    <row r="208" spans="2:14" x14ac:dyDescent="0.2">
      <c r="B208" s="3" t="s">
        <v>473</v>
      </c>
      <c r="C208" t="s">
        <v>474</v>
      </c>
      <c r="D208" t="s">
        <v>22</v>
      </c>
      <c r="E208" s="6" t="s">
        <v>33</v>
      </c>
      <c r="F208" s="1">
        <v>14.86</v>
      </c>
      <c r="G208" s="8">
        <f>F208*[206]Main!$C$4</f>
        <v>945.0571708199999</v>
      </c>
      <c r="H208" s="10">
        <f>G208-[206]Main!$C$7+[206]Main!$C$8</f>
        <v>483.85217081999991</v>
      </c>
      <c r="J208" s="1">
        <f>IF(ISNUMBER([206]Main!$C$11),[206]Main!$C$11,"")</f>
        <v>7.2519488890321862</v>
      </c>
      <c r="K208" s="11">
        <f t="shared" si="3"/>
        <v>-0.51198190517952979</v>
      </c>
      <c r="L208" s="12" t="str">
        <f>[206]Main!$C$15&amp;" ("&amp;[206]Main!$C$14&amp;")"</f>
        <v>Net cash (pre-revenue)</v>
      </c>
      <c r="M208" s="13">
        <v>46338</v>
      </c>
      <c r="N208" s="17" t="s">
        <v>190</v>
      </c>
    </row>
    <row r="209" spans="2:14" x14ac:dyDescent="0.2">
      <c r="B209" s="3" t="s">
        <v>475</v>
      </c>
      <c r="C209" t="s">
        <v>476</v>
      </c>
      <c r="D209" t="s">
        <v>22</v>
      </c>
      <c r="E209" s="6" t="s">
        <v>33</v>
      </c>
      <c r="F209" s="1">
        <v>18.989999999999998</v>
      </c>
      <c r="G209" s="8">
        <f>F209*[207]Main!$C$4</f>
        <v>912.63142772999993</v>
      </c>
      <c r="H209" s="10">
        <f>G209-[207]Main!$C$7+[207]Main!$C$8</f>
        <v>602.05642772999988</v>
      </c>
      <c r="J209" s="1">
        <f>IF(ISNUMBER([207]Main!$C$11),[207]Main!$C$11,"")</f>
        <v>6.4624327749371107</v>
      </c>
      <c r="K209" s="11">
        <f t="shared" si="3"/>
        <v>-0.65969285018761914</v>
      </c>
      <c r="L209" s="12" t="str">
        <f>[207]Main!$C$15&amp;" ("&amp;[207]Main!$C$14&amp;")"</f>
        <v>Net cash (pre-revenue)</v>
      </c>
      <c r="M209" s="13">
        <v>46330</v>
      </c>
      <c r="N209" s="17" t="s">
        <v>40</v>
      </c>
    </row>
    <row r="210" spans="2:14" x14ac:dyDescent="0.2">
      <c r="B210" s="3" t="s">
        <v>477</v>
      </c>
      <c r="C210" t="s">
        <v>478</v>
      </c>
      <c r="D210" t="s">
        <v>22</v>
      </c>
      <c r="E210" s="6" t="s">
        <v>33</v>
      </c>
      <c r="F210" s="1">
        <v>4.33</v>
      </c>
      <c r="G210" s="8">
        <f>F210*[208]Main!$C$4</f>
        <v>856.68112555000005</v>
      </c>
      <c r="H210" s="10">
        <f>G210-[208]Main!$C$7+[208]Main!$C$8</f>
        <v>764.05612555000005</v>
      </c>
      <c r="J210" s="1">
        <f>IF(ISNUMBER([208]Main!$C$11),[208]Main!$C$11,"")</f>
        <v>0.46816281815770183</v>
      </c>
      <c r="K210" s="11">
        <f t="shared" si="3"/>
        <v>-0.89187925677651225</v>
      </c>
      <c r="L210" s="12" t="str">
        <f>[208]Main!$C$15&amp;" ("&amp;[208]Main!$C$14&amp;")"</f>
        <v>Net cash (revenue jump)</v>
      </c>
      <c r="M210" s="13">
        <v>46338</v>
      </c>
      <c r="N210" s="17" t="s">
        <v>190</v>
      </c>
    </row>
    <row r="211" spans="2:14" x14ac:dyDescent="0.2">
      <c r="B211" s="3" t="s">
        <v>479</v>
      </c>
      <c r="C211" t="s">
        <v>480</v>
      </c>
      <c r="D211" t="s">
        <v>22</v>
      </c>
      <c r="E211" s="6" t="s">
        <v>33</v>
      </c>
      <c r="F211" s="1">
        <v>14.83</v>
      </c>
      <c r="G211" s="8">
        <f>F211*[209]Main!$C$4</f>
        <v>954.38011201999996</v>
      </c>
      <c r="H211" s="10">
        <f>G211-[209]Main!$C$7+[209]Main!$C$8</f>
        <v>619.84211201999995</v>
      </c>
      <c r="J211" s="1">
        <f>IF(ISNUMBER([209]Main!$C$11),[209]Main!$C$11,"")</f>
        <v>5.1983465262067758</v>
      </c>
      <c r="K211" s="11">
        <f t="shared" si="3"/>
        <v>-0.64947090180669076</v>
      </c>
      <c r="L211" s="12" t="str">
        <f>[209]Main!$C$15&amp;" ("&amp;[209]Main!$C$14&amp;")"</f>
        <v>Net cash (pre-revenue)</v>
      </c>
      <c r="M211" s="13">
        <v>46331</v>
      </c>
      <c r="N211" s="17" t="s">
        <v>63</v>
      </c>
    </row>
    <row r="212" spans="2:14" x14ac:dyDescent="0.2">
      <c r="B212" s="3" t="s">
        <v>481</v>
      </c>
      <c r="C212" t="s">
        <v>482</v>
      </c>
      <c r="D212" t="s">
        <v>22</v>
      </c>
      <c r="E212" s="6" t="s">
        <v>33</v>
      </c>
      <c r="F212" s="1">
        <v>11.36</v>
      </c>
      <c r="G212" s="8">
        <f>F212*[210]Main!$C$4</f>
        <v>969.16023535999989</v>
      </c>
      <c r="H212" s="10">
        <f>G212-[210]Main!$C$7+[210]Main!$C$8</f>
        <v>348.06023535999987</v>
      </c>
      <c r="J212" s="1">
        <f>IF(ISNUMBER([210]Main!$C$11),[210]Main!$C$11,"")</f>
        <v>7.280216152676882</v>
      </c>
      <c r="K212" s="11">
        <f t="shared" si="3"/>
        <v>-0.35913590205309132</v>
      </c>
      <c r="L212" s="12" t="str">
        <f>[210]Main!$C$15&amp;" ("&amp;[210]Main!$C$14&amp;")"</f>
        <v>Net cash (small revenue)</v>
      </c>
      <c r="M212" s="13">
        <v>46331</v>
      </c>
      <c r="N212" s="17" t="s">
        <v>63</v>
      </c>
    </row>
    <row r="213" spans="2:14" x14ac:dyDescent="0.2">
      <c r="B213" s="3" t="s">
        <v>483</v>
      </c>
      <c r="C213" t="s">
        <v>484</v>
      </c>
      <c r="D213" t="s">
        <v>15</v>
      </c>
      <c r="E213" s="6" t="s">
        <v>33</v>
      </c>
      <c r="F213" s="1">
        <v>26.16</v>
      </c>
      <c r="G213" s="8">
        <f>F213*[211]Main!$C$4</f>
        <v>874.99913063999986</v>
      </c>
      <c r="H213" s="10">
        <f>G213-[211]Main!$C$7+[211]Main!$C$8</f>
        <v>651.85613063999983</v>
      </c>
      <c r="J213" s="1">
        <f>IF(ISNUMBER([211]Main!$C$11),[211]Main!$C$11,"")</f>
        <v>6.6713447769146237</v>
      </c>
      <c r="K213" s="11">
        <f t="shared" si="3"/>
        <v>-0.74497917519439505</v>
      </c>
      <c r="L213" s="12" t="str">
        <f>[211]Main!$C$15&amp;" ("&amp;[211]Main!$C$14&amp;")"</f>
        <v>Net cash (pre-revenue)</v>
      </c>
      <c r="M213" s="13">
        <v>46331</v>
      </c>
      <c r="N213" s="17" t="s">
        <v>63</v>
      </c>
    </row>
    <row r="214" spans="2:14" x14ac:dyDescent="0.2">
      <c r="B214" s="3" t="s">
        <v>485</v>
      </c>
      <c r="C214" t="s">
        <v>486</v>
      </c>
      <c r="D214" t="s">
        <v>22</v>
      </c>
      <c r="E214" s="6" t="s">
        <v>33</v>
      </c>
      <c r="F214" s="1">
        <v>18.850000000000001</v>
      </c>
      <c r="G214" s="8">
        <f>F214*[212]Main!$C$4</f>
        <v>929.45069165000007</v>
      </c>
      <c r="H214" s="10">
        <f>G214-[212]Main!$C$7+[212]Main!$C$8</f>
        <v>556.33169165000004</v>
      </c>
      <c r="J214" s="1">
        <f>IF(ISNUMBER([212]Main!$C$11),[212]Main!$C$11,"")</f>
        <v>7.5671503751470688</v>
      </c>
      <c r="K214" s="11">
        <f t="shared" si="3"/>
        <v>-0.59855966179591147</v>
      </c>
      <c r="L214" s="12" t="str">
        <f>[212]Main!$C$15&amp;" ("&amp;[212]Main!$C$14&amp;")"</f>
        <v>Net cash (pre-revenue)</v>
      </c>
      <c r="M214" s="13">
        <v>46335</v>
      </c>
      <c r="N214" s="17" t="s">
        <v>87</v>
      </c>
    </row>
    <row r="215" spans="2:14" x14ac:dyDescent="0.2">
      <c r="B215" s="3" t="s">
        <v>487</v>
      </c>
      <c r="C215" t="s">
        <v>488</v>
      </c>
      <c r="D215" t="s">
        <v>22</v>
      </c>
      <c r="E215" s="6" t="s">
        <v>33</v>
      </c>
      <c r="F215" s="1">
        <v>3.21</v>
      </c>
      <c r="G215" s="8">
        <f>F215*[213]Main!$C$4</f>
        <v>799.89210611999999</v>
      </c>
      <c r="H215" s="10">
        <f>G215-[213]Main!$C$7+[213]Main!$C$8</f>
        <v>769.88510611999993</v>
      </c>
      <c r="J215" s="1">
        <f>IF(ISNUMBER([213]Main!$C$11),[213]Main!$C$11,"")</f>
        <v>4.1169400908759641</v>
      </c>
      <c r="K215" s="11">
        <f t="shared" si="3"/>
        <v>0.28253585385544056</v>
      </c>
      <c r="L215" s="12" t="str">
        <f>[213]Main!$C$15&amp;" ("&amp;[213]Main!$C$14&amp;")"</f>
        <v>DCF (Base)</v>
      </c>
      <c r="M215" s="13">
        <v>46324</v>
      </c>
      <c r="N215" s="17" t="s">
        <v>214</v>
      </c>
    </row>
    <row r="216" spans="2:14" x14ac:dyDescent="0.2">
      <c r="B216" s="3" t="s">
        <v>489</v>
      </c>
      <c r="C216" t="s">
        <v>490</v>
      </c>
      <c r="D216" t="s">
        <v>22</v>
      </c>
      <c r="E216" s="6" t="s">
        <v>33</v>
      </c>
      <c r="F216" s="1">
        <v>10.32</v>
      </c>
      <c r="G216" s="8">
        <f>F216*[214]Main!$C$4</f>
        <v>878.3009892</v>
      </c>
      <c r="H216" s="10">
        <f>G216-[214]Main!$C$7+[214]Main!$C$8</f>
        <v>440.78498920000004</v>
      </c>
      <c r="J216" s="1">
        <f>IF(ISNUMBER([214]Main!$C$11),[214]Main!$C$11,"")</f>
        <v>5.1407947566046071</v>
      </c>
      <c r="K216" s="11">
        <f t="shared" si="3"/>
        <v>-0.501860973197228</v>
      </c>
      <c r="L216" s="12" t="str">
        <f>[214]Main!$C$15&amp;" ("&amp;[214]Main!$C$14&amp;")"</f>
        <v>Net cash (pre-revenue)</v>
      </c>
      <c r="M216" s="13">
        <v>46330</v>
      </c>
      <c r="N216" s="17" t="s">
        <v>40</v>
      </c>
    </row>
    <row r="217" spans="2:14" x14ac:dyDescent="0.2">
      <c r="B217" s="3" t="s">
        <v>491</v>
      </c>
      <c r="C217" t="s">
        <v>492</v>
      </c>
      <c r="D217" t="s">
        <v>22</v>
      </c>
      <c r="E217" s="6" t="s">
        <v>33</v>
      </c>
      <c r="F217" s="1">
        <v>9.98</v>
      </c>
      <c r="G217" s="8">
        <f>F217*[215]Main!$C$4</f>
        <v>887.82697761999998</v>
      </c>
      <c r="H217" s="10">
        <f>G217-[215]Main!$C$7+[215]Main!$C$8</f>
        <v>378.59197762000002</v>
      </c>
      <c r="J217" s="1">
        <f>IF(ISNUMBER([215]Main!$C$11),[215]Main!$C$11,"")</f>
        <v>0.99873536239443261</v>
      </c>
      <c r="K217" s="11">
        <f t="shared" si="3"/>
        <v>-0.89992631639334342</v>
      </c>
      <c r="L217" s="12" t="str">
        <f>[215]Main!$C$15&amp;" ("&amp;[215]Main!$C$14&amp;")"</f>
        <v>DCF (Base)</v>
      </c>
      <c r="M217" s="13">
        <v>46329</v>
      </c>
      <c r="N217" s="17" t="s">
        <v>134</v>
      </c>
    </row>
    <row r="218" spans="2:14" x14ac:dyDescent="0.2">
      <c r="B218" s="3" t="s">
        <v>493</v>
      </c>
      <c r="C218" t="s">
        <v>494</v>
      </c>
      <c r="D218" t="s">
        <v>22</v>
      </c>
      <c r="E218" s="6" t="s">
        <v>33</v>
      </c>
      <c r="F218" s="1">
        <v>16.079999999999998</v>
      </c>
      <c r="G218" s="8">
        <f>F218*[216]Main!$C$4</f>
        <v>859.41524975999994</v>
      </c>
      <c r="H218" s="10">
        <f>G218-[216]Main!$C$7+[216]Main!$C$8</f>
        <v>342.11524975999998</v>
      </c>
      <c r="J218" s="1">
        <f>IF(ISNUMBER([216]Main!$C$11),[216]Main!$C$11,"")</f>
        <v>9.6788880606004284</v>
      </c>
      <c r="K218" s="11">
        <f t="shared" si="3"/>
        <v>-0.39807910070892849</v>
      </c>
      <c r="L218" s="12" t="str">
        <f>[216]Main!$C$15&amp;" ("&amp;[216]Main!$C$14&amp;")"</f>
        <v>Net cash (pre-revenue)</v>
      </c>
      <c r="M218" s="13">
        <v>46338</v>
      </c>
      <c r="N218" s="17" t="s">
        <v>190</v>
      </c>
    </row>
    <row r="219" spans="2:14" x14ac:dyDescent="0.2">
      <c r="B219" s="3" t="s">
        <v>495</v>
      </c>
      <c r="C219" t="s">
        <v>496</v>
      </c>
      <c r="D219" t="s">
        <v>22</v>
      </c>
      <c r="E219" s="6" t="s">
        <v>33</v>
      </c>
      <c r="F219" s="1">
        <v>10.23</v>
      </c>
      <c r="G219" s="8">
        <f>F219*[217]Main!$C$4</f>
        <v>860.55725712000003</v>
      </c>
      <c r="H219" s="10">
        <f>G219-[217]Main!$C$7+[217]Main!$C$8</f>
        <v>645.32925711999997</v>
      </c>
      <c r="J219" s="1">
        <f>IF(ISNUMBER([217]Main!$C$11),[217]Main!$C$11,"")</f>
        <v>2.55855426444097</v>
      </c>
      <c r="K219" s="11">
        <f t="shared" si="3"/>
        <v>-0.74989694384741257</v>
      </c>
      <c r="L219" s="12" t="str">
        <f>[217]Main!$C$15&amp;" ("&amp;[217]Main!$C$14&amp;")"</f>
        <v>Net cash (pre-revenue)</v>
      </c>
      <c r="M219" s="13">
        <v>46329</v>
      </c>
      <c r="N219" s="17" t="s">
        <v>134</v>
      </c>
    </row>
    <row r="220" spans="2:14" x14ac:dyDescent="0.2">
      <c r="B220" s="3" t="s">
        <v>497</v>
      </c>
      <c r="C220" t="s">
        <v>498</v>
      </c>
      <c r="D220" t="s">
        <v>15</v>
      </c>
      <c r="E220" s="6" t="s">
        <v>33</v>
      </c>
      <c r="F220" s="1">
        <v>6.7</v>
      </c>
      <c r="G220" s="8">
        <f>F220*[218]Main!$C$4</f>
        <v>867.21610129999999</v>
      </c>
      <c r="H220" s="10">
        <f>G220-[218]Main!$C$7+[218]Main!$C$8</f>
        <v>364.92310129999998</v>
      </c>
      <c r="J220" s="1">
        <f>IF(ISNUMBER([218]Main!$C$11),[218]Main!$C$11,"")</f>
        <v>3.880651079880959</v>
      </c>
      <c r="K220" s="11">
        <f t="shared" si="3"/>
        <v>-0.42079834628642399</v>
      </c>
      <c r="L220" s="12" t="str">
        <f>[218]Main!$C$15&amp;" ("&amp;[218]Main!$C$14&amp;")"</f>
        <v>Net cash (small revenue)</v>
      </c>
      <c r="M220" s="13">
        <v>46338</v>
      </c>
      <c r="N220" s="17" t="s">
        <v>190</v>
      </c>
    </row>
    <row r="221" spans="2:14" x14ac:dyDescent="0.2">
      <c r="B221" s="3" t="s">
        <v>499</v>
      </c>
      <c r="C221" t="s">
        <v>500</v>
      </c>
      <c r="D221" t="s">
        <v>22</v>
      </c>
      <c r="E221" s="6" t="s">
        <v>33</v>
      </c>
      <c r="F221" s="1">
        <v>9.34</v>
      </c>
      <c r="G221" s="8">
        <f>F221*[219]Main!$C$4</f>
        <v>845.86253893999992</v>
      </c>
      <c r="H221" s="10">
        <f>G221-[219]Main!$C$7+[219]Main!$C$8</f>
        <v>783.49753893999991</v>
      </c>
      <c r="J221" s="1">
        <f>IF(ISNUMBER([219]Main!$C$11),[219]Main!$C$11,"")</f>
        <v>0.68863328636110466</v>
      </c>
      <c r="K221" s="11">
        <f t="shared" si="3"/>
        <v>-0.92627052608553484</v>
      </c>
      <c r="L221" s="12" t="str">
        <f>[219]Main!$C$15&amp;" ("&amp;[219]Main!$C$14&amp;")"</f>
        <v>Net cash (revenue jump)</v>
      </c>
      <c r="M221" s="13">
        <v>46329</v>
      </c>
      <c r="N221" s="17" t="s">
        <v>134</v>
      </c>
    </row>
    <row r="222" spans="2:14" x14ac:dyDescent="0.2">
      <c r="B222" s="3" t="s">
        <v>501</v>
      </c>
      <c r="C222" t="s">
        <v>502</v>
      </c>
      <c r="D222" t="s">
        <v>15</v>
      </c>
      <c r="E222" s="6" t="s">
        <v>33</v>
      </c>
      <c r="F222" s="1">
        <v>18.510000000000002</v>
      </c>
      <c r="G222" s="8">
        <f>F222*[220]Main!$C$4</f>
        <v>770.58571929000004</v>
      </c>
      <c r="H222" s="10">
        <f>G222-[220]Main!$C$7+[220]Main!$C$8</f>
        <v>638.04871929000012</v>
      </c>
      <c r="J222" s="1">
        <f>IF(ISNUMBER([220]Main!$C$11),[220]Main!$C$11,"")</f>
        <v>3.1836300733166683</v>
      </c>
      <c r="K222" s="11">
        <f t="shared" si="3"/>
        <v>-0.82800485827570669</v>
      </c>
      <c r="L222" s="12" t="str">
        <f>[220]Main!$C$15&amp;" ("&amp;[220]Main!$C$14&amp;")"</f>
        <v>Net cash (pre-revenue)</v>
      </c>
      <c r="M222" s="13">
        <v>46364</v>
      </c>
      <c r="N222" s="17" t="s">
        <v>358</v>
      </c>
    </row>
    <row r="223" spans="2:14" x14ac:dyDescent="0.2">
      <c r="B223" s="3" t="s">
        <v>503</v>
      </c>
      <c r="C223" t="s">
        <v>504</v>
      </c>
      <c r="D223" t="s">
        <v>15</v>
      </c>
      <c r="E223" s="6" t="s">
        <v>33</v>
      </c>
      <c r="F223" s="1">
        <v>23.33</v>
      </c>
      <c r="G223" s="8">
        <f>F223*[221]Main!$C$4</f>
        <v>759.52245128999994</v>
      </c>
      <c r="H223" s="10">
        <f>G223-[221]Main!$C$7+[221]Main!$C$8</f>
        <v>1721.6124512900001</v>
      </c>
      <c r="J223" s="1">
        <f>IF(ISNUMBER([221]Main!$C$11),[221]Main!$C$11,"")</f>
        <v>28.593325361408031</v>
      </c>
      <c r="K223" s="11">
        <f t="shared" si="3"/>
        <v>0.22560331596262473</v>
      </c>
      <c r="L223" s="12" t="str">
        <f>[221]Main!$C$15&amp;" ("&amp;[221]Main!$C$14&amp;")"</f>
        <v>DCF (Base)</v>
      </c>
      <c r="M223" s="13">
        <v>46331</v>
      </c>
      <c r="N223" s="17" t="s">
        <v>63</v>
      </c>
    </row>
    <row r="224" spans="2:14" x14ac:dyDescent="0.2">
      <c r="B224" s="3" t="s">
        <v>505</v>
      </c>
      <c r="C224" t="s">
        <v>506</v>
      </c>
      <c r="D224" t="s">
        <v>22</v>
      </c>
      <c r="E224" s="6" t="s">
        <v>33</v>
      </c>
      <c r="F224" s="1">
        <v>13.25</v>
      </c>
      <c r="G224" s="8">
        <f>F224*[222]Main!$C$4</f>
        <v>818.49060699999995</v>
      </c>
      <c r="H224" s="10">
        <f>G224-[222]Main!$C$7+[222]Main!$C$8</f>
        <v>784.0456069999999</v>
      </c>
      <c r="J224" s="1">
        <f>IF(ISNUMBER([222]Main!$C$11),[222]Main!$C$11,"")</f>
        <v>0.55760719316354967</v>
      </c>
      <c r="K224" s="11">
        <f t="shared" si="3"/>
        <v>-0.95791643825180761</v>
      </c>
      <c r="L224" s="12" t="str">
        <f>[222]Main!$C$15&amp;" ("&amp;[222]Main!$C$14&amp;")"</f>
        <v>Net cash (pre-revenue)</v>
      </c>
      <c r="M224" s="13"/>
      <c r="N224" s="17"/>
    </row>
    <row r="225" spans="2:14" x14ac:dyDescent="0.2">
      <c r="B225" s="3" t="s">
        <v>507</v>
      </c>
      <c r="C225" t="s">
        <v>508</v>
      </c>
      <c r="D225" t="s">
        <v>22</v>
      </c>
      <c r="E225" s="6" t="s">
        <v>33</v>
      </c>
      <c r="F225" s="1">
        <v>1.24</v>
      </c>
      <c r="G225" s="8">
        <f>F225*[223]Main!$C$4</f>
        <v>796.66702715999998</v>
      </c>
      <c r="H225" s="10">
        <f>G225-[223]Main!$C$7+[223]Main!$C$8</f>
        <v>615.94902716000001</v>
      </c>
      <c r="J225" s="1">
        <f>IF(ISNUMBER([223]Main!$C$11),[223]Main!$C$11,"")</f>
        <v>0.28128479322013467</v>
      </c>
      <c r="K225" s="11">
        <f t="shared" si="3"/>
        <v>-0.77315742482247207</v>
      </c>
      <c r="L225" s="12" t="str">
        <f>[223]Main!$C$15&amp;" ("&amp;[223]Main!$C$14&amp;")"</f>
        <v>Net cash (pre-revenue)</v>
      </c>
      <c r="M225" s="13">
        <v>46330</v>
      </c>
      <c r="N225" s="17" t="s">
        <v>40</v>
      </c>
    </row>
    <row r="226" spans="2:14" x14ac:dyDescent="0.2">
      <c r="B226" s="3" t="s">
        <v>509</v>
      </c>
      <c r="C226" t="s">
        <v>510</v>
      </c>
      <c r="D226" t="s">
        <v>22</v>
      </c>
      <c r="E226" s="6" t="s">
        <v>33</v>
      </c>
      <c r="F226" s="1">
        <v>2.36</v>
      </c>
      <c r="G226" s="8">
        <f>F226*[224]Main!$C$4</f>
        <v>706.49110331999998</v>
      </c>
      <c r="H226" s="10">
        <f>G226-[224]Main!$C$7+[224]Main!$C$8</f>
        <v>546.00110331999997</v>
      </c>
      <c r="J226" s="1">
        <f>IF(ISNUMBER([224]Main!$C$11),[224]Main!$C$11,"")</f>
        <v>0.53610922801450345</v>
      </c>
      <c r="K226" s="11">
        <f t="shared" si="3"/>
        <v>-0.77283507287521036</v>
      </c>
      <c r="L226" s="12" t="str">
        <f>[224]Main!$C$15&amp;" ("&amp;[224]Main!$C$14&amp;")"</f>
        <v>Net cash (pre-revenue)</v>
      </c>
      <c r="M226" s="13">
        <v>46331</v>
      </c>
      <c r="N226" s="17" t="s">
        <v>63</v>
      </c>
    </row>
    <row r="227" spans="2:14" x14ac:dyDescent="0.2">
      <c r="B227" s="3" t="s">
        <v>511</v>
      </c>
      <c r="C227" t="s">
        <v>512</v>
      </c>
      <c r="D227" t="s">
        <v>22</v>
      </c>
      <c r="E227" s="6" t="s">
        <v>33</v>
      </c>
      <c r="F227" s="1">
        <v>13.1</v>
      </c>
      <c r="G227" s="8">
        <f>F227*[225]Main!$C$4</f>
        <v>723.30467069999997</v>
      </c>
      <c r="H227" s="10">
        <f>G227-[225]Main!$C$7+[225]Main!$C$8</f>
        <v>381.55767069999996</v>
      </c>
      <c r="J227" s="1">
        <f>IF(ISNUMBER([225]Main!$C$11),[225]Main!$C$11,"")</f>
        <v>6.1894881664006931</v>
      </c>
      <c r="K227" s="11">
        <f t="shared" si="3"/>
        <v>-0.52751998729765703</v>
      </c>
      <c r="L227" s="12" t="str">
        <f>[225]Main!$C$15&amp;" ("&amp;[225]Main!$C$14&amp;")"</f>
        <v>Net cash (revenue jump)</v>
      </c>
      <c r="M227" s="13">
        <v>46335</v>
      </c>
      <c r="N227" s="17" t="s">
        <v>87</v>
      </c>
    </row>
    <row r="228" spans="2:14" x14ac:dyDescent="0.2">
      <c r="B228" s="3" t="s">
        <v>513</v>
      </c>
      <c r="C228" t="s">
        <v>514</v>
      </c>
      <c r="D228" t="s">
        <v>22</v>
      </c>
      <c r="E228" s="6" t="s">
        <v>33</v>
      </c>
      <c r="F228" s="1">
        <v>3.83</v>
      </c>
      <c r="G228" s="8">
        <f>F228*[226]Main!$C$4</f>
        <v>783.02409338999996</v>
      </c>
      <c r="H228" s="10">
        <f>G228-[226]Main!$C$7+[226]Main!$C$8</f>
        <v>573.78109338999991</v>
      </c>
      <c r="J228" s="1">
        <f>IF(ISNUMBER([226]Main!$C$11),[226]Main!$C$11,"")</f>
        <v>1.0234687498956017</v>
      </c>
      <c r="K228" s="11">
        <f t="shared" si="3"/>
        <v>-0.73277578331707527</v>
      </c>
      <c r="L228" s="12" t="str">
        <f>[226]Main!$C$15&amp;" ("&amp;[226]Main!$C$14&amp;")"</f>
        <v>Net cash (pre-revenue)</v>
      </c>
      <c r="M228" s="13">
        <v>46335</v>
      </c>
      <c r="N228" s="17" t="s">
        <v>87</v>
      </c>
    </row>
    <row r="229" spans="2:14" x14ac:dyDescent="0.2">
      <c r="B229" s="3" t="s">
        <v>515</v>
      </c>
      <c r="C229" t="s">
        <v>516</v>
      </c>
      <c r="D229" t="s">
        <v>22</v>
      </c>
      <c r="E229" s="6" t="s">
        <v>33</v>
      </c>
      <c r="F229" s="1">
        <v>6.17</v>
      </c>
      <c r="G229" s="8">
        <f>F229*[227]Main!$C$4</f>
        <v>688.01576833000001</v>
      </c>
      <c r="H229" s="10">
        <f>G229-[227]Main!$C$7+[227]Main!$C$8</f>
        <v>630.67076832999999</v>
      </c>
      <c r="J229" s="1">
        <f>IF(ISNUMBER([227]Main!$C$11),[227]Main!$C$11,"")</f>
        <v>1.4784761628533534</v>
      </c>
      <c r="K229" s="11">
        <f t="shared" si="3"/>
        <v>-0.7603766348697969</v>
      </c>
      <c r="L229" s="12" t="str">
        <f>[227]Main!$C$15&amp;" ("&amp;[227]Main!$C$14&amp;")"</f>
        <v>DCF (Base)</v>
      </c>
      <c r="M229" s="13">
        <v>46332</v>
      </c>
      <c r="N229" s="17" t="s">
        <v>361</v>
      </c>
    </row>
    <row r="230" spans="2:14" x14ac:dyDescent="0.2">
      <c r="B230" s="3" t="s">
        <v>517</v>
      </c>
      <c r="C230" t="s">
        <v>518</v>
      </c>
      <c r="D230" t="s">
        <v>15</v>
      </c>
      <c r="E230" s="6" t="s">
        <v>33</v>
      </c>
      <c r="F230" s="1">
        <v>1.55</v>
      </c>
      <c r="G230" s="8">
        <f>F230*[228]Main!$C$4</f>
        <v>689.68169770000009</v>
      </c>
      <c r="H230" s="10">
        <f>G230-[228]Main!$C$7+[228]Main!$C$8</f>
        <v>550.50869770000008</v>
      </c>
      <c r="J230" s="1">
        <f>IF(ISNUMBER([228]Main!$C$11),[228]Main!$C$11,"")</f>
        <v>0.31277928748782569</v>
      </c>
      <c r="K230" s="11">
        <f t="shared" si="3"/>
        <v>-0.798206911298177</v>
      </c>
      <c r="L230" s="12" t="str">
        <f>[228]Main!$C$15&amp;" ("&amp;[228]Main!$C$14&amp;")"</f>
        <v>Net cash (small revenue)</v>
      </c>
      <c r="M230" s="13">
        <v>46331</v>
      </c>
      <c r="N230" s="17" t="s">
        <v>63</v>
      </c>
    </row>
    <row r="231" spans="2:14" x14ac:dyDescent="0.2">
      <c r="B231" s="3" t="s">
        <v>519</v>
      </c>
      <c r="C231" t="s">
        <v>520</v>
      </c>
      <c r="D231" t="s">
        <v>22</v>
      </c>
      <c r="E231" s="6" t="s">
        <v>33</v>
      </c>
      <c r="F231" s="1">
        <v>14.04</v>
      </c>
      <c r="G231" s="8">
        <f>F231*[229]Main!$C$4</f>
        <v>640.94371848000003</v>
      </c>
      <c r="H231" s="10">
        <f>G231-[229]Main!$C$7+[229]Main!$C$8</f>
        <v>525.81171848000008</v>
      </c>
      <c r="J231" s="1">
        <f>IF(ISNUMBER([229]Main!$C$11),[229]Main!$C$11,"")</f>
        <v>2.5219894249582846</v>
      </c>
      <c r="K231" s="11">
        <f t="shared" si="3"/>
        <v>-0.82037112357846975</v>
      </c>
      <c r="L231" s="12" t="str">
        <f>[229]Main!$C$15&amp;" ("&amp;[229]Main!$C$14&amp;")"</f>
        <v>Net cash (pre-revenue)</v>
      </c>
      <c r="M231" s="13">
        <v>46358</v>
      </c>
      <c r="N231" s="17" t="s">
        <v>521</v>
      </c>
    </row>
    <row r="232" spans="2:14" x14ac:dyDescent="0.2">
      <c r="B232" s="3" t="s">
        <v>522</v>
      </c>
      <c r="C232" t="s">
        <v>523</v>
      </c>
      <c r="D232" t="s">
        <v>22</v>
      </c>
      <c r="E232" s="6" t="s">
        <v>33</v>
      </c>
      <c r="F232" s="1">
        <v>9.75</v>
      </c>
      <c r="G232" s="8">
        <f>F232*[230]Main!$C$4</f>
        <v>684.13842899999997</v>
      </c>
      <c r="H232" s="10">
        <f>G232-[230]Main!$C$7+[230]Main!$C$8</f>
        <v>538.83342900000002</v>
      </c>
      <c r="J232" s="1">
        <f>IF(ISNUMBER([230]Main!$C$11),[230]Main!$C$11,"")</f>
        <v>17.332362841178522</v>
      </c>
      <c r="K232" s="11">
        <f t="shared" si="3"/>
        <v>0.77767824012087416</v>
      </c>
      <c r="L232" s="12" t="str">
        <f>[230]Main!$C$15&amp;" ("&amp;[230]Main!$C$14&amp;")"</f>
        <v>DCF (Base)</v>
      </c>
      <c r="M232" s="13">
        <v>46331</v>
      </c>
      <c r="N232" s="17" t="s">
        <v>63</v>
      </c>
    </row>
    <row r="233" spans="2:14" x14ac:dyDescent="0.2">
      <c r="B233" s="3" t="s">
        <v>524</v>
      </c>
      <c r="C233" t="s">
        <v>525</v>
      </c>
      <c r="D233" t="s">
        <v>22</v>
      </c>
      <c r="E233" s="6" t="s">
        <v>33</v>
      </c>
      <c r="F233" s="1">
        <v>6.51</v>
      </c>
      <c r="G233" s="8">
        <f>F233*[231]Main!$C$4</f>
        <v>669.89520989999994</v>
      </c>
      <c r="H233" s="10">
        <f>G233-[231]Main!$C$7+[231]Main!$C$8</f>
        <v>497.50420989999992</v>
      </c>
      <c r="J233" s="1">
        <f>IF(ISNUMBER([231]Main!$C$11),[231]Main!$C$11,"")</f>
        <v>1.6752850198279943</v>
      </c>
      <c r="K233" s="11">
        <f t="shared" si="3"/>
        <v>-0.74265975117849548</v>
      </c>
      <c r="L233" s="12" t="str">
        <f>[231]Main!$C$15&amp;" ("&amp;[231]Main!$C$14&amp;")"</f>
        <v>Net cash (pre-revenue)</v>
      </c>
      <c r="M233" s="13">
        <v>46331</v>
      </c>
      <c r="N233" s="17" t="s">
        <v>63</v>
      </c>
    </row>
    <row r="234" spans="2:14" x14ac:dyDescent="0.2">
      <c r="B234" s="3" t="s">
        <v>526</v>
      </c>
      <c r="C234" t="s">
        <v>527</v>
      </c>
      <c r="D234" t="s">
        <v>22</v>
      </c>
      <c r="E234" s="6" t="s">
        <v>33</v>
      </c>
      <c r="F234" s="1">
        <v>4.2300000000000004</v>
      </c>
      <c r="G234" s="8">
        <f>F234*[232]Main!$C$4</f>
        <v>616.56677964000005</v>
      </c>
      <c r="H234" s="10">
        <f>G234-[232]Main!$C$7+[232]Main!$C$8</f>
        <v>497.93377964000007</v>
      </c>
      <c r="J234" s="1">
        <f>IF(ISNUMBER([232]Main!$C$11),[232]Main!$C$11,"")</f>
        <v>3.0666745421795247</v>
      </c>
      <c r="K234" s="11">
        <f t="shared" si="3"/>
        <v>-0.27501783872824481</v>
      </c>
      <c r="L234" s="12" t="str">
        <f>[232]Main!$C$15&amp;" ("&amp;[232]Main!$C$14&amp;")"</f>
        <v>DCF (Base)</v>
      </c>
      <c r="M234" s="13">
        <v>46323</v>
      </c>
      <c r="N234" s="17" t="s">
        <v>289</v>
      </c>
    </row>
    <row r="235" spans="2:14" x14ac:dyDescent="0.2">
      <c r="B235" s="3" t="s">
        <v>528</v>
      </c>
      <c r="C235" t="s">
        <v>529</v>
      </c>
      <c r="D235" t="s">
        <v>22</v>
      </c>
      <c r="E235" s="6" t="s">
        <v>33</v>
      </c>
      <c r="F235" s="1">
        <v>11.1</v>
      </c>
      <c r="G235" s="8">
        <f>F235*[233]Main!$C$4</f>
        <v>694.6563261</v>
      </c>
      <c r="H235" s="10">
        <f>G235-[233]Main!$C$7+[233]Main!$C$8</f>
        <v>487.26032609999999</v>
      </c>
      <c r="J235" s="1">
        <f>IF(ISNUMBER([233]Main!$C$11),[233]Main!$C$11,"")</f>
        <v>3.3140065288466105</v>
      </c>
      <c r="K235" s="11">
        <f t="shared" si="3"/>
        <v>-0.70144085325706218</v>
      </c>
      <c r="L235" s="12" t="str">
        <f>[233]Main!$C$15&amp;" ("&amp;[233]Main!$C$14&amp;")"</f>
        <v>Net cash (pre-revenue)</v>
      </c>
      <c r="M235" s="13">
        <v>46330</v>
      </c>
      <c r="N235" s="17" t="s">
        <v>40</v>
      </c>
    </row>
    <row r="236" spans="2:14" x14ac:dyDescent="0.2">
      <c r="B236" s="3" t="s">
        <v>530</v>
      </c>
      <c r="C236" t="s">
        <v>531</v>
      </c>
      <c r="D236" t="s">
        <v>22</v>
      </c>
      <c r="E236" s="6" t="s">
        <v>33</v>
      </c>
      <c r="F236" s="1">
        <v>12.36</v>
      </c>
      <c r="G236" s="8">
        <f>F236*[234]Main!$C$4</f>
        <v>662.86666404000005</v>
      </c>
      <c r="H236" s="10">
        <f>G236-[234]Main!$C$7+[234]Main!$C$8</f>
        <v>190.66666404000006</v>
      </c>
      <c r="J236" s="1">
        <f>IF(ISNUMBER([234]Main!$C$11),[234]Main!$C$11,"")</f>
        <v>8.8047752536365422</v>
      </c>
      <c r="K236" s="11">
        <f t="shared" si="3"/>
        <v>-0.28763954258604019</v>
      </c>
      <c r="L236" s="12" t="str">
        <f>[234]Main!$C$15&amp;" ("&amp;[234]Main!$C$14&amp;")"</f>
        <v>Net cash (pre-revenue)</v>
      </c>
      <c r="M236" s="13">
        <v>46331</v>
      </c>
      <c r="N236" s="17" t="s">
        <v>63</v>
      </c>
    </row>
    <row r="237" spans="2:14" x14ac:dyDescent="0.2">
      <c r="B237" s="3" t="s">
        <v>532</v>
      </c>
      <c r="C237" t="s">
        <v>533</v>
      </c>
      <c r="D237" t="s">
        <v>22</v>
      </c>
      <c r="E237" s="6" t="s">
        <v>33</v>
      </c>
      <c r="F237" s="1">
        <v>6.56</v>
      </c>
      <c r="G237" s="8">
        <f>F237*[235]Main!$C$4</f>
        <v>680.3035470399999</v>
      </c>
      <c r="H237" s="10">
        <f>G237-[235]Main!$C$7+[235]Main!$C$8</f>
        <v>612.46754703999989</v>
      </c>
      <c r="J237" s="1">
        <f>IF(ISNUMBER([235]Main!$C$11),[235]Main!$C$11,"")</f>
        <v>0.65412588532900151</v>
      </c>
      <c r="K237" s="11">
        <f t="shared" si="3"/>
        <v>-0.90028568821204247</v>
      </c>
      <c r="L237" s="12" t="str">
        <f>[235]Main!$C$15&amp;" ("&amp;[235]Main!$C$14&amp;")"</f>
        <v>Net cash (pre-revenue)</v>
      </c>
      <c r="M237" s="13">
        <v>46338</v>
      </c>
      <c r="N237" s="17" t="s">
        <v>190</v>
      </c>
    </row>
    <row r="238" spans="2:14" x14ac:dyDescent="0.2">
      <c r="B238" s="3" t="s">
        <v>534</v>
      </c>
      <c r="C238" t="s">
        <v>535</v>
      </c>
      <c r="D238" t="s">
        <v>22</v>
      </c>
      <c r="E238" s="6" t="s">
        <v>33</v>
      </c>
      <c r="F238" s="1">
        <v>3.92</v>
      </c>
      <c r="G238" s="8">
        <f>F238*[236]Main!$C$4</f>
        <v>710.99727552000002</v>
      </c>
      <c r="H238" s="10">
        <f>G238-[236]Main!$C$7+[236]Main!$C$8</f>
        <v>615.92627551999999</v>
      </c>
      <c r="J238" s="1">
        <f>IF(ISNUMBER([236]Main!$C$11),[236]Main!$C$11,"")</f>
        <v>0.52416279616182115</v>
      </c>
      <c r="K238" s="11">
        <f t="shared" si="3"/>
        <v>-0.8662850009791272</v>
      </c>
      <c r="L238" s="12" t="str">
        <f>[236]Main!$C$15&amp;" ("&amp;[236]Main!$C$14&amp;")"</f>
        <v>Net cash (pre-revenue)</v>
      </c>
      <c r="M238" s="13">
        <v>46332</v>
      </c>
      <c r="N238" s="17" t="s">
        <v>361</v>
      </c>
    </row>
    <row r="239" spans="2:14" x14ac:dyDescent="0.2">
      <c r="B239" s="3" t="s">
        <v>536</v>
      </c>
      <c r="C239" t="s">
        <v>537</v>
      </c>
      <c r="D239" t="s">
        <v>22</v>
      </c>
      <c r="E239" s="6" t="s">
        <v>33</v>
      </c>
      <c r="F239" s="1">
        <v>8.64</v>
      </c>
      <c r="G239" s="8">
        <f>F239*[237]Main!$C$4</f>
        <v>661.12040160000004</v>
      </c>
      <c r="H239" s="10">
        <f>G239-[237]Main!$C$7+[237]Main!$C$8</f>
        <v>507.38640160000006</v>
      </c>
      <c r="J239" s="1">
        <f>IF(ISNUMBER([237]Main!$C$11),[237]Main!$C$11,"")</f>
        <v>2.0091072016313949</v>
      </c>
      <c r="K239" s="11">
        <f t="shared" si="3"/>
        <v>-0.76746444425562554</v>
      </c>
      <c r="L239" s="12" t="str">
        <f>[237]Main!$C$15&amp;" ("&amp;[237]Main!$C$14&amp;")"</f>
        <v>Net cash (pre-revenue)</v>
      </c>
      <c r="M239" s="13">
        <v>46338</v>
      </c>
      <c r="N239" s="17" t="s">
        <v>190</v>
      </c>
    </row>
    <row r="240" spans="2:14" x14ac:dyDescent="0.2">
      <c r="B240" s="3" t="s">
        <v>538</v>
      </c>
      <c r="C240" t="s">
        <v>539</v>
      </c>
      <c r="D240" t="s">
        <v>22</v>
      </c>
      <c r="E240" s="6" t="s">
        <v>33</v>
      </c>
      <c r="F240" s="1">
        <v>10.8</v>
      </c>
      <c r="G240" s="8">
        <f>F240*[238]Main!$C$4</f>
        <v>620.31155400000011</v>
      </c>
      <c r="H240" s="10">
        <f>G240-[238]Main!$C$7+[238]Main!$C$8</f>
        <v>437.18855400000012</v>
      </c>
      <c r="J240" s="1">
        <f>IF(ISNUMBER([238]Main!$C$11),[238]Main!$C$11,"")</f>
        <v>3.188282383661678</v>
      </c>
      <c r="K240" s="11">
        <f t="shared" si="3"/>
        <v>-0.70478866817947428</v>
      </c>
      <c r="L240" s="12" t="str">
        <f>[238]Main!$C$15&amp;" ("&amp;[238]Main!$C$14&amp;")"</f>
        <v>Net cash (pre-revenue)</v>
      </c>
      <c r="M240" s="13">
        <v>46331</v>
      </c>
      <c r="N240" s="17" t="s">
        <v>63</v>
      </c>
    </row>
    <row r="241" spans="2:14" x14ac:dyDescent="0.2">
      <c r="B241" s="3" t="s">
        <v>540</v>
      </c>
      <c r="C241" t="s">
        <v>541</v>
      </c>
      <c r="D241" t="s">
        <v>22</v>
      </c>
      <c r="E241" s="6" t="s">
        <v>33</v>
      </c>
      <c r="F241" s="1">
        <v>3.63</v>
      </c>
      <c r="G241" s="8">
        <f>F241*[239]Main!$C$4</f>
        <v>599.82100761000004</v>
      </c>
      <c r="H241" s="10">
        <f>G241-[239]Main!$C$7+[239]Main!$C$8</f>
        <v>905.69400761000009</v>
      </c>
      <c r="J241" s="1">
        <f>IF(ISNUMBER([239]Main!$C$11),[239]Main!$C$11,"")</f>
        <v>2.0994046921099918</v>
      </c>
      <c r="K241" s="11">
        <f t="shared" si="3"/>
        <v>-0.42165159996969925</v>
      </c>
      <c r="L241" s="12" t="str">
        <f>[239]Main!$C$15&amp;" ("&amp;[239]Main!$C$14&amp;")"</f>
        <v>DCF (Base)</v>
      </c>
      <c r="M241" s="13">
        <v>46335</v>
      </c>
      <c r="N241" s="17" t="s">
        <v>87</v>
      </c>
    </row>
    <row r="242" spans="2:14" x14ac:dyDescent="0.2">
      <c r="B242" s="3" t="s">
        <v>542</v>
      </c>
      <c r="C242" t="s">
        <v>543</v>
      </c>
      <c r="D242" t="s">
        <v>22</v>
      </c>
      <c r="E242" s="6" t="s">
        <v>33</v>
      </c>
      <c r="F242" s="1">
        <v>8.91</v>
      </c>
      <c r="G242" s="8">
        <f>F242*[240]Main!$C$4</f>
        <v>637.41528774000005</v>
      </c>
      <c r="H242" s="10">
        <f>G242-[240]Main!$C$7+[240]Main!$C$8</f>
        <v>405.30813474000001</v>
      </c>
      <c r="J242" s="1">
        <f>IF(ISNUMBER([240]Main!$C$11),[240]Main!$C$11,"")</f>
        <v>3.2444699288002679</v>
      </c>
      <c r="K242" s="11">
        <f t="shared" si="3"/>
        <v>-0.63586196085294411</v>
      </c>
      <c r="L242" s="12" t="str">
        <f>[240]Main!$C$15&amp;" ("&amp;[240]Main!$C$14&amp;")"</f>
        <v>Net cash (pre-revenue)</v>
      </c>
      <c r="M242" s="13">
        <v>46332</v>
      </c>
      <c r="N242" s="17" t="s">
        <v>361</v>
      </c>
    </row>
    <row r="243" spans="2:14" x14ac:dyDescent="0.2">
      <c r="B243" s="3" t="s">
        <v>544</v>
      </c>
      <c r="C243" t="s">
        <v>545</v>
      </c>
      <c r="D243" t="s">
        <v>22</v>
      </c>
      <c r="E243" s="6" t="s">
        <v>33</v>
      </c>
      <c r="F243" s="1">
        <v>20.59</v>
      </c>
      <c r="G243" s="8">
        <f>F243*[241]Main!$C$4</f>
        <v>670.85376446999999</v>
      </c>
      <c r="H243" s="10">
        <f>G243-[241]Main!$C$7+[241]Main!$C$8</f>
        <v>648.69376447000002</v>
      </c>
      <c r="J243" s="1">
        <f>IF(ISNUMBER([241]Main!$C$11),[241]Main!$C$11,"")</f>
        <v>0.68013988169310513</v>
      </c>
      <c r="K243" s="11">
        <f t="shared" si="3"/>
        <v>-0.96696746567784819</v>
      </c>
      <c r="L243" s="12" t="str">
        <f>[241]Main!$C$15&amp;" ("&amp;[241]Main!$C$14&amp;")"</f>
        <v>Net cash (pre-revenue)</v>
      </c>
      <c r="M243" s="13">
        <v>46329</v>
      </c>
      <c r="N243" s="17" t="s">
        <v>134</v>
      </c>
    </row>
    <row r="244" spans="2:14" x14ac:dyDescent="0.2">
      <c r="B244" s="3" t="s">
        <v>546</v>
      </c>
      <c r="C244" t="s">
        <v>547</v>
      </c>
      <c r="D244" t="s">
        <v>15</v>
      </c>
      <c r="E244" s="6" t="s">
        <v>33</v>
      </c>
      <c r="F244" s="1">
        <v>3.3849999999999998</v>
      </c>
      <c r="G244" s="8">
        <f>F244*[242]Main!$C$4</f>
        <v>667.00807237499987</v>
      </c>
      <c r="H244" s="10">
        <f>G244-[242]Main!$C$7+[242]Main!$C$8</f>
        <v>176.40807237499985</v>
      </c>
      <c r="J244" s="1">
        <f>IF(ISNUMBER([242]Main!$C$11),[242]Main!$C$11,"")</f>
        <v>2.119227494140123</v>
      </c>
      <c r="K244" s="11">
        <f t="shared" si="3"/>
        <v>-0.3739357476690921</v>
      </c>
      <c r="L244" s="12" t="str">
        <f>[242]Main!$C$15&amp;" ("&amp;[242]Main!$C$14&amp;")"</f>
        <v>DCF (Base)</v>
      </c>
      <c r="M244" s="13">
        <v>46335</v>
      </c>
      <c r="N244" s="17" t="s">
        <v>87</v>
      </c>
    </row>
    <row r="245" spans="2:14" x14ac:dyDescent="0.2">
      <c r="B245" s="3" t="s">
        <v>548</v>
      </c>
      <c r="C245" t="s">
        <v>549</v>
      </c>
      <c r="D245" t="s">
        <v>15</v>
      </c>
      <c r="E245" s="6" t="s">
        <v>33</v>
      </c>
      <c r="F245" s="1">
        <v>10.47</v>
      </c>
      <c r="G245" s="8">
        <f>F245*[243]Main!$C$4</f>
        <v>621.74818706999997</v>
      </c>
      <c r="H245" s="10">
        <f>G245-[243]Main!$C$7+[243]Main!$C$8</f>
        <v>400.17818706999998</v>
      </c>
      <c r="J245" s="1">
        <f>IF(ISNUMBER([243]Main!$C$11),[243]Main!$C$11,"")</f>
        <v>3.731153460908796</v>
      </c>
      <c r="K245" s="11">
        <f t="shared" si="3"/>
        <v>-0.6436338623773834</v>
      </c>
      <c r="L245" s="12" t="str">
        <f>[243]Main!$C$15&amp;" ("&amp;[243]Main!$C$14&amp;")"</f>
        <v>Net cash (revenue jump)</v>
      </c>
      <c r="M245" s="13">
        <v>46330</v>
      </c>
      <c r="N245" s="17" t="s">
        <v>40</v>
      </c>
    </row>
    <row r="246" spans="2:14" x14ac:dyDescent="0.2">
      <c r="B246" s="3" t="s">
        <v>550</v>
      </c>
      <c r="C246" t="s">
        <v>551</v>
      </c>
      <c r="D246" t="s">
        <v>22</v>
      </c>
      <c r="E246" s="6" t="s">
        <v>33</v>
      </c>
      <c r="F246" s="1">
        <v>6.4</v>
      </c>
      <c r="G246" s="8">
        <f>F246*[244]Main!$C$4</f>
        <v>686.24152320000007</v>
      </c>
      <c r="H246" s="10">
        <f>G246-[244]Main!$C$7+[244]Main!$C$8</f>
        <v>308.56352320000008</v>
      </c>
      <c r="J246" s="1">
        <f>IF(ISNUMBER([244]Main!$C$11),[244]Main!$C$11,"")</f>
        <v>3.5222864229035329</v>
      </c>
      <c r="K246" s="11">
        <f t="shared" si="3"/>
        <v>-0.44964274642132307</v>
      </c>
      <c r="L246" s="12" t="str">
        <f>[244]Main!$C$15&amp;" ("&amp;[244]Main!$C$14&amp;")"</f>
        <v>Net cash (pre-revenue)</v>
      </c>
      <c r="M246" s="13">
        <v>46328</v>
      </c>
      <c r="N246" s="17" t="s">
        <v>107</v>
      </c>
    </row>
    <row r="247" spans="2:14" x14ac:dyDescent="0.2">
      <c r="B247" s="3" t="s">
        <v>552</v>
      </c>
      <c r="C247" t="s">
        <v>553</v>
      </c>
      <c r="D247" t="s">
        <v>22</v>
      </c>
      <c r="E247" s="6" t="s">
        <v>33</v>
      </c>
      <c r="F247" s="1">
        <v>7.25</v>
      </c>
      <c r="G247" s="8">
        <f>F247*[245]Main!$C$4</f>
        <v>634.35765075000006</v>
      </c>
      <c r="H247" s="10">
        <f>G247-[245]Main!$C$7+[245]Main!$C$8</f>
        <v>176.28765075000007</v>
      </c>
      <c r="J247" s="1">
        <f>IF(ISNUMBER([245]Main!$C$11),[245]Main!$C$11,"")</f>
        <v>5.2352288903169661</v>
      </c>
      <c r="K247" s="11">
        <f t="shared" si="3"/>
        <v>-0.2778994634045564</v>
      </c>
      <c r="L247" s="12" t="str">
        <f>[245]Main!$C$15&amp;" ("&amp;[245]Main!$C$14&amp;")"</f>
        <v>Net cash (pre-revenue)</v>
      </c>
      <c r="M247" s="13">
        <v>46335</v>
      </c>
      <c r="N247" s="17" t="s">
        <v>87</v>
      </c>
    </row>
    <row r="248" spans="2:14" x14ac:dyDescent="0.2">
      <c r="B248" s="3" t="s">
        <v>554</v>
      </c>
      <c r="C248" t="s">
        <v>555</v>
      </c>
      <c r="D248" t="s">
        <v>22</v>
      </c>
      <c r="E248" s="6" t="s">
        <v>33</v>
      </c>
      <c r="F248" s="1">
        <v>3.26</v>
      </c>
      <c r="G248" s="8">
        <f>F248*[246]Main!$C$4</f>
        <v>629.95254827999997</v>
      </c>
      <c r="H248" s="10">
        <f>G248-[246]Main!$C$7+[246]Main!$C$8</f>
        <v>464.92244644013056</v>
      </c>
      <c r="J248" s="1">
        <f>IF(ISNUMBER([246]Main!$C$11),[246]Main!$C$11,"")</f>
        <v>0.85402961455891457</v>
      </c>
      <c r="K248" s="11">
        <f t="shared" si="3"/>
        <v>-0.73802772559542495</v>
      </c>
      <c r="L248" s="12" t="str">
        <f>[246]Main!$C$15&amp;" ("&amp;[246]Main!$C$14&amp;")"</f>
        <v>Net cash (small revenue)</v>
      </c>
      <c r="M248" s="13"/>
      <c r="N248" s="17"/>
    </row>
    <row r="249" spans="2:14" x14ac:dyDescent="0.2">
      <c r="B249" s="3" t="s">
        <v>556</v>
      </c>
      <c r="C249" t="s">
        <v>557</v>
      </c>
      <c r="D249" t="s">
        <v>15</v>
      </c>
      <c r="E249" s="6" t="s">
        <v>33</v>
      </c>
      <c r="F249" s="1">
        <v>7.57</v>
      </c>
      <c r="G249" s="8">
        <f>F249*[247]Main!$C$4</f>
        <v>590.03853268</v>
      </c>
      <c r="H249" s="10">
        <f>G249-[247]Main!$C$7+[247]Main!$C$8</f>
        <v>333.34653268</v>
      </c>
      <c r="J249" s="1">
        <f>IF(ISNUMBER([247]Main!$C$11),[247]Main!$C$11,"")</f>
        <v>3.2932737988721286</v>
      </c>
      <c r="K249" s="11">
        <f t="shared" si="3"/>
        <v>-0.56495722604066989</v>
      </c>
      <c r="L249" s="12" t="str">
        <f>[247]Main!$C$15&amp;" ("&amp;[247]Main!$C$14&amp;")"</f>
        <v>Net cash (revenue jump)</v>
      </c>
      <c r="M249" s="13">
        <v>46337</v>
      </c>
      <c r="N249" s="17" t="s">
        <v>104</v>
      </c>
    </row>
    <row r="250" spans="2:14" x14ac:dyDescent="0.2">
      <c r="B250" s="3" t="s">
        <v>558</v>
      </c>
      <c r="C250" t="s">
        <v>559</v>
      </c>
      <c r="D250" t="s">
        <v>15</v>
      </c>
      <c r="E250" s="6" t="s">
        <v>33</v>
      </c>
      <c r="F250" s="1">
        <v>7.31</v>
      </c>
      <c r="G250" s="8">
        <f>F250*[248]Main!$C$4</f>
        <v>591.38582754000004</v>
      </c>
      <c r="H250" s="10">
        <f>G250-[248]Main!$C$7+[248]Main!$C$8</f>
        <v>573.49482753999996</v>
      </c>
      <c r="J250" s="1">
        <f>IF(ISNUMBER([248]Main!$C$11),[248]Main!$C$11,"")</f>
        <v>0.22114701419887214</v>
      </c>
      <c r="K250" s="11">
        <f t="shared" si="3"/>
        <v>-0.96974733047895045</v>
      </c>
      <c r="L250" s="12" t="str">
        <f>[248]Main!$C$15&amp;" ("&amp;[248]Main!$C$14&amp;")"</f>
        <v>Net cash (revenue jump)</v>
      </c>
      <c r="M250" s="13">
        <v>46324</v>
      </c>
      <c r="N250" s="17" t="s">
        <v>214</v>
      </c>
    </row>
    <row r="251" spans="2:14" x14ac:dyDescent="0.2">
      <c r="B251" s="3" t="s">
        <v>560</v>
      </c>
      <c r="C251" t="s">
        <v>561</v>
      </c>
      <c r="D251" t="s">
        <v>22</v>
      </c>
      <c r="E251" s="6" t="s">
        <v>33</v>
      </c>
      <c r="F251" s="1">
        <v>5.84</v>
      </c>
      <c r="G251" s="8">
        <f>F251*[249]Main!$C$4</f>
        <v>586.12139751999996</v>
      </c>
      <c r="H251" s="10">
        <f>G251-[249]Main!$C$7+[249]Main!$C$8</f>
        <v>377.81839751999996</v>
      </c>
      <c r="J251" s="1">
        <f>IF(ISNUMBER([249]Main!$C$11),[249]Main!$C$11,"")</f>
        <v>2.0754907177032216</v>
      </c>
      <c r="K251" s="11">
        <f t="shared" si="3"/>
        <v>-0.64460775381794155</v>
      </c>
      <c r="L251" s="12" t="str">
        <f>[249]Main!$C$15&amp;" ("&amp;[249]Main!$C$14&amp;")"</f>
        <v>Net cash (pre-revenue)</v>
      </c>
      <c r="M251" s="13">
        <v>46331</v>
      </c>
      <c r="N251" s="17" t="s">
        <v>63</v>
      </c>
    </row>
    <row r="252" spans="2:14" x14ac:dyDescent="0.2">
      <c r="B252" s="3" t="s">
        <v>562</v>
      </c>
      <c r="C252" t="s">
        <v>563</v>
      </c>
      <c r="D252" t="s">
        <v>22</v>
      </c>
      <c r="E252" s="6" t="s">
        <v>33</v>
      </c>
      <c r="F252" s="1">
        <v>9.48</v>
      </c>
      <c r="G252" s="8">
        <f>F252*[250]Main!$C$4</f>
        <v>561.33259831199996</v>
      </c>
      <c r="H252" s="10">
        <f>G252-[250]Main!$C$7+[250]Main!$C$8</f>
        <v>386.43259831199998</v>
      </c>
      <c r="J252" s="1">
        <f>IF(ISNUMBER([250]Main!$C$11),[250]Main!$C$11,"")</f>
        <v>2.9537782145308822</v>
      </c>
      <c r="K252" s="11">
        <f t="shared" si="3"/>
        <v>-0.68842001956425292</v>
      </c>
      <c r="L252" s="12" t="str">
        <f>[250]Main!$C$15&amp;" ("&amp;[250]Main!$C$14&amp;")"</f>
        <v>Net cash (small revenue)</v>
      </c>
      <c r="M252" s="13">
        <v>46322</v>
      </c>
      <c r="N252" s="17" t="s">
        <v>120</v>
      </c>
    </row>
    <row r="253" spans="2:14" x14ac:dyDescent="0.2">
      <c r="B253" s="3" t="s">
        <v>564</v>
      </c>
      <c r="C253" t="s">
        <v>565</v>
      </c>
      <c r="D253" t="s">
        <v>22</v>
      </c>
      <c r="E253" s="6" t="s">
        <v>33</v>
      </c>
      <c r="F253" s="1">
        <v>5.69</v>
      </c>
      <c r="G253" s="8">
        <f>F253*[251]Main!$C$4</f>
        <v>493.72057452500007</v>
      </c>
      <c r="H253" s="10">
        <f>G253-[251]Main!$C$7+[251]Main!$C$8</f>
        <v>571.9470979031579</v>
      </c>
      <c r="J253" s="1">
        <f>IF(ISNUMBER([251]Main!$C$11),[251]Main!$C$11,"")</f>
        <v>-1.8627756074192672</v>
      </c>
      <c r="K253" s="11">
        <f t="shared" si="3"/>
        <v>-1.3273770839049679</v>
      </c>
      <c r="L253" s="12" t="str">
        <f>[251]Main!$C$15&amp;" ("&amp;[251]Main!$C$14&amp;")"</f>
        <v>DCF (Base)</v>
      </c>
      <c r="M253" s="13">
        <v>46345</v>
      </c>
      <c r="N253" s="17" t="s">
        <v>566</v>
      </c>
    </row>
    <row r="254" spans="2:14" x14ac:dyDescent="0.2">
      <c r="B254" s="3" t="s">
        <v>567</v>
      </c>
      <c r="C254" t="s">
        <v>568</v>
      </c>
      <c r="D254" t="s">
        <v>15</v>
      </c>
      <c r="E254" s="6" t="s">
        <v>33</v>
      </c>
      <c r="F254" s="1">
        <v>4.05</v>
      </c>
      <c r="G254" s="8">
        <f>F254*[252]Main!$C$4</f>
        <v>508.32217439999994</v>
      </c>
      <c r="H254" s="10">
        <f>G254-[252]Main!$C$7+[252]Main!$C$8</f>
        <v>460.51817439999991</v>
      </c>
      <c r="J254" s="1">
        <f>IF(ISNUMBER([252]Main!$C$11),[252]Main!$C$11,"")</f>
        <v>0.24887017971583997</v>
      </c>
      <c r="K254" s="11">
        <f t="shared" si="3"/>
        <v>-0.93855057290966915</v>
      </c>
      <c r="L254" s="12" t="str">
        <f>[252]Main!$C$15&amp;" ("&amp;[252]Main!$C$14&amp;")"</f>
        <v>DCF (Base)</v>
      </c>
      <c r="M254" s="13">
        <v>46330</v>
      </c>
      <c r="N254" s="17" t="s">
        <v>40</v>
      </c>
    </row>
    <row r="255" spans="2:14" x14ac:dyDescent="0.2">
      <c r="B255" s="3" t="s">
        <v>569</v>
      </c>
      <c r="C255" t="s">
        <v>570</v>
      </c>
      <c r="D255" t="s">
        <v>22</v>
      </c>
      <c r="E255" s="6" t="s">
        <v>33</v>
      </c>
      <c r="F255" s="1">
        <v>9.74</v>
      </c>
      <c r="G255" s="8">
        <f>F255*[253]Main!$C$4</f>
        <v>605.42528021999999</v>
      </c>
      <c r="H255" s="10">
        <f>G255-[253]Main!$C$7+[253]Main!$C$8</f>
        <v>347.82528021999997</v>
      </c>
      <c r="J255" s="1">
        <f>IF(ISNUMBER([253]Main!$C$11),[253]Main!$C$11,"")</f>
        <v>4.1442339492137972</v>
      </c>
      <c r="K255" s="11">
        <f t="shared" si="3"/>
        <v>-0.57451396825320367</v>
      </c>
      <c r="L255" s="12" t="str">
        <f>[253]Main!$C$15&amp;" ("&amp;[253]Main!$C$14&amp;")"</f>
        <v>Net cash (pre-revenue)</v>
      </c>
      <c r="M255" s="13">
        <v>46338</v>
      </c>
      <c r="N255" s="17" t="s">
        <v>190</v>
      </c>
    </row>
    <row r="256" spans="2:14" x14ac:dyDescent="0.2">
      <c r="B256" s="3" t="s">
        <v>571</v>
      </c>
      <c r="C256" t="s">
        <v>572</v>
      </c>
      <c r="D256" t="s">
        <v>22</v>
      </c>
      <c r="E256" s="6" t="s">
        <v>33</v>
      </c>
      <c r="F256" s="1">
        <v>10.76</v>
      </c>
      <c r="G256" s="8">
        <f>F256*[254]Main!$C$4</f>
        <v>555.43191016000003</v>
      </c>
      <c r="H256" s="10">
        <f>G256-[254]Main!$C$7+[254]Main!$C$8</f>
        <v>461.52891016000001</v>
      </c>
      <c r="J256" s="1">
        <f>IF(ISNUMBER([254]Main!$C$11),[254]Main!$C$11,"")</f>
        <v>7.8318575009816804</v>
      </c>
      <c r="K256" s="11">
        <f t="shared" si="3"/>
        <v>-0.27213220251099624</v>
      </c>
      <c r="L256" s="12" t="str">
        <f>[254]Main!$C$15&amp;" ("&amp;[254]Main!$C$14&amp;")"</f>
        <v>DCF (Base)</v>
      </c>
      <c r="M256" s="13">
        <v>46331</v>
      </c>
      <c r="N256" s="17" t="s">
        <v>63</v>
      </c>
    </row>
    <row r="257" spans="2:14" x14ac:dyDescent="0.2">
      <c r="B257" s="3" t="s">
        <v>573</v>
      </c>
      <c r="C257" t="s">
        <v>574</v>
      </c>
      <c r="D257" t="s">
        <v>22</v>
      </c>
      <c r="E257" s="6" t="s">
        <v>33</v>
      </c>
      <c r="F257" s="1">
        <v>2.5099999999999998</v>
      </c>
      <c r="G257" s="8">
        <f>F257*[255]Main!$C$4</f>
        <v>546.92720283999995</v>
      </c>
      <c r="H257" s="10">
        <f>G257-[255]Main!$C$7+[255]Main!$C$8</f>
        <v>216.64720283999998</v>
      </c>
      <c r="J257" s="1">
        <f>IF(ISNUMBER([255]Main!$C$11),[255]Main!$C$11,"")</f>
        <v>1.5157461462792139</v>
      </c>
      <c r="K257" s="11">
        <f t="shared" si="3"/>
        <v>-0.39611707319553224</v>
      </c>
      <c r="L257" s="12" t="str">
        <f>[255]Main!$C$15&amp;" ("&amp;[255]Main!$C$14&amp;")"</f>
        <v>Net cash (small revenue)</v>
      </c>
      <c r="M257" s="13">
        <v>46331</v>
      </c>
      <c r="N257" s="17" t="s">
        <v>63</v>
      </c>
    </row>
    <row r="258" spans="2:14" x14ac:dyDescent="0.2">
      <c r="B258" s="3" t="s">
        <v>575</v>
      </c>
      <c r="C258" t="s">
        <v>576</v>
      </c>
      <c r="D258" t="s">
        <v>22</v>
      </c>
      <c r="E258" s="6" t="s">
        <v>33</v>
      </c>
      <c r="F258" s="1">
        <v>20.79</v>
      </c>
      <c r="G258" s="8">
        <f>F258*[256]Main!$C$4</f>
        <v>537.22243574999993</v>
      </c>
      <c r="H258" s="10">
        <f>G258-[256]Main!$C$7+[256]Main!$C$8</f>
        <v>350.7814357499999</v>
      </c>
      <c r="J258" s="1">
        <f>IF(ISNUMBER([256]Main!$C$11),[256]Main!$C$11,"")</f>
        <v>7.2150903090796685</v>
      </c>
      <c r="K258" s="11">
        <f t="shared" si="3"/>
        <v>-0.65295380908707701</v>
      </c>
      <c r="L258" s="12" t="str">
        <f>[256]Main!$C$15&amp;" ("&amp;[256]Main!$C$14&amp;")"</f>
        <v>Net cash (pre-revenue)</v>
      </c>
      <c r="M258" s="13">
        <v>46339</v>
      </c>
      <c r="N258" s="17" t="s">
        <v>156</v>
      </c>
    </row>
    <row r="259" spans="2:14" x14ac:dyDescent="0.2">
      <c r="B259" s="3" t="s">
        <v>577</v>
      </c>
      <c r="C259" t="s">
        <v>578</v>
      </c>
      <c r="D259" t="s">
        <v>15</v>
      </c>
      <c r="E259" s="6" t="s">
        <v>33</v>
      </c>
      <c r="F259" s="1">
        <v>3.48</v>
      </c>
      <c r="G259" s="8">
        <f>F259*[257]Main!$C$4</f>
        <v>512.25214763999998</v>
      </c>
      <c r="H259" s="10">
        <f>G259-[257]Main!$C$7+[257]Main!$C$8</f>
        <v>341.65214763999995</v>
      </c>
      <c r="J259" s="1">
        <f>IF(ISNUMBER([257]Main!$C$11),[257]Main!$C$11,"")</f>
        <v>1.1589761072455891</v>
      </c>
      <c r="K259" s="11">
        <f t="shared" ref="K259:K322" si="4">IFERROR(J259/F259-1,"")</f>
        <v>-0.6669608887225319</v>
      </c>
      <c r="L259" s="12" t="str">
        <f>[257]Main!$C$15&amp;" ("&amp;[257]Main!$C$14&amp;")"</f>
        <v>Net cash (small revenue)</v>
      </c>
      <c r="M259" s="13">
        <v>46331</v>
      </c>
      <c r="N259" s="17" t="s">
        <v>63</v>
      </c>
    </row>
    <row r="260" spans="2:14" x14ac:dyDescent="0.2">
      <c r="B260" s="3" t="s">
        <v>579</v>
      </c>
      <c r="C260" t="s">
        <v>580</v>
      </c>
      <c r="D260" t="s">
        <v>15</v>
      </c>
      <c r="E260" s="6" t="s">
        <v>33</v>
      </c>
      <c r="F260" s="1">
        <v>14.4</v>
      </c>
      <c r="G260" s="8">
        <f>F260*[258]Main!$C$4</f>
        <v>457.70268959999999</v>
      </c>
      <c r="H260" s="10">
        <f>G260-[258]Main!$C$7+[258]Main!$C$8</f>
        <v>362.32668960000001</v>
      </c>
      <c r="J260" s="1">
        <f>IF(ISNUMBER([258]Main!$C$11),[258]Main!$C$11,"")</f>
        <v>3.0006692798774415</v>
      </c>
      <c r="K260" s="11">
        <f t="shared" si="4"/>
        <v>-0.79162018889739993</v>
      </c>
      <c r="L260" s="12" t="str">
        <f>[258]Main!$C$15&amp;" ("&amp;[258]Main!$C$14&amp;")"</f>
        <v>Net cash (pre-revenue)</v>
      </c>
      <c r="M260" s="13"/>
      <c r="N260" s="17"/>
    </row>
    <row r="261" spans="2:14" x14ac:dyDescent="0.2">
      <c r="B261" s="3" t="s">
        <v>581</v>
      </c>
      <c r="C261" t="s">
        <v>582</v>
      </c>
      <c r="D261" t="s">
        <v>15</v>
      </c>
      <c r="E261" s="6" t="s">
        <v>33</v>
      </c>
      <c r="F261" s="1">
        <v>7.37</v>
      </c>
      <c r="G261" s="8">
        <f>F261*[259]Main!$C$4</f>
        <v>486.79174279999995</v>
      </c>
      <c r="H261" s="10">
        <f>G261-[259]Main!$C$7+[259]Main!$C$8</f>
        <v>598.36574279999991</v>
      </c>
      <c r="J261" s="1">
        <f>IF(ISNUMBER([259]Main!$C$11),[259]Main!$C$11,"")</f>
        <v>5.6319579862745197</v>
      </c>
      <c r="K261" s="11">
        <f t="shared" si="4"/>
        <v>-0.23582659616356583</v>
      </c>
      <c r="L261" s="12" t="str">
        <f>[259]Main!$C$15&amp;" ("&amp;[259]Main!$C$14&amp;")"</f>
        <v>DCF (Base)</v>
      </c>
      <c r="M261" s="13">
        <v>46330</v>
      </c>
      <c r="N261" s="17" t="s">
        <v>40</v>
      </c>
    </row>
    <row r="262" spans="2:14" x14ac:dyDescent="0.2">
      <c r="B262" s="3" t="s">
        <v>583</v>
      </c>
      <c r="C262" t="s">
        <v>584</v>
      </c>
      <c r="D262" t="s">
        <v>22</v>
      </c>
      <c r="E262" s="6" t="s">
        <v>33</v>
      </c>
      <c r="F262" s="1">
        <v>3.26</v>
      </c>
      <c r="G262" s="8">
        <f>F262*[260]Main!$C$4</f>
        <v>476.08700144999989</v>
      </c>
      <c r="H262" s="10">
        <f>G262-[260]Main!$C$7+[260]Main!$C$8</f>
        <v>385.83439184665963</v>
      </c>
      <c r="J262" s="1">
        <f>IF(ISNUMBER([260]Main!$C$11),[260]Main!$C$11,"")</f>
        <v>0.61800365565702076</v>
      </c>
      <c r="K262" s="11">
        <f t="shared" si="4"/>
        <v>-0.8104283264855765</v>
      </c>
      <c r="L262" s="12" t="str">
        <f>[260]Main!$C$15&amp;" ("&amp;[260]Main!$C$14&amp;")"</f>
        <v>Net cash (small revenue)</v>
      </c>
      <c r="M262" s="13"/>
      <c r="N262" s="17"/>
    </row>
    <row r="263" spans="2:14" x14ac:dyDescent="0.2">
      <c r="B263" s="3" t="s">
        <v>585</v>
      </c>
      <c r="C263" t="s">
        <v>586</v>
      </c>
      <c r="D263" t="s">
        <v>22</v>
      </c>
      <c r="E263" s="6" t="s">
        <v>33</v>
      </c>
      <c r="F263" s="1">
        <v>25.4</v>
      </c>
      <c r="G263" s="8">
        <f>F263*[261]Main!$C$4</f>
        <v>508.28910280000002</v>
      </c>
      <c r="H263" s="10">
        <f>G263-[261]Main!$C$7+[261]Main!$C$8</f>
        <v>282.89710280000003</v>
      </c>
      <c r="J263" s="1">
        <f>IF(ISNUMBER([261]Main!$C$11),[261]Main!$C$11,"")</f>
        <v>11.263190118503559</v>
      </c>
      <c r="K263" s="11">
        <f t="shared" si="4"/>
        <v>-0.55656731816915128</v>
      </c>
      <c r="L263" s="12" t="str">
        <f>[261]Main!$C$15&amp;" ("&amp;[261]Main!$C$14&amp;")"</f>
        <v>Net cash (pre-revenue)</v>
      </c>
      <c r="M263" s="13">
        <v>46338</v>
      </c>
      <c r="N263" s="17" t="s">
        <v>190</v>
      </c>
    </row>
    <row r="264" spans="2:14" x14ac:dyDescent="0.2">
      <c r="B264" s="3" t="s">
        <v>587</v>
      </c>
      <c r="C264" t="s">
        <v>588</v>
      </c>
      <c r="D264" t="s">
        <v>22</v>
      </c>
      <c r="E264" s="6" t="s">
        <v>33</v>
      </c>
      <c r="F264" s="1">
        <v>74.23</v>
      </c>
      <c r="G264" s="8">
        <f>F264*[262]Main!$C$4</f>
        <v>498.24452755999999</v>
      </c>
      <c r="H264" s="10">
        <f>G264-[262]Main!$C$7+[262]Main!$C$8</f>
        <v>392.87406255999997</v>
      </c>
      <c r="J264" s="1">
        <f>IF(ISNUMBER([262]Main!$C$11),[262]Main!$C$11,"")</f>
        <v>15.698415505442947</v>
      </c>
      <c r="K264" s="11">
        <f t="shared" si="4"/>
        <v>-0.78851656331075115</v>
      </c>
      <c r="L264" s="12" t="str">
        <f>[262]Main!$C$15&amp;" ("&amp;[262]Main!$C$14&amp;")"</f>
        <v>Net cash (pre-revenue)</v>
      </c>
      <c r="M264" s="13">
        <v>46338</v>
      </c>
      <c r="N264" s="17" t="s">
        <v>190</v>
      </c>
    </row>
    <row r="265" spans="2:14" x14ac:dyDescent="0.2">
      <c r="B265" s="3" t="s">
        <v>589</v>
      </c>
      <c r="C265" t="s">
        <v>590</v>
      </c>
      <c r="D265" t="s">
        <v>22</v>
      </c>
      <c r="E265" s="6" t="s">
        <v>33</v>
      </c>
      <c r="F265" s="1">
        <v>3.02</v>
      </c>
      <c r="G265" s="8">
        <f>F265*[263]Main!$C$4</f>
        <v>522.88832962000004</v>
      </c>
      <c r="H265" s="10">
        <f>G265-[263]Main!$C$7+[263]Main!$C$8</f>
        <v>512.27132961999996</v>
      </c>
      <c r="J265" s="1">
        <f>IF(ISNUMBER([263]Main!$C$11),[263]Main!$C$11,"")</f>
        <v>6.1319670345868063E-2</v>
      </c>
      <c r="K265" s="11">
        <f t="shared" si="4"/>
        <v>-0.97969547339540797</v>
      </c>
      <c r="L265" s="12" t="str">
        <f>[263]Main!$C$15&amp;" ("&amp;[263]Main!$C$14&amp;")"</f>
        <v>Net cash (pre-revenue)</v>
      </c>
      <c r="M265" s="13">
        <v>46339</v>
      </c>
      <c r="N265" s="17" t="s">
        <v>156</v>
      </c>
    </row>
    <row r="266" spans="2:14" x14ac:dyDescent="0.2">
      <c r="B266" s="3" t="s">
        <v>591</v>
      </c>
      <c r="C266" t="s">
        <v>592</v>
      </c>
      <c r="D266" t="s">
        <v>22</v>
      </c>
      <c r="E266" s="6" t="s">
        <v>33</v>
      </c>
      <c r="F266" s="1">
        <v>7.4</v>
      </c>
      <c r="G266" s="8">
        <f>F266*[264]Main!$C$4</f>
        <v>488.49762080000005</v>
      </c>
      <c r="H266" s="10">
        <f>G266-[264]Main!$C$7+[264]Main!$C$8</f>
        <v>382.98062080000005</v>
      </c>
      <c r="J266" s="1">
        <f>IF(ISNUMBER([264]Main!$C$11),[264]Main!$C$11,"")</f>
        <v>-2.9847722296294714</v>
      </c>
      <c r="K266" s="11">
        <f t="shared" si="4"/>
        <v>-1.4033475985985773</v>
      </c>
      <c r="L266" s="12" t="str">
        <f>[264]Main!$C$15&amp;" ("&amp;[264]Main!$C$14&amp;")"</f>
        <v>DCF (Base)</v>
      </c>
      <c r="M266" s="13">
        <v>46331</v>
      </c>
      <c r="N266" s="17" t="s">
        <v>63</v>
      </c>
    </row>
    <row r="267" spans="2:14" x14ac:dyDescent="0.2">
      <c r="B267" s="3" t="s">
        <v>593</v>
      </c>
      <c r="C267" t="s">
        <v>594</v>
      </c>
      <c r="D267" t="s">
        <v>15</v>
      </c>
      <c r="E267" s="6" t="s">
        <v>33</v>
      </c>
      <c r="F267" s="1">
        <v>7.66</v>
      </c>
      <c r="G267" s="8">
        <f>F267*[265]Main!$C$4</f>
        <v>500.85822306</v>
      </c>
      <c r="H267" s="10">
        <f>G267-[265]Main!$C$7+[265]Main!$C$8</f>
        <v>-66.541776939999977</v>
      </c>
      <c r="J267" s="1">
        <f>IF(ISNUMBER([265]Main!$C$11),[265]Main!$C$11,"")</f>
        <v>19.041354042449935</v>
      </c>
      <c r="K267" s="11">
        <f t="shared" si="4"/>
        <v>1.4858164546279289</v>
      </c>
      <c r="L267" s="12" t="str">
        <f>[265]Main!$C$15&amp;" ("&amp;[265]Main!$C$14&amp;")"</f>
        <v>DCF (Base)</v>
      </c>
      <c r="M267" s="13">
        <v>46330</v>
      </c>
      <c r="N267" s="17" t="s">
        <v>40</v>
      </c>
    </row>
    <row r="268" spans="2:14" x14ac:dyDescent="0.2">
      <c r="B268" s="3" t="s">
        <v>595</v>
      </c>
      <c r="C268" t="s">
        <v>596</v>
      </c>
      <c r="D268" t="s">
        <v>22</v>
      </c>
      <c r="E268" s="6" t="s">
        <v>33</v>
      </c>
      <c r="F268" s="1">
        <v>1.33</v>
      </c>
      <c r="G268" s="8">
        <f>F268*[266]Main!$C$4</f>
        <v>459.50287173000004</v>
      </c>
      <c r="H268" s="10">
        <f>G268-[266]Main!$C$7+[266]Main!$C$8</f>
        <v>35.902871730000015</v>
      </c>
      <c r="J268" s="1">
        <f>IF(ISNUMBER([266]Main!$C$11),[266]Main!$C$11,"")</f>
        <v>1.2260815647982328</v>
      </c>
      <c r="K268" s="11">
        <f t="shared" si="4"/>
        <v>-7.8134161805839986E-2</v>
      </c>
      <c r="L268" s="12" t="str">
        <f>[266]Main!$C$15&amp;" ("&amp;[266]Main!$C$14&amp;")"</f>
        <v>Net cash (pre-revenue)</v>
      </c>
      <c r="M268" s="13">
        <v>46331</v>
      </c>
      <c r="N268" s="17" t="s">
        <v>63</v>
      </c>
    </row>
    <row r="269" spans="2:14" x14ac:dyDescent="0.2">
      <c r="B269" s="3" t="s">
        <v>597</v>
      </c>
      <c r="C269" t="s">
        <v>598</v>
      </c>
      <c r="D269" t="s">
        <v>22</v>
      </c>
      <c r="E269" s="6" t="s">
        <v>33</v>
      </c>
      <c r="F269" s="1">
        <v>3.73</v>
      </c>
      <c r="G269" s="8">
        <f>F269*[267]Main!$C$4</f>
        <v>536.71417599999995</v>
      </c>
      <c r="H269" s="10">
        <f>G269-[267]Main!$C$7+[267]Main!$C$8</f>
        <v>524.8129449999999</v>
      </c>
      <c r="J269" s="1">
        <f>IF(ISNUMBER([267]Main!$C$11),[267]Main!$C$11,"")</f>
        <v>8.2709929446693059E-2</v>
      </c>
      <c r="K269" s="11">
        <f t="shared" si="4"/>
        <v>-0.97782575618051126</v>
      </c>
      <c r="L269" s="12" t="str">
        <f>[267]Main!$C$15&amp;" ("&amp;[267]Main!$C$14&amp;")"</f>
        <v>Net cash (small revenue)</v>
      </c>
      <c r="M269" s="13"/>
      <c r="N269" s="17"/>
    </row>
    <row r="270" spans="2:14" x14ac:dyDescent="0.2">
      <c r="B270" s="3" t="s">
        <v>599</v>
      </c>
      <c r="C270" t="s">
        <v>600</v>
      </c>
      <c r="D270" t="s">
        <v>15</v>
      </c>
      <c r="E270" s="6" t="s">
        <v>33</v>
      </c>
      <c r="F270" s="1">
        <v>3.03</v>
      </c>
      <c r="G270" s="8">
        <f>F270*[268]Main!$C$4</f>
        <v>447.79619468999994</v>
      </c>
      <c r="H270" s="10">
        <f>G270-[268]Main!$C$7+[268]Main!$C$8</f>
        <v>431.20419468999995</v>
      </c>
      <c r="J270" s="1">
        <f>IF(ISNUMBER([268]Main!$C$11),[268]Main!$C$11,"")</f>
        <v>4.3584162544421092</v>
      </c>
      <c r="K270" s="11">
        <f t="shared" si="4"/>
        <v>0.4384212060865047</v>
      </c>
      <c r="L270" s="12" t="str">
        <f>[268]Main!$C$15&amp;" ("&amp;[268]Main!$C$14&amp;")"</f>
        <v>DCF (Base)</v>
      </c>
      <c r="M270" s="13"/>
      <c r="N270" s="17"/>
    </row>
    <row r="271" spans="2:14" x14ac:dyDescent="0.2">
      <c r="B271" s="3" t="s">
        <v>601</v>
      </c>
      <c r="C271" t="s">
        <v>602</v>
      </c>
      <c r="D271" t="s">
        <v>22</v>
      </c>
      <c r="E271" s="6" t="s">
        <v>33</v>
      </c>
      <c r="F271" s="1">
        <v>7.85</v>
      </c>
      <c r="G271" s="8">
        <f>F271*[269]Main!$C$4</f>
        <v>452.8355396</v>
      </c>
      <c r="H271" s="10">
        <f>G271-[269]Main!$C$7+[269]Main!$C$8</f>
        <v>387.28953960000001</v>
      </c>
      <c r="J271" s="1">
        <f>IF(ISNUMBER([269]Main!$C$11),[269]Main!$C$11,"")</f>
        <v>7.851216424026159</v>
      </c>
      <c r="K271" s="11">
        <f t="shared" si="4"/>
        <v>1.5495847467006385E-4</v>
      </c>
      <c r="L271" s="12" t="str">
        <f>[269]Main!$C$15&amp;" ("&amp;[269]Main!$C$14&amp;")"</f>
        <v>DCF (Base)</v>
      </c>
      <c r="M271" s="13">
        <v>46335</v>
      </c>
      <c r="N271" s="17" t="s">
        <v>87</v>
      </c>
    </row>
    <row r="272" spans="2:14" x14ac:dyDescent="0.2">
      <c r="B272" s="3" t="s">
        <v>603</v>
      </c>
      <c r="C272" t="s">
        <v>604</v>
      </c>
      <c r="D272" t="s">
        <v>22</v>
      </c>
      <c r="E272" s="6" t="s">
        <v>33</v>
      </c>
      <c r="F272" s="1">
        <v>19.61</v>
      </c>
      <c r="G272" s="8">
        <f>F272*[270]Main!$C$4</f>
        <v>926.50737518999995</v>
      </c>
      <c r="H272" s="10">
        <f>G272-[270]Main!$C$7+[270]Main!$C$8</f>
        <v>854.40737518999993</v>
      </c>
      <c r="J272" s="1">
        <f>IF(ISNUMBER([270]Main!$C$11),[270]Main!$C$11,"")</f>
        <v>1.526033184258305</v>
      </c>
      <c r="K272" s="11">
        <f t="shared" si="4"/>
        <v>-0.92218086770737862</v>
      </c>
      <c r="L272" s="12" t="str">
        <f>[270]Main!$C$15&amp;" ("&amp;[270]Main!$C$14&amp;")"</f>
        <v>Net cash (pre-revenue)</v>
      </c>
      <c r="M272" s="13">
        <v>46331</v>
      </c>
      <c r="N272" s="17" t="s">
        <v>63</v>
      </c>
    </row>
    <row r="273" spans="2:14" x14ac:dyDescent="0.2">
      <c r="B273" s="3" t="s">
        <v>605</v>
      </c>
      <c r="C273" t="s">
        <v>606</v>
      </c>
      <c r="D273" t="s">
        <v>22</v>
      </c>
      <c r="E273" s="6" t="s">
        <v>33</v>
      </c>
      <c r="F273" s="1">
        <v>13.07</v>
      </c>
      <c r="G273" s="8">
        <f>F273*[271]Main!$C$4</f>
        <v>485.47129580000001</v>
      </c>
      <c r="H273" s="10">
        <f>G273-[271]Main!$C$7+[271]Main!$C$8</f>
        <v>313.87829580000005</v>
      </c>
      <c r="J273" s="1">
        <f>IF(ISNUMBER([271]Main!$C$11),[271]Main!$C$11,"")</f>
        <v>4.6196768571131654</v>
      </c>
      <c r="K273" s="11">
        <f t="shared" si="4"/>
        <v>-0.64654346923388184</v>
      </c>
      <c r="L273" s="12" t="str">
        <f>[271]Main!$C$15&amp;" ("&amp;[271]Main!$C$14&amp;")"</f>
        <v>Net cash (small revenue)</v>
      </c>
      <c r="M273" s="13">
        <v>46331</v>
      </c>
      <c r="N273" s="17" t="s">
        <v>63</v>
      </c>
    </row>
    <row r="274" spans="2:14" x14ac:dyDescent="0.2">
      <c r="B274" s="3" t="s">
        <v>607</v>
      </c>
      <c r="C274" t="s">
        <v>608</v>
      </c>
      <c r="D274" t="s">
        <v>15</v>
      </c>
      <c r="E274" s="6" t="s">
        <v>33</v>
      </c>
      <c r="F274" s="1">
        <v>7.49</v>
      </c>
      <c r="G274" s="8">
        <f>F274*[272]Main!$C$4</f>
        <v>450.06918655999999</v>
      </c>
      <c r="H274" s="10">
        <f>G274-[272]Main!$C$7+[272]Main!$C$8</f>
        <v>350.39201776539835</v>
      </c>
      <c r="J274" s="1">
        <f>IF(ISNUMBER([272]Main!$C$11),[272]Main!$C$11,"")</f>
        <v>1.6588160588772891</v>
      </c>
      <c r="K274" s="11">
        <f t="shared" si="4"/>
        <v>-0.77852923112452754</v>
      </c>
      <c r="L274" s="12" t="str">
        <f>[272]Main!$C$15&amp;" ("&amp;[272]Main!$C$14&amp;")"</f>
        <v>Net cash (pre-revenue)</v>
      </c>
      <c r="M274" s="13">
        <v>46335</v>
      </c>
      <c r="N274" s="17" t="s">
        <v>87</v>
      </c>
    </row>
    <row r="275" spans="2:14" x14ac:dyDescent="0.2">
      <c r="B275" s="3" t="s">
        <v>609</v>
      </c>
      <c r="C275" t="s">
        <v>610</v>
      </c>
      <c r="D275" t="s">
        <v>22</v>
      </c>
      <c r="E275" s="6" t="s">
        <v>33</v>
      </c>
      <c r="F275" s="1">
        <v>8.5</v>
      </c>
      <c r="G275" s="8">
        <f>F275*[273]Main!$C$4</f>
        <v>436.36427900000001</v>
      </c>
      <c r="H275" s="10">
        <f>G275-[273]Main!$C$7+[273]Main!$C$8</f>
        <v>148.17127900000003</v>
      </c>
      <c r="J275" s="1">
        <f>IF(ISNUMBER([273]Main!$C$11),[273]Main!$C$11,"")</f>
        <v>5.6137512117484754</v>
      </c>
      <c r="K275" s="11">
        <f t="shared" si="4"/>
        <v>-0.33955868097076758</v>
      </c>
      <c r="L275" s="12" t="str">
        <f>[273]Main!$C$15&amp;" ("&amp;[273]Main!$C$14&amp;")"</f>
        <v>Net cash (revenue jump)</v>
      </c>
      <c r="M275" s="13">
        <v>46331</v>
      </c>
      <c r="N275" s="17" t="s">
        <v>63</v>
      </c>
    </row>
    <row r="276" spans="2:14" x14ac:dyDescent="0.2">
      <c r="B276" s="3" t="s">
        <v>611</v>
      </c>
      <c r="C276" t="s">
        <v>612</v>
      </c>
      <c r="D276" t="s">
        <v>22</v>
      </c>
      <c r="E276" s="6" t="s">
        <v>33</v>
      </c>
      <c r="F276" s="1">
        <v>2.2999999999999998</v>
      </c>
      <c r="G276" s="8">
        <f>F276*[274]Main!$C$4</f>
        <v>447.39071229999996</v>
      </c>
      <c r="H276" s="10">
        <f>G276-[274]Main!$C$7+[274]Main!$C$8</f>
        <v>155.85171229999995</v>
      </c>
      <c r="J276" s="1">
        <f>IF(ISNUMBER([274]Main!$C$11),[274]Main!$C$11,"")</f>
        <v>1.4987787666686436</v>
      </c>
      <c r="K276" s="11">
        <f t="shared" si="4"/>
        <v>-0.34835705797015493</v>
      </c>
      <c r="L276" s="12" t="str">
        <f>[274]Main!$C$15&amp;" ("&amp;[274]Main!$C$14&amp;")"</f>
        <v>Net cash (pre-revenue)</v>
      </c>
      <c r="M276" s="13">
        <v>46331</v>
      </c>
      <c r="N276" s="17" t="s">
        <v>63</v>
      </c>
    </row>
    <row r="277" spans="2:14" x14ac:dyDescent="0.2">
      <c r="B277" s="3" t="s">
        <v>613</v>
      </c>
      <c r="C277" t="s">
        <v>614</v>
      </c>
      <c r="D277" t="s">
        <v>22</v>
      </c>
      <c r="E277" s="6" t="s">
        <v>33</v>
      </c>
      <c r="F277" s="1">
        <v>1.66</v>
      </c>
      <c r="G277" s="8">
        <f>F277*[275]Main!$C$4</f>
        <v>441.82981639999997</v>
      </c>
      <c r="H277" s="10">
        <f>G277-[275]Main!$C$7+[275]Main!$C$8</f>
        <v>240.19981639999997</v>
      </c>
      <c r="J277" s="1">
        <f>IF(ISNUMBER([275]Main!$C$11),[275]Main!$C$11,"")</f>
        <v>0.75754461916391391</v>
      </c>
      <c r="K277" s="11">
        <f t="shared" si="4"/>
        <v>-0.54364781978077481</v>
      </c>
      <c r="L277" s="12" t="str">
        <f>[275]Main!$C$15&amp;" ("&amp;[275]Main!$C$14&amp;")"</f>
        <v>Net cash (revenue jump)</v>
      </c>
      <c r="M277" s="13">
        <v>46337</v>
      </c>
      <c r="N277" s="17" t="s">
        <v>104</v>
      </c>
    </row>
    <row r="278" spans="2:14" x14ac:dyDescent="0.2">
      <c r="B278" s="3" t="s">
        <v>615</v>
      </c>
      <c r="C278" t="s">
        <v>616</v>
      </c>
      <c r="D278" t="s">
        <v>22</v>
      </c>
      <c r="E278" s="6" t="s">
        <v>33</v>
      </c>
      <c r="F278" s="1">
        <v>2.36</v>
      </c>
      <c r="G278" s="8">
        <f>F278*[276]Main!$C$4</f>
        <v>460.90294251999995</v>
      </c>
      <c r="H278" s="10">
        <f>G278-[276]Main!$C$7+[276]Main!$C$8</f>
        <v>291.13394251999995</v>
      </c>
      <c r="J278" s="1">
        <f>IF(ISNUMBER([276]Main!$C$11),[276]Main!$C$11,"")</f>
        <v>0.8692824519830753</v>
      </c>
      <c r="K278" s="11">
        <f t="shared" si="4"/>
        <v>-0.63165997797327322</v>
      </c>
      <c r="L278" s="12" t="str">
        <f>[276]Main!$C$15&amp;" ("&amp;[276]Main!$C$14&amp;")"</f>
        <v>Net cash (pre-revenue)</v>
      </c>
      <c r="M278" s="13">
        <v>46337</v>
      </c>
      <c r="N278" s="17" t="s">
        <v>104</v>
      </c>
    </row>
    <row r="279" spans="2:14" x14ac:dyDescent="0.2">
      <c r="B279" s="3" t="s">
        <v>617</v>
      </c>
      <c r="C279" t="s">
        <v>618</v>
      </c>
      <c r="D279" t="s">
        <v>22</v>
      </c>
      <c r="E279" s="6" t="s">
        <v>33</v>
      </c>
      <c r="F279" s="1">
        <v>5.84</v>
      </c>
      <c r="G279" s="8">
        <f>F279*[277]Main!$C$4</f>
        <v>413.40928423999998</v>
      </c>
      <c r="H279" s="10">
        <f>G279-[277]Main!$C$7+[277]Main!$C$8</f>
        <v>407.40843323999997</v>
      </c>
      <c r="J279" s="1">
        <f>IF(ISNUMBER([277]Main!$C$11),[277]Main!$C$11,"")</f>
        <v>8.4770640563686633E-2</v>
      </c>
      <c r="K279" s="11">
        <f t="shared" si="4"/>
        <v>-0.98548447935553307</v>
      </c>
      <c r="L279" s="12" t="str">
        <f>[277]Main!$C$15&amp;" ("&amp;[277]Main!$C$14&amp;")"</f>
        <v>Net cash (pre-revenue)</v>
      </c>
      <c r="M279" s="13"/>
      <c r="N279" s="17"/>
    </row>
    <row r="280" spans="2:14" x14ac:dyDescent="0.2">
      <c r="B280" s="3" t="s">
        <v>619</v>
      </c>
      <c r="C280" t="s">
        <v>620</v>
      </c>
      <c r="D280" t="s">
        <v>22</v>
      </c>
      <c r="E280" s="6" t="s">
        <v>33</v>
      </c>
      <c r="F280" s="1">
        <v>21.19</v>
      </c>
      <c r="G280" s="8">
        <f>F280*[278]Main!$C$4</f>
        <v>431.44102924000003</v>
      </c>
      <c r="H280" s="10">
        <f>G280-[278]Main!$C$7+[278]Main!$C$8</f>
        <v>111.08002924000004</v>
      </c>
      <c r="J280" s="1">
        <f>IF(ISNUMBER([278]Main!$C$11),[278]Main!$C$11,"")</f>
        <v>20.559310665502302</v>
      </c>
      <c r="K280" s="11">
        <f t="shared" si="4"/>
        <v>-2.9763536314190597E-2</v>
      </c>
      <c r="L280" s="12" t="str">
        <f>[278]Main!$C$15&amp;" ("&amp;[278]Main!$C$14&amp;")"</f>
        <v>DCF (Base)</v>
      </c>
      <c r="M280" s="13">
        <v>46335</v>
      </c>
      <c r="N280" s="17" t="s">
        <v>87</v>
      </c>
    </row>
    <row r="281" spans="2:14" x14ac:dyDescent="0.2">
      <c r="B281" s="3" t="s">
        <v>621</v>
      </c>
      <c r="C281" t="s">
        <v>622</v>
      </c>
      <c r="D281" t="s">
        <v>22</v>
      </c>
      <c r="E281" s="6" t="s">
        <v>33</v>
      </c>
      <c r="F281" s="1">
        <v>8.18</v>
      </c>
      <c r="G281" s="8">
        <f>F281*[279]Main!$C$4</f>
        <v>443.06994539999999</v>
      </c>
      <c r="H281" s="10">
        <f>G281-[279]Main!$C$7+[279]Main!$C$8</f>
        <v>-88.108054600000003</v>
      </c>
      <c r="J281" s="1">
        <f>IF(ISNUMBER([279]Main!$C$11),[279]Main!$C$11,"")</f>
        <v>9.8066593889083045</v>
      </c>
      <c r="K281" s="11">
        <f t="shared" si="4"/>
        <v>0.19885811600346015</v>
      </c>
      <c r="L281" s="12" t="str">
        <f>[279]Main!$C$15&amp;" ("&amp;[279]Main!$C$14&amp;")"</f>
        <v>Net cash (pre-revenue)</v>
      </c>
      <c r="M281" s="13">
        <v>46338</v>
      </c>
      <c r="N281" s="17" t="s">
        <v>190</v>
      </c>
    </row>
    <row r="282" spans="2:14" x14ac:dyDescent="0.2">
      <c r="B282" s="3" t="s">
        <v>623</v>
      </c>
      <c r="C282" t="s">
        <v>624</v>
      </c>
      <c r="D282" t="s">
        <v>22</v>
      </c>
      <c r="E282" s="6" t="s">
        <v>33</v>
      </c>
      <c r="F282" s="1">
        <v>8.67</v>
      </c>
      <c r="G282" s="8">
        <f>F282*[280]Main!$C$4</f>
        <v>467.53579299</v>
      </c>
      <c r="H282" s="10">
        <f>G282-[280]Main!$C$7+[280]Main!$C$8</f>
        <v>424.03179298999999</v>
      </c>
      <c r="J282" s="1">
        <f>IF(ISNUMBER([280]Main!$C$11),[280]Main!$C$11,"")</f>
        <v>0.80673968850138367</v>
      </c>
      <c r="K282" s="11">
        <f t="shared" si="4"/>
        <v>-0.90695043961921762</v>
      </c>
      <c r="L282" s="12" t="str">
        <f>[280]Main!$C$15&amp;" ("&amp;[280]Main!$C$14&amp;")"</f>
        <v>Net cash (pre-revenue)</v>
      </c>
      <c r="M282" s="13">
        <v>46337</v>
      </c>
      <c r="N282" s="17" t="s">
        <v>104</v>
      </c>
    </row>
    <row r="283" spans="2:14" x14ac:dyDescent="0.2">
      <c r="B283" s="3" t="s">
        <v>625</v>
      </c>
      <c r="C283" t="s">
        <v>626</v>
      </c>
      <c r="D283" t="s">
        <v>22</v>
      </c>
      <c r="E283" s="6" t="s">
        <v>33</v>
      </c>
      <c r="F283" s="1">
        <v>4.29</v>
      </c>
      <c r="G283" s="8">
        <f>F283*[281]Main!$C$4</f>
        <v>426.62910147000002</v>
      </c>
      <c r="H283" s="10">
        <f>G283-[281]Main!$C$7+[281]Main!$C$8</f>
        <v>379.46010146999998</v>
      </c>
      <c r="J283" s="1">
        <f>IF(ISNUMBER([281]Main!$C$11),[281]Main!$C$11,"")</f>
        <v>-5.410921914670249</v>
      </c>
      <c r="K283" s="11">
        <f t="shared" si="4"/>
        <v>-2.2612871595967947</v>
      </c>
      <c r="L283" s="12" t="str">
        <f>[281]Main!$C$15&amp;" ("&amp;[281]Main!$C$14&amp;")"</f>
        <v>DCF (Base)</v>
      </c>
      <c r="M283" s="13">
        <v>46335</v>
      </c>
      <c r="N283" s="17" t="s">
        <v>87</v>
      </c>
    </row>
    <row r="284" spans="2:14" x14ac:dyDescent="0.2">
      <c r="B284" s="3" t="s">
        <v>627</v>
      </c>
      <c r="C284" t="s">
        <v>628</v>
      </c>
      <c r="D284" t="s">
        <v>22</v>
      </c>
      <c r="E284" s="6" t="s">
        <v>33</v>
      </c>
      <c r="F284" s="1">
        <v>21.824999999999999</v>
      </c>
      <c r="G284" s="8">
        <f>F284*[282]Main!$C$4</f>
        <v>426.66491294999997</v>
      </c>
      <c r="H284" s="10">
        <f>G284-[282]Main!$C$7+[282]Main!$C$8</f>
        <v>199.59691294999996</v>
      </c>
      <c r="J284" s="1">
        <f>IF(ISNUMBER([282]Main!$C$11),[282]Main!$C$11,"")</f>
        <v>11.615108131895429</v>
      </c>
      <c r="K284" s="11">
        <f t="shared" si="4"/>
        <v>-0.46780718754201922</v>
      </c>
      <c r="L284" s="12" t="str">
        <f>[282]Main!$C$15&amp;" ("&amp;[282]Main!$C$14&amp;")"</f>
        <v>Net cash (pre-revenue)</v>
      </c>
      <c r="M284" s="13">
        <v>46331</v>
      </c>
      <c r="N284" s="17" t="s">
        <v>63</v>
      </c>
    </row>
    <row r="285" spans="2:14" x14ac:dyDescent="0.2">
      <c r="B285" s="3" t="s">
        <v>629</v>
      </c>
      <c r="C285" t="s">
        <v>630</v>
      </c>
      <c r="D285" t="s">
        <v>22</v>
      </c>
      <c r="E285" s="6" t="s">
        <v>33</v>
      </c>
      <c r="F285" s="1">
        <v>13.8</v>
      </c>
      <c r="G285" s="8">
        <f>F285*[283]Main!$C$4</f>
        <v>426.7904886</v>
      </c>
      <c r="H285" s="10">
        <f>G285-[283]Main!$C$7+[283]Main!$C$8</f>
        <v>462.3144886</v>
      </c>
      <c r="J285" s="1">
        <f>IF(ISNUMBER([283]Main!$C$11),[283]Main!$C$11,"")</f>
        <v>-1.4450079582378448</v>
      </c>
      <c r="K285" s="11">
        <f t="shared" si="4"/>
        <v>-1.104710721611438</v>
      </c>
      <c r="L285" s="12" t="str">
        <f>[283]Main!$C$15&amp;" ("&amp;[283]Main!$C$14&amp;")"</f>
        <v>DCF (Base)</v>
      </c>
      <c r="M285" s="13">
        <v>46331</v>
      </c>
      <c r="N285" s="17" t="s">
        <v>63</v>
      </c>
    </row>
    <row r="286" spans="2:14" x14ac:dyDescent="0.2">
      <c r="B286" s="3" t="s">
        <v>631</v>
      </c>
      <c r="C286" t="s">
        <v>632</v>
      </c>
      <c r="D286" t="s">
        <v>22</v>
      </c>
      <c r="E286" s="6" t="s">
        <v>33</v>
      </c>
      <c r="F286" s="1">
        <v>1.44</v>
      </c>
      <c r="G286" s="8">
        <f>F286*[284]Main!$C$4</f>
        <v>435.3446232</v>
      </c>
      <c r="H286" s="10">
        <f>G286-[284]Main!$C$7+[284]Main!$C$8</f>
        <v>360.47662320000001</v>
      </c>
      <c r="J286" s="1">
        <f>IF(ISNUMBER([284]Main!$C$11),[284]Main!$C$11,"")</f>
        <v>0.24764270477844275</v>
      </c>
      <c r="K286" s="11">
        <f t="shared" si="4"/>
        <v>-0.82802589945941474</v>
      </c>
      <c r="L286" s="12" t="str">
        <f>[284]Main!$C$15&amp;" ("&amp;[284]Main!$C$14&amp;")"</f>
        <v>Net cash (pre-revenue)</v>
      </c>
      <c r="M286" s="13">
        <v>46335</v>
      </c>
      <c r="N286" s="17" t="s">
        <v>87</v>
      </c>
    </row>
    <row r="287" spans="2:14" x14ac:dyDescent="0.2">
      <c r="B287" s="3" t="s">
        <v>633</v>
      </c>
      <c r="C287" t="s">
        <v>634</v>
      </c>
      <c r="D287" t="s">
        <v>22</v>
      </c>
      <c r="E287" s="6" t="s">
        <v>33</v>
      </c>
      <c r="F287" s="1">
        <v>19.809999999999999</v>
      </c>
      <c r="G287" s="8">
        <f>F287*[285]Main!$C$4</f>
        <v>375.03658079999997</v>
      </c>
      <c r="H287" s="10">
        <f>G287-[285]Main!$C$7+[285]Main!$C$8</f>
        <v>369.82658079999993</v>
      </c>
      <c r="J287" s="1">
        <f>IF(ISNUMBER([285]Main!$C$11),[285]Main!$C$11,"")</f>
        <v>0.27520008789499933</v>
      </c>
      <c r="K287" s="11">
        <f t="shared" si="4"/>
        <v>-0.98610802181246848</v>
      </c>
      <c r="L287" s="12" t="str">
        <f>[285]Main!$C$15&amp;" ("&amp;[285]Main!$C$14&amp;")"</f>
        <v>Net cash (pre-revenue)</v>
      </c>
      <c r="M287" s="13">
        <v>46358</v>
      </c>
      <c r="N287" s="17" t="s">
        <v>521</v>
      </c>
    </row>
    <row r="288" spans="2:14" x14ac:dyDescent="0.2">
      <c r="B288" s="3" t="s">
        <v>635</v>
      </c>
      <c r="C288" t="s">
        <v>636</v>
      </c>
      <c r="D288" t="s">
        <v>22</v>
      </c>
      <c r="E288" s="6" t="s">
        <v>33</v>
      </c>
      <c r="F288" s="1">
        <v>6.7549999999999999</v>
      </c>
      <c r="G288" s="8">
        <f>F288*[286]Main!$C$4</f>
        <v>392.72887069500001</v>
      </c>
      <c r="H288" s="10">
        <f>G288-[286]Main!$C$7+[286]Main!$C$8</f>
        <v>154.79487069500001</v>
      </c>
      <c r="J288" s="1">
        <f>[286]Main!$C$11</f>
        <v>5.206928426284045</v>
      </c>
      <c r="K288" s="11">
        <f t="shared" si="4"/>
        <v>-0.22917417819629238</v>
      </c>
      <c r="L288" s="12" t="str">
        <f>"rNPV ("&amp;[286]Main!$C$14&amp;")"</f>
        <v>rNPV (Base)</v>
      </c>
      <c r="M288" s="13">
        <v>46348</v>
      </c>
      <c r="N288" s="18" t="s">
        <v>637</v>
      </c>
    </row>
    <row r="289" spans="2:14" x14ac:dyDescent="0.2">
      <c r="B289" s="3" t="s">
        <v>638</v>
      </c>
      <c r="C289" t="s">
        <v>639</v>
      </c>
      <c r="D289" t="s">
        <v>22</v>
      </c>
      <c r="E289" s="6" t="s">
        <v>33</v>
      </c>
      <c r="F289" s="1">
        <v>5.54</v>
      </c>
      <c r="G289" s="8">
        <f>F289*[287]Main!$C$4</f>
        <v>529.89903330000004</v>
      </c>
      <c r="H289" s="10">
        <f>G289-[287]Main!$C$7+[287]Main!$C$8</f>
        <v>535.39903330000004</v>
      </c>
      <c r="J289" s="1">
        <f>IF(ISNUMBER([287]Main!$C$11),[287]Main!$C$11,"")</f>
        <v>5.340801290519666</v>
      </c>
      <c r="K289" s="11">
        <f t="shared" si="4"/>
        <v>-3.5956445754572908E-2</v>
      </c>
      <c r="L289" s="12" t="str">
        <f>[287]Main!$C$15&amp;" ("&amp;[287]Main!$C$14&amp;")"</f>
        <v>DCF (Base)</v>
      </c>
      <c r="M289" s="13">
        <v>46330</v>
      </c>
      <c r="N289" s="17" t="s">
        <v>145</v>
      </c>
    </row>
    <row r="290" spans="2:14" x14ac:dyDescent="0.2">
      <c r="B290" s="3" t="s">
        <v>640</v>
      </c>
      <c r="C290" t="s">
        <v>641</v>
      </c>
      <c r="D290" t="s">
        <v>22</v>
      </c>
      <c r="E290" s="6" t="s">
        <v>33</v>
      </c>
      <c r="F290" s="1">
        <v>2.58</v>
      </c>
      <c r="G290" s="8">
        <f>F290*[288]Main!$C$4</f>
        <v>396.23649030000001</v>
      </c>
      <c r="H290" s="10">
        <f>G290-[288]Main!$C$7+[288]Main!$C$8</f>
        <v>240.32949030000003</v>
      </c>
      <c r="J290" s="1">
        <f>IF(ISNUMBER([288]Main!$C$11),[288]Main!$C$11,"")</f>
        <v>1.0151514811153675</v>
      </c>
      <c r="K290" s="11">
        <f t="shared" si="4"/>
        <v>-0.60653043367621418</v>
      </c>
      <c r="L290" s="12" t="str">
        <f>[288]Main!$C$15&amp;" ("&amp;[288]Main!$C$14&amp;")"</f>
        <v>Net cash (small revenue)</v>
      </c>
      <c r="M290" s="13">
        <v>46335</v>
      </c>
      <c r="N290" s="17" t="s">
        <v>87</v>
      </c>
    </row>
    <row r="291" spans="2:14" x14ac:dyDescent="0.2">
      <c r="B291" s="3" t="s">
        <v>642</v>
      </c>
      <c r="C291" t="s">
        <v>643</v>
      </c>
      <c r="D291" t="s">
        <v>22</v>
      </c>
      <c r="E291" s="6" t="s">
        <v>33</v>
      </c>
      <c r="F291" s="1">
        <v>4</v>
      </c>
      <c r="G291" s="8">
        <f>F291*[289]Main!$C$4</f>
        <v>383.31654800000001</v>
      </c>
      <c r="H291" s="10">
        <f>G291-[289]Main!$C$7+[289]Main!$C$8</f>
        <v>178.18254800000003</v>
      </c>
      <c r="J291" s="1">
        <f>IF(ISNUMBER([289]Main!$C$11),[289]Main!$C$11,"")</f>
        <v>2.1406224288548064</v>
      </c>
      <c r="K291" s="11">
        <f t="shared" si="4"/>
        <v>-0.46484439278629841</v>
      </c>
      <c r="L291" s="12" t="str">
        <f>[289]Main!$C$15&amp;" ("&amp;[289]Main!$C$14&amp;")"</f>
        <v>Net cash (pre-revenue)</v>
      </c>
      <c r="M291" s="13">
        <v>46338</v>
      </c>
      <c r="N291" s="17" t="s">
        <v>190</v>
      </c>
    </row>
    <row r="292" spans="2:14" x14ac:dyDescent="0.2">
      <c r="B292" s="3" t="s">
        <v>644</v>
      </c>
      <c r="C292" t="s">
        <v>645</v>
      </c>
      <c r="D292" t="s">
        <v>22</v>
      </c>
      <c r="E292" s="6" t="s">
        <v>33</v>
      </c>
      <c r="F292" s="1">
        <v>6.04</v>
      </c>
      <c r="G292" s="8">
        <f>F292*[290]Main!$C$4</f>
        <v>373.53440175999998</v>
      </c>
      <c r="H292" s="10">
        <f>G292-[290]Main!$C$7+[290]Main!$C$8</f>
        <v>198.99040175999997</v>
      </c>
      <c r="J292" s="1">
        <f>IF(ISNUMBER([290]Main!$C$11),[290]Main!$C$11,"")</f>
        <v>2.8223525196947312</v>
      </c>
      <c r="K292" s="11">
        <f t="shared" si="4"/>
        <v>-0.5327230927657729</v>
      </c>
      <c r="L292" s="12" t="str">
        <f>[290]Main!$C$15&amp;" ("&amp;[290]Main!$C$14&amp;")"</f>
        <v>Net cash (pre-revenue)</v>
      </c>
      <c r="M292" s="13">
        <v>46337</v>
      </c>
      <c r="N292" s="17" t="s">
        <v>104</v>
      </c>
    </row>
    <row r="293" spans="2:14" x14ac:dyDescent="0.2">
      <c r="B293" s="3" t="s">
        <v>646</v>
      </c>
      <c r="C293" t="s">
        <v>647</v>
      </c>
      <c r="D293" t="s">
        <v>22</v>
      </c>
      <c r="E293" s="6" t="s">
        <v>33</v>
      </c>
      <c r="F293" s="1">
        <v>3.43</v>
      </c>
      <c r="G293" s="8">
        <f>F293*[291]Main!$C$4</f>
        <v>345.91427892000002</v>
      </c>
      <c r="H293" s="10">
        <f>G293-[291]Main!$C$7+[291]Main!$C$8</f>
        <v>332.64527892000001</v>
      </c>
      <c r="J293" s="1">
        <f>IF(ISNUMBER([291]Main!$C$11),[291]Main!$C$11,"")</f>
        <v>0.13157210549994605</v>
      </c>
      <c r="K293" s="11">
        <f t="shared" si="4"/>
        <v>-0.96164078556852883</v>
      </c>
      <c r="L293" s="12" t="str">
        <f>[291]Main!$C$15&amp;" ("&amp;[291]Main!$C$14&amp;")"</f>
        <v>Net cash (pre-revenue)</v>
      </c>
      <c r="M293" s="13">
        <v>46339</v>
      </c>
      <c r="N293" s="17" t="s">
        <v>156</v>
      </c>
    </row>
    <row r="294" spans="2:14" x14ac:dyDescent="0.2">
      <c r="B294" s="3" t="s">
        <v>648</v>
      </c>
      <c r="C294" t="s">
        <v>649</v>
      </c>
      <c r="D294" t="s">
        <v>22</v>
      </c>
      <c r="E294" s="6" t="s">
        <v>33</v>
      </c>
      <c r="F294" s="1">
        <v>8.24</v>
      </c>
      <c r="G294" s="8">
        <f>F294*[292]Main!$C$4</f>
        <v>374.39978408000002</v>
      </c>
      <c r="H294" s="10">
        <f>G294-[292]Main!$C$7+[292]Main!$C$8</f>
        <v>69.674784079999995</v>
      </c>
      <c r="J294" s="1">
        <f>IF(ISNUMBER([292]Main!$C$11),[292]Main!$C$11,"")</f>
        <v>6.7065583549147441</v>
      </c>
      <c r="K294" s="11">
        <f t="shared" si="4"/>
        <v>-0.18609728702490969</v>
      </c>
      <c r="L294" s="12" t="str">
        <f>[292]Main!$C$15&amp;" ("&amp;[292]Main!$C$14&amp;")"</f>
        <v>Net cash (pre-revenue)</v>
      </c>
      <c r="M294" s="13">
        <v>46359</v>
      </c>
      <c r="N294" s="17" t="s">
        <v>463</v>
      </c>
    </row>
    <row r="295" spans="2:14" x14ac:dyDescent="0.2">
      <c r="B295" s="3" t="s">
        <v>650</v>
      </c>
      <c r="C295" t="s">
        <v>651</v>
      </c>
      <c r="D295" t="s">
        <v>15</v>
      </c>
      <c r="E295" s="6" t="s">
        <v>33</v>
      </c>
      <c r="F295" s="1">
        <v>4.4649999999999999</v>
      </c>
      <c r="G295" s="8">
        <f>F295*[293]Main!$C$4</f>
        <v>358.11398103499999</v>
      </c>
      <c r="H295" s="10">
        <f>G295-[293]Main!$C$7+[293]Main!$C$8</f>
        <v>138.64898103499999</v>
      </c>
      <c r="J295" s="1">
        <f>IF(ISNUMBER([293]Main!$C$11),[293]Main!$C$11,"")</f>
        <v>2.7363109984366374</v>
      </c>
      <c r="K295" s="11">
        <f t="shared" si="4"/>
        <v>-0.38716439004778558</v>
      </c>
      <c r="L295" s="12" t="str">
        <f>[293]Main!$C$15&amp;" ("&amp;[293]Main!$C$14&amp;")"</f>
        <v>Net cash (pre-revenue)</v>
      </c>
      <c r="M295" s="13">
        <v>46337</v>
      </c>
      <c r="N295" s="17" t="s">
        <v>104</v>
      </c>
    </row>
    <row r="296" spans="2:14" x14ac:dyDescent="0.2">
      <c r="B296" s="3" t="s">
        <v>652</v>
      </c>
      <c r="C296" t="s">
        <v>653</v>
      </c>
      <c r="D296" t="s">
        <v>22</v>
      </c>
      <c r="E296" s="6" t="s">
        <v>33</v>
      </c>
      <c r="F296" s="1">
        <v>2.96</v>
      </c>
      <c r="G296" s="8">
        <f>F296*[294]Main!$C$4</f>
        <v>394.39727904</v>
      </c>
      <c r="H296" s="10">
        <f>G296-[294]Main!$C$7+[294]Main!$C$8</f>
        <v>382.84345904000003</v>
      </c>
      <c r="J296" s="1">
        <f>IF(ISNUMBER([294]Main!$C$11),[294]Main!$C$11,"")</f>
        <v>8.6712837581548033E-2</v>
      </c>
      <c r="K296" s="11">
        <f t="shared" si="4"/>
        <v>-0.97070512243866625</v>
      </c>
      <c r="L296" s="12" t="str">
        <f>[294]Main!$C$15&amp;" ("&amp;[294]Main!$C$14&amp;")"</f>
        <v>Net cash (pre-revenue)</v>
      </c>
      <c r="M296" s="13">
        <v>46337</v>
      </c>
      <c r="N296" s="17" t="s">
        <v>104</v>
      </c>
    </row>
    <row r="297" spans="2:14" x14ac:dyDescent="0.2">
      <c r="B297" s="3" t="s">
        <v>654</v>
      </c>
      <c r="C297" t="s">
        <v>655</v>
      </c>
      <c r="D297" t="s">
        <v>22</v>
      </c>
      <c r="E297" s="6" t="s">
        <v>33</v>
      </c>
      <c r="F297" s="1">
        <v>10.46</v>
      </c>
      <c r="G297" s="8">
        <f>F297*[295]Main!$C$4</f>
        <v>366.80248313999999</v>
      </c>
      <c r="H297" s="10">
        <f>G297-[295]Main!$C$7+[295]Main!$C$8</f>
        <v>325.55348313999997</v>
      </c>
      <c r="J297" s="1">
        <f>IF(ISNUMBER([295]Main!$C$11),[295]Main!$C$11,"")</f>
        <v>6.1854105204695511</v>
      </c>
      <c r="K297" s="11">
        <f t="shared" si="4"/>
        <v>-0.40866056209660129</v>
      </c>
      <c r="L297" s="12" t="str">
        <f>[295]Main!$C$15&amp;" ("&amp;[295]Main!$C$14&amp;")"</f>
        <v>DCF (Base)</v>
      </c>
      <c r="M297" s="13">
        <v>46338</v>
      </c>
      <c r="N297" s="17" t="s">
        <v>190</v>
      </c>
    </row>
    <row r="298" spans="2:14" x14ac:dyDescent="0.2">
      <c r="B298" s="3" t="s">
        <v>656</v>
      </c>
      <c r="C298" t="s">
        <v>657</v>
      </c>
      <c r="D298" t="s">
        <v>22</v>
      </c>
      <c r="E298" s="6" t="s">
        <v>33</v>
      </c>
      <c r="F298" s="1">
        <v>3.7</v>
      </c>
      <c r="G298" s="8">
        <f>F298*[296]Main!$C$4</f>
        <v>357.87263210000003</v>
      </c>
      <c r="H298" s="10">
        <f>G298-[296]Main!$C$7+[296]Main!$C$8</f>
        <v>250.07163210000004</v>
      </c>
      <c r="J298" s="1">
        <f>IF(ISNUMBER([296]Main!$C$11),[296]Main!$C$11,"")</f>
        <v>1.1145409406119267</v>
      </c>
      <c r="K298" s="11">
        <f t="shared" si="4"/>
        <v>-0.69877271875353331</v>
      </c>
      <c r="L298" s="12" t="str">
        <f>[296]Main!$C$15&amp;" ("&amp;[296]Main!$C$14&amp;")"</f>
        <v>Net cash (pre-revenue)</v>
      </c>
      <c r="M298" s="13">
        <v>46331</v>
      </c>
      <c r="N298" s="17" t="s">
        <v>63</v>
      </c>
    </row>
    <row r="299" spans="2:14" x14ac:dyDescent="0.2">
      <c r="B299" s="3" t="s">
        <v>658</v>
      </c>
      <c r="C299" t="s">
        <v>659</v>
      </c>
      <c r="D299" t="s">
        <v>15</v>
      </c>
      <c r="E299" s="6" t="s">
        <v>33</v>
      </c>
      <c r="F299" s="1">
        <v>10.47</v>
      </c>
      <c r="G299" s="8">
        <f>F299*[297]Main!$C$4</f>
        <v>311.88077880000003</v>
      </c>
      <c r="H299" s="10">
        <f>G299-[297]Main!$C$7+[297]Main!$C$8</f>
        <v>307.99482080000001</v>
      </c>
      <c r="J299" s="1">
        <f>IF(ISNUMBER([297]Main!$C$11),[297]Main!$C$11,"")</f>
        <v>0.13045363172602162</v>
      </c>
      <c r="K299" s="11">
        <f t="shared" si="4"/>
        <v>-0.98754024529837425</v>
      </c>
      <c r="L299" s="12" t="str">
        <f>[297]Main!$C$15&amp;" ("&amp;[297]Main!$C$14&amp;")"</f>
        <v>Net cash (pre-revenue)</v>
      </c>
      <c r="M299" s="13">
        <v>46338</v>
      </c>
      <c r="N299" s="17" t="s">
        <v>190</v>
      </c>
    </row>
    <row r="300" spans="2:14" x14ac:dyDescent="0.2">
      <c r="B300" s="3" t="s">
        <v>660</v>
      </c>
      <c r="C300" t="s">
        <v>661</v>
      </c>
      <c r="D300" t="s">
        <v>22</v>
      </c>
      <c r="E300" s="6" t="s">
        <v>33</v>
      </c>
      <c r="F300" s="1">
        <v>7.59</v>
      </c>
      <c r="G300" s="8">
        <f>F300*[298]Main!$C$4</f>
        <v>394.21857353999997</v>
      </c>
      <c r="H300" s="10">
        <f>G300-[298]Main!$C$7+[298]Main!$C$8</f>
        <v>313.65509153999994</v>
      </c>
      <c r="J300" s="1">
        <f>IF(ISNUMBER([298]Main!$C$11),[298]Main!$C$11,"")</f>
        <v>1.5511111586881015</v>
      </c>
      <c r="K300" s="11">
        <f t="shared" si="4"/>
        <v>-0.79563752849959135</v>
      </c>
      <c r="L300" s="12" t="str">
        <f>[298]Main!$C$15&amp;" ("&amp;[298]Main!$C$14&amp;")"</f>
        <v>Net cash (pre-revenue)</v>
      </c>
      <c r="M300" s="13">
        <v>46329</v>
      </c>
      <c r="N300" s="17" t="s">
        <v>134</v>
      </c>
    </row>
    <row r="301" spans="2:14" x14ac:dyDescent="0.2">
      <c r="B301" s="3" t="s">
        <v>662</v>
      </c>
      <c r="C301" t="s">
        <v>663</v>
      </c>
      <c r="D301" t="s">
        <v>15</v>
      </c>
      <c r="E301" s="6" t="s">
        <v>33</v>
      </c>
      <c r="F301" s="1">
        <v>3.36</v>
      </c>
      <c r="G301" s="8">
        <f>F301*[299]Main!$C$4</f>
        <v>358.41068256</v>
      </c>
      <c r="H301" s="10">
        <f>G301-[299]Main!$C$7+[299]Main!$C$8</f>
        <v>140.67950755999999</v>
      </c>
      <c r="J301" s="1">
        <f>IF(ISNUMBER([299]Main!$C$11),[299]Main!$C$11,"")</f>
        <v>2.0411689260336985</v>
      </c>
      <c r="K301" s="11">
        <f t="shared" si="4"/>
        <v>-0.39250924820425637</v>
      </c>
      <c r="L301" s="12" t="str">
        <f>[299]Main!$C$15&amp;" ("&amp;[299]Main!$C$14&amp;")"</f>
        <v>Net cash (pre-revenue)</v>
      </c>
      <c r="M301" s="13">
        <v>46338</v>
      </c>
      <c r="N301" s="17" t="s">
        <v>190</v>
      </c>
    </row>
    <row r="302" spans="2:14" x14ac:dyDescent="0.2">
      <c r="B302" s="3" t="s">
        <v>664</v>
      </c>
      <c r="C302" t="s">
        <v>665</v>
      </c>
      <c r="D302" t="s">
        <v>22</v>
      </c>
      <c r="E302" s="6" t="s">
        <v>33</v>
      </c>
      <c r="F302" s="1">
        <v>3.16</v>
      </c>
      <c r="G302" s="8">
        <f>F302*[300]Main!$C$4</f>
        <v>388.75942976000005</v>
      </c>
      <c r="H302" s="10">
        <f>G302-[300]Main!$C$7+[300]Main!$C$8</f>
        <v>88.359429760000069</v>
      </c>
      <c r="J302" s="1">
        <f>IF(ISNUMBER([300]Main!$C$11),[300]Main!$C$11,"")</f>
        <v>2.4417774266878274</v>
      </c>
      <c r="K302" s="11">
        <f t="shared" si="4"/>
        <v>-0.22728562446587741</v>
      </c>
      <c r="L302" s="12" t="str">
        <f>[300]Main!$C$15&amp;" ("&amp;[300]Main!$C$14&amp;")"</f>
        <v>Net cash (small revenue)</v>
      </c>
      <c r="M302" s="13">
        <v>46331</v>
      </c>
      <c r="N302" s="17" t="s">
        <v>63</v>
      </c>
    </row>
    <row r="303" spans="2:14" x14ac:dyDescent="0.2">
      <c r="B303" s="3" t="s">
        <v>666</v>
      </c>
      <c r="C303" t="s">
        <v>667</v>
      </c>
      <c r="D303" t="s">
        <v>15</v>
      </c>
      <c r="E303" s="6" t="s">
        <v>33</v>
      </c>
      <c r="F303" s="1">
        <v>1.28</v>
      </c>
      <c r="G303" s="8">
        <f>F303*[301]Main!$C$4</f>
        <v>337.09967743999999</v>
      </c>
      <c r="H303" s="10">
        <f>G303-[301]Main!$C$7+[301]Main!$C$8</f>
        <v>158.63276126176399</v>
      </c>
      <c r="J303" s="1">
        <f>IF(ISNUMBER([301]Main!$C$11),[301]Main!$C$11,"")</f>
        <v>3.0675701804216629</v>
      </c>
      <c r="K303" s="11">
        <f t="shared" si="4"/>
        <v>1.3965392034544242</v>
      </c>
      <c r="L303" s="12" t="str">
        <f>[301]Main!$C$15&amp;" ("&amp;[301]Main!$C$14&amp;")"</f>
        <v>DCF (Base)</v>
      </c>
      <c r="M303" s="13">
        <v>46322</v>
      </c>
      <c r="N303" s="17" t="s">
        <v>28</v>
      </c>
    </row>
    <row r="304" spans="2:14" x14ac:dyDescent="0.2">
      <c r="B304" s="3" t="s">
        <v>668</v>
      </c>
      <c r="C304" t="s">
        <v>669</v>
      </c>
      <c r="D304" t="s">
        <v>22</v>
      </c>
      <c r="E304" s="6" t="s">
        <v>16</v>
      </c>
      <c r="F304" s="1">
        <v>6.29</v>
      </c>
      <c r="G304" s="8">
        <f>F304*[302]Main!$C$4</f>
        <v>322.50928343999999</v>
      </c>
      <c r="H304" s="10">
        <f>G304-[302]Main!$C$7+[302]Main!$C$8</f>
        <v>764.6092834399999</v>
      </c>
      <c r="J304" s="1">
        <f>IF(ISNUMBER([302]Main!$C$11),[302]Main!$C$11,"")</f>
        <v>3.5174726850822866</v>
      </c>
      <c r="K304" s="11">
        <f t="shared" si="4"/>
        <v>-0.44078335690265713</v>
      </c>
      <c r="L304" s="12" t="str">
        <f>[302]Main!$C$15&amp;" ("&amp;[302]Main!$C$14&amp;")"</f>
        <v>DCF (Base)</v>
      </c>
      <c r="M304" s="13">
        <v>46328</v>
      </c>
      <c r="N304" s="17" t="s">
        <v>46</v>
      </c>
    </row>
    <row r="305" spans="2:14" x14ac:dyDescent="0.2">
      <c r="B305" s="3" t="s">
        <v>670</v>
      </c>
      <c r="C305" t="s">
        <v>671</v>
      </c>
      <c r="D305" t="s">
        <v>22</v>
      </c>
      <c r="E305" s="6" t="s">
        <v>33</v>
      </c>
      <c r="F305" s="1">
        <v>11.67</v>
      </c>
      <c r="G305" s="8">
        <f>F305*[303]Main!$C$4</f>
        <v>339.89344134000004</v>
      </c>
      <c r="H305" s="10">
        <f>G305-[303]Main!$C$7+[303]Main!$C$8</f>
        <v>150.38744134000007</v>
      </c>
      <c r="J305" s="1">
        <f>IF(ISNUMBER([303]Main!$C$11),[303]Main!$C$11,"")</f>
        <v>3.6481054548628329</v>
      </c>
      <c r="K305" s="11">
        <f t="shared" si="4"/>
        <v>-0.68739456256530995</v>
      </c>
      <c r="L305" s="12" t="str">
        <f>[303]Main!$C$15&amp;" ("&amp;[303]Main!$C$14&amp;")"</f>
        <v>DCF (Base)</v>
      </c>
      <c r="M305" s="13">
        <v>46342</v>
      </c>
      <c r="N305" s="17" t="s">
        <v>466</v>
      </c>
    </row>
    <row r="306" spans="2:14" x14ac:dyDescent="0.2">
      <c r="B306" s="3" t="s">
        <v>672</v>
      </c>
      <c r="C306" t="s">
        <v>673</v>
      </c>
      <c r="D306" t="s">
        <v>22</v>
      </c>
      <c r="E306" s="6" t="s">
        <v>33</v>
      </c>
      <c r="F306" s="1">
        <v>4.01</v>
      </c>
      <c r="G306" s="8">
        <f>F306*[304]Main!$C$4</f>
        <v>333.61525023000002</v>
      </c>
      <c r="H306" s="10">
        <f>G306-[304]Main!$C$7+[304]Main!$C$8</f>
        <v>280.08425023000001</v>
      </c>
      <c r="J306" s="1">
        <f>IF(ISNUMBER([304]Main!$C$11),[304]Main!$C$11,"")</f>
        <v>0.64343374546580301</v>
      </c>
      <c r="K306" s="11">
        <f t="shared" si="4"/>
        <v>-0.83954270686638321</v>
      </c>
      <c r="L306" s="12" t="str">
        <f>[304]Main!$C$15&amp;" ("&amp;[304]Main!$C$14&amp;")"</f>
        <v>Net cash (small revenue)</v>
      </c>
      <c r="M306" s="13">
        <v>46337</v>
      </c>
      <c r="N306" s="17" t="s">
        <v>104</v>
      </c>
    </row>
    <row r="307" spans="2:14" x14ac:dyDescent="0.2">
      <c r="B307" s="3" t="s">
        <v>674</v>
      </c>
      <c r="C307" t="s">
        <v>675</v>
      </c>
      <c r="D307" t="s">
        <v>22</v>
      </c>
      <c r="E307" s="6" t="s">
        <v>33</v>
      </c>
      <c r="F307" s="1">
        <v>7.31</v>
      </c>
      <c r="G307" s="8">
        <f>F307*[305]Main!$C$4</f>
        <v>329.75042306999995</v>
      </c>
      <c r="H307" s="10">
        <f>G307-[305]Main!$C$7+[305]Main!$C$8</f>
        <v>322.93942306999998</v>
      </c>
      <c r="J307" s="1">
        <f>IF(ISNUMBER([305]Main!$C$11),[305]Main!$C$11,"")</f>
        <v>0.15098816109609914</v>
      </c>
      <c r="K307" s="11">
        <f t="shared" si="4"/>
        <v>-0.97934498480217524</v>
      </c>
      <c r="L307" s="12" t="str">
        <f>[305]Main!$C$15&amp;" ("&amp;[305]Main!$C$14&amp;")"</f>
        <v>Net cash (pre-revenue)</v>
      </c>
      <c r="M307" s="13">
        <v>46339</v>
      </c>
      <c r="N307" s="17" t="s">
        <v>156</v>
      </c>
    </row>
    <row r="308" spans="2:14" x14ac:dyDescent="0.2">
      <c r="B308" s="3" t="s">
        <v>676</v>
      </c>
      <c r="C308" t="s">
        <v>677</v>
      </c>
      <c r="D308" t="s">
        <v>15</v>
      </c>
      <c r="E308" s="6" t="s">
        <v>33</v>
      </c>
      <c r="F308" s="1">
        <v>0.72</v>
      </c>
      <c r="G308" s="8">
        <f>F308*[306]Main!$C$4</f>
        <v>304.58712599999996</v>
      </c>
      <c r="H308" s="10">
        <f>G308-[306]Main!$C$7+[306]Main!$C$8</f>
        <v>236.49730183503985</v>
      </c>
      <c r="J308" s="1">
        <f>IF(ISNUMBER([306]Main!$C$11),[306]Main!$C$11,"")</f>
        <v>5.6822948597497633E-2</v>
      </c>
      <c r="K308" s="11">
        <f t="shared" si="4"/>
        <v>-0.92107923805903102</v>
      </c>
      <c r="L308" s="12" t="str">
        <f>[306]Main!$C$15&amp;" ("&amp;[306]Main!$C$14&amp;")"</f>
        <v>DCF (Base)</v>
      </c>
      <c r="M308" s="13">
        <v>46332</v>
      </c>
      <c r="N308" s="17" t="s">
        <v>361</v>
      </c>
    </row>
    <row r="309" spans="2:14" x14ac:dyDescent="0.2">
      <c r="B309" s="3" t="s">
        <v>678</v>
      </c>
      <c r="C309" t="s">
        <v>679</v>
      </c>
      <c r="D309" t="s">
        <v>22</v>
      </c>
      <c r="E309" s="6" t="s">
        <v>33</v>
      </c>
      <c r="F309" s="1">
        <v>6.56</v>
      </c>
      <c r="G309" s="8">
        <f>F309*[307]Main!$C$4</f>
        <v>320.71919376</v>
      </c>
      <c r="H309" s="10">
        <f>G309-[307]Main!$C$7+[307]Main!$C$8</f>
        <v>-28.674806240000009</v>
      </c>
      <c r="J309" s="1">
        <f>IF(ISNUMBER([307]Main!$C$11),[307]Main!$C$11,"")</f>
        <v>7.1465153461166517</v>
      </c>
      <c r="K309" s="11">
        <f t="shared" si="4"/>
        <v>8.9407827151928743E-2</v>
      </c>
      <c r="L309" s="12" t="str">
        <f>[307]Main!$C$15&amp;" ("&amp;[307]Main!$C$14&amp;")"</f>
        <v>Net cash (pre-revenue)</v>
      </c>
      <c r="M309" s="13">
        <v>46337</v>
      </c>
      <c r="N309" s="17" t="s">
        <v>104</v>
      </c>
    </row>
    <row r="310" spans="2:14" x14ac:dyDescent="0.2">
      <c r="B310" s="3" t="s">
        <v>680</v>
      </c>
      <c r="C310" t="s">
        <v>681</v>
      </c>
      <c r="D310" t="s">
        <v>22</v>
      </c>
      <c r="E310" s="6" t="s">
        <v>33</v>
      </c>
      <c r="F310" s="1">
        <v>9.0399999999999991</v>
      </c>
      <c r="G310" s="8">
        <f>F310*[308]Main!$C$4</f>
        <v>315.33984303999995</v>
      </c>
      <c r="H310" s="10">
        <f>G310-[308]Main!$C$7+[308]Main!$C$8</f>
        <v>135.36784303999994</v>
      </c>
      <c r="J310" s="1">
        <f>IF(ISNUMBER([308]Main!$C$11),[308]Main!$C$11,"")</f>
        <v>5.1593444847171641</v>
      </c>
      <c r="K310" s="11">
        <f t="shared" si="4"/>
        <v>-0.42927605257553492</v>
      </c>
      <c r="L310" s="12" t="str">
        <f>[308]Main!$C$15&amp;" ("&amp;[308]Main!$C$14&amp;")"</f>
        <v>Net cash (pre-revenue)</v>
      </c>
      <c r="M310" s="13">
        <v>46339</v>
      </c>
      <c r="N310" s="17" t="s">
        <v>156</v>
      </c>
    </row>
    <row r="311" spans="2:14" x14ac:dyDescent="0.2">
      <c r="B311" s="3" t="s">
        <v>682</v>
      </c>
      <c r="C311" t="s">
        <v>683</v>
      </c>
      <c r="D311" t="s">
        <v>22</v>
      </c>
      <c r="E311" s="6" t="s">
        <v>33</v>
      </c>
      <c r="F311" s="1">
        <v>10.98</v>
      </c>
      <c r="G311" s="8">
        <f>F311*[309]Main!$C$4</f>
        <v>312.08529762000001</v>
      </c>
      <c r="H311" s="10">
        <f>G311-[309]Main!$C$7+[309]Main!$C$8</f>
        <v>120.60229762</v>
      </c>
      <c r="J311" s="1">
        <f>IF(ISNUMBER([309]Main!$C$11),[309]Main!$C$11,"")</f>
        <v>6.7368868576436975</v>
      </c>
      <c r="K311" s="11">
        <f t="shared" si="4"/>
        <v>-0.38644017689948107</v>
      </c>
      <c r="L311" s="12" t="str">
        <f>[309]Main!$C$15&amp;" ("&amp;[309]Main!$C$14&amp;")"</f>
        <v>Net cash (small revenue)</v>
      </c>
      <c r="M311" s="13">
        <v>46335</v>
      </c>
      <c r="N311" s="17" t="s">
        <v>87</v>
      </c>
    </row>
    <row r="312" spans="2:14" x14ac:dyDescent="0.2">
      <c r="B312" s="3" t="s">
        <v>684</v>
      </c>
      <c r="C312" t="s">
        <v>685</v>
      </c>
      <c r="D312" t="s">
        <v>15</v>
      </c>
      <c r="E312" s="6" t="s">
        <v>16</v>
      </c>
      <c r="F312" s="1">
        <v>3.2</v>
      </c>
      <c r="G312" s="8">
        <f>F312*[310]Main!$C$4</f>
        <v>345.02793919999999</v>
      </c>
      <c r="H312" s="10">
        <f>G312-[310]Main!$C$7+[310]Main!$C$8</f>
        <v>345.0179392</v>
      </c>
      <c r="J312" s="1">
        <f>IF(ISNUMBER([310]Main!$C$11),[310]Main!$C$11,"")</f>
        <v>9.2746112312518494E-5</v>
      </c>
      <c r="K312" s="11">
        <f t="shared" si="4"/>
        <v>-0.9999710168399023</v>
      </c>
      <c r="L312" s="12" t="str">
        <f>[310]Main!$C$15&amp;" ("&amp;[310]Main!$C$14&amp;")"</f>
        <v>Net cash (pre-revenue)</v>
      </c>
      <c r="M312" s="13">
        <v>46332</v>
      </c>
      <c r="N312" s="17" t="s">
        <v>361</v>
      </c>
    </row>
    <row r="313" spans="2:14" x14ac:dyDescent="0.2">
      <c r="B313" s="3" t="s">
        <v>686</v>
      </c>
      <c r="C313" t="s">
        <v>687</v>
      </c>
      <c r="D313" t="s">
        <v>15</v>
      </c>
      <c r="E313" s="6" t="s">
        <v>33</v>
      </c>
      <c r="F313" s="1">
        <v>3.72</v>
      </c>
      <c r="G313" s="8">
        <f>F313*[311]Main!$C$4</f>
        <v>283.82579604</v>
      </c>
      <c r="H313" s="10">
        <f>G313-[311]Main!$C$7+[311]Main!$C$8</f>
        <v>235.35979603999999</v>
      </c>
      <c r="J313" s="1">
        <f>IF(ISNUMBER([311]Main!$C$11),[311]Main!$C$11,"")</f>
        <v>0.63522598197730751</v>
      </c>
      <c r="K313" s="11">
        <f t="shared" si="4"/>
        <v>-0.82924032742545495</v>
      </c>
      <c r="L313" s="12" t="str">
        <f>[311]Main!$C$15&amp;" ("&amp;[311]Main!$C$14&amp;")"</f>
        <v>Net cash (pre-revenue)</v>
      </c>
      <c r="M313" s="13">
        <v>46330</v>
      </c>
      <c r="N313" s="17" t="s">
        <v>40</v>
      </c>
    </row>
    <row r="314" spans="2:14" x14ac:dyDescent="0.2">
      <c r="B314" s="3" t="s">
        <v>688</v>
      </c>
      <c r="C314" t="s">
        <v>689</v>
      </c>
      <c r="D314" t="s">
        <v>22</v>
      </c>
      <c r="E314" s="6" t="s">
        <v>33</v>
      </c>
      <c r="F314" s="1">
        <v>2.81</v>
      </c>
      <c r="G314" s="8">
        <f>F314*[312]Main!$C$4</f>
        <v>302.81791342000002</v>
      </c>
      <c r="H314" s="10">
        <f>G314-[312]Main!$C$7+[312]Main!$C$8</f>
        <v>295.19391342</v>
      </c>
      <c r="J314" s="1">
        <f>IF(ISNUMBER([312]Main!$C$11),[312]Main!$C$11,"")</f>
        <v>7.0746937517815481E-2</v>
      </c>
      <c r="K314" s="11">
        <f t="shared" si="4"/>
        <v>-0.97482315390825069</v>
      </c>
      <c r="L314" s="12" t="str">
        <f>[312]Main!$C$15&amp;" ("&amp;[312]Main!$C$14&amp;")"</f>
        <v>Net cash (pre-revenue)</v>
      </c>
      <c r="M314" s="13">
        <v>46337</v>
      </c>
      <c r="N314" s="17" t="s">
        <v>104</v>
      </c>
    </row>
    <row r="315" spans="2:14" x14ac:dyDescent="0.2">
      <c r="B315" s="3" t="s">
        <v>690</v>
      </c>
      <c r="C315" t="s">
        <v>691</v>
      </c>
      <c r="D315" t="s">
        <v>22</v>
      </c>
      <c r="E315" s="6" t="s">
        <v>33</v>
      </c>
      <c r="F315" s="1">
        <v>25.14</v>
      </c>
      <c r="G315" s="8">
        <f>F315*[313]Main!$C$4</f>
        <v>295.48444812000002</v>
      </c>
      <c r="H315" s="10">
        <f>G315-[313]Main!$C$7+[313]Main!$C$8</f>
        <v>193.44544812000004</v>
      </c>
      <c r="J315" s="1">
        <f>IF(ISNUMBER([313]Main!$C$11),[313]Main!$C$11,"")</f>
        <v>8.6815413681542228</v>
      </c>
      <c r="K315" s="11">
        <f t="shared" si="4"/>
        <v>-0.65467218105989566</v>
      </c>
      <c r="L315" s="12" t="str">
        <f>[313]Main!$C$15&amp;" ("&amp;[313]Main!$C$14&amp;")"</f>
        <v>Net cash (small revenue)</v>
      </c>
      <c r="M315" s="13">
        <v>46332</v>
      </c>
      <c r="N315" s="17" t="s">
        <v>361</v>
      </c>
    </row>
    <row r="316" spans="2:14" x14ac:dyDescent="0.2">
      <c r="B316" s="3" t="s">
        <v>692</v>
      </c>
      <c r="C316" t="s">
        <v>693</v>
      </c>
      <c r="D316" t="s">
        <v>22</v>
      </c>
      <c r="E316" s="6" t="s">
        <v>33</v>
      </c>
      <c r="F316" s="1">
        <v>6.42</v>
      </c>
      <c r="G316" s="8">
        <f>F316*[314]Main!$C$4</f>
        <v>289.03101293999998</v>
      </c>
      <c r="H316" s="10">
        <f>G316-[314]Main!$C$7+[314]Main!$C$8</f>
        <v>300.36101293999997</v>
      </c>
      <c r="J316" s="1">
        <f>IF(ISNUMBER([314]Main!$C$11),[314]Main!$C$11,"")</f>
        <v>6.1005680482349032</v>
      </c>
      <c r="K316" s="11">
        <f t="shared" si="4"/>
        <v>-4.9755755726650586E-2</v>
      </c>
      <c r="L316" s="12" t="str">
        <f>[314]Main!$C$15&amp;" ("&amp;[314]Main!$C$14&amp;")"</f>
        <v>DCF (Base)</v>
      </c>
      <c r="M316" s="13">
        <v>46335</v>
      </c>
      <c r="N316" s="17" t="s">
        <v>87</v>
      </c>
    </row>
    <row r="317" spans="2:14" x14ac:dyDescent="0.2">
      <c r="B317" s="3" t="s">
        <v>694</v>
      </c>
      <c r="C317" t="s">
        <v>695</v>
      </c>
      <c r="D317" t="s">
        <v>22</v>
      </c>
      <c r="E317" s="6" t="s">
        <v>33</v>
      </c>
      <c r="F317" s="1">
        <v>1.43</v>
      </c>
      <c r="G317" s="8">
        <f>F317*[315]Main!$C$4</f>
        <v>249.20689793999998</v>
      </c>
      <c r="H317" s="10">
        <f>G317-[315]Main!$C$7+[315]Main!$C$8</f>
        <v>124.03489793999998</v>
      </c>
      <c r="J317" s="1">
        <f>IF(ISNUMBER([315]Main!$C$11),[315]Main!$C$11,"")</f>
        <v>0.71826246175214514</v>
      </c>
      <c r="K317" s="11">
        <f t="shared" si="4"/>
        <v>-0.4977185582152831</v>
      </c>
      <c r="L317" s="12" t="str">
        <f>[315]Main!$C$15&amp;" ("&amp;[315]Main!$C$14&amp;")"</f>
        <v>Net cash (pre-revenue)</v>
      </c>
      <c r="M317" s="13">
        <v>46335</v>
      </c>
      <c r="N317" s="17" t="s">
        <v>87</v>
      </c>
    </row>
    <row r="318" spans="2:14" x14ac:dyDescent="0.2">
      <c r="B318" s="3" t="s">
        <v>696</v>
      </c>
      <c r="C318" t="s">
        <v>697</v>
      </c>
      <c r="D318" t="s">
        <v>22</v>
      </c>
      <c r="E318" s="6" t="s">
        <v>33</v>
      </c>
      <c r="F318" s="1">
        <v>20.440000000000001</v>
      </c>
      <c r="G318" s="8">
        <f>F318*[316]Main!$C$4</f>
        <v>273.54782504000002</v>
      </c>
      <c r="H318" s="10">
        <f>G318-[316]Main!$C$7+[316]Main!$C$8</f>
        <v>235.13582504000001</v>
      </c>
      <c r="J318" s="1">
        <f>IF(ISNUMBER([316]Main!$C$11),[316]Main!$C$11,"")</f>
        <v>10.827834147688835</v>
      </c>
      <c r="K318" s="11">
        <f t="shared" si="4"/>
        <v>-0.47026251723635837</v>
      </c>
      <c r="L318" s="12" t="str">
        <f>[316]Main!$C$15&amp;" ("&amp;[316]Main!$C$14&amp;")"</f>
        <v>DCF (Base)</v>
      </c>
      <c r="M318" s="13">
        <v>46330</v>
      </c>
      <c r="N318" s="17" t="s">
        <v>40</v>
      </c>
    </row>
    <row r="319" spans="2:14" x14ac:dyDescent="0.2">
      <c r="B319" s="3" t="s">
        <v>698</v>
      </c>
      <c r="C319" t="s">
        <v>699</v>
      </c>
      <c r="D319" t="s">
        <v>22</v>
      </c>
      <c r="E319" s="6" t="s">
        <v>16</v>
      </c>
      <c r="F319" s="1">
        <v>2.2999999999999998</v>
      </c>
      <c r="G319" s="8">
        <f>F319*[317]Main!$C$4</f>
        <v>262.5488249</v>
      </c>
      <c r="H319" s="10">
        <f>G319-[317]Main!$C$7+[317]Main!$C$8</f>
        <v>27.269824899999996</v>
      </c>
      <c r="J319" s="1">
        <f>IF(ISNUMBER([317]Main!$C$11),[317]Main!$C$11,"")</f>
        <v>2.0611088250199212</v>
      </c>
      <c r="K319" s="11">
        <f t="shared" si="4"/>
        <v>-0.10386572825220808</v>
      </c>
      <c r="L319" s="12" t="str">
        <f>[317]Main!$C$15&amp;" ("&amp;[317]Main!$C$14&amp;")"</f>
        <v>Net cash (pre-revenue)</v>
      </c>
      <c r="M319" s="13">
        <v>46335</v>
      </c>
      <c r="N319" s="17" t="s">
        <v>87</v>
      </c>
    </row>
    <row r="320" spans="2:14" x14ac:dyDescent="0.2">
      <c r="B320" s="3" t="s">
        <v>700</v>
      </c>
      <c r="C320" t="s">
        <v>701</v>
      </c>
      <c r="D320" t="s">
        <v>22</v>
      </c>
      <c r="E320" s="6" t="s">
        <v>33</v>
      </c>
      <c r="F320" s="1">
        <v>0.8125</v>
      </c>
      <c r="G320" s="8">
        <f>F320*[318]Main!$C$4</f>
        <v>275.52720081250004</v>
      </c>
      <c r="H320" s="10">
        <f>G320-[318]Main!$C$7+[318]Main!$C$8</f>
        <v>177.22520081250005</v>
      </c>
      <c r="J320" s="1">
        <f>IF(ISNUMBER([318]Main!$C$11),[318]Main!$C$11,"")</f>
        <v>0.28988199627648698</v>
      </c>
      <c r="K320" s="11">
        <f t="shared" si="4"/>
        <v>-0.64322215842893904</v>
      </c>
      <c r="L320" s="12" t="str">
        <f>[318]Main!$C$15&amp;" ("&amp;[318]Main!$C$14&amp;")"</f>
        <v>Net cash (pre-revenue)</v>
      </c>
      <c r="M320" s="13">
        <v>46330</v>
      </c>
      <c r="N320" s="17" t="s">
        <v>40</v>
      </c>
    </row>
    <row r="321" spans="2:14" x14ac:dyDescent="0.2">
      <c r="B321" s="3" t="s">
        <v>702</v>
      </c>
      <c r="C321" t="s">
        <v>703</v>
      </c>
      <c r="D321" t="s">
        <v>22</v>
      </c>
      <c r="E321" s="6" t="s">
        <v>33</v>
      </c>
      <c r="F321" s="1">
        <v>3.02</v>
      </c>
      <c r="G321" s="8">
        <f>F321*[319]Main!$C$4</f>
        <v>299.42316385999999</v>
      </c>
      <c r="H321" s="10">
        <f>G321-[319]Main!$C$7+[319]Main!$C$8</f>
        <v>166.42316385999999</v>
      </c>
      <c r="J321" s="1">
        <f>IF(ISNUMBER([319]Main!$C$11),[319]Main!$C$11,"")</f>
        <v>1.3414459817404187</v>
      </c>
      <c r="K321" s="11">
        <f t="shared" si="4"/>
        <v>-0.55581258882767592</v>
      </c>
      <c r="L321" s="12" t="str">
        <f>[319]Main!$C$15&amp;" ("&amp;[319]Main!$C$14&amp;")"</f>
        <v>Net cash (small revenue)</v>
      </c>
      <c r="M321" s="13">
        <v>46330</v>
      </c>
      <c r="N321" s="17" t="s">
        <v>40</v>
      </c>
    </row>
    <row r="322" spans="2:14" x14ac:dyDescent="0.2">
      <c r="B322" s="3" t="s">
        <v>704</v>
      </c>
      <c r="C322" t="s">
        <v>705</v>
      </c>
      <c r="D322" t="s">
        <v>22</v>
      </c>
      <c r="E322" s="6" t="s">
        <v>33</v>
      </c>
      <c r="F322" s="1">
        <v>3.53</v>
      </c>
      <c r="G322" s="8">
        <f>F322*[320]Main!$C$4</f>
        <v>281.70630204999998</v>
      </c>
      <c r="H322" s="10">
        <f>G322-[320]Main!$C$7+[320]Main!$C$8</f>
        <v>129.94930204999997</v>
      </c>
      <c r="J322" s="1">
        <f>IF(ISNUMBER([320]Main!$C$11),[320]Main!$C$11,"")</f>
        <v>1.9016337444411107</v>
      </c>
      <c r="K322" s="11">
        <f t="shared" si="4"/>
        <v>-0.4612935568155494</v>
      </c>
      <c r="L322" s="12" t="str">
        <f>[320]Main!$C$15&amp;" ("&amp;[320]Main!$C$14&amp;")"</f>
        <v>Net cash (small revenue)</v>
      </c>
      <c r="M322" s="13">
        <v>46337</v>
      </c>
      <c r="N322" s="17" t="s">
        <v>104</v>
      </c>
    </row>
    <row r="323" spans="2:14" x14ac:dyDescent="0.2">
      <c r="B323" s="3" t="s">
        <v>706</v>
      </c>
      <c r="C323" t="s">
        <v>707</v>
      </c>
      <c r="D323" t="s">
        <v>22</v>
      </c>
      <c r="E323" s="6" t="s">
        <v>33</v>
      </c>
      <c r="F323" s="1">
        <v>2.34</v>
      </c>
      <c r="G323" s="8">
        <f>F323*[321]Main!$C$4</f>
        <v>256.87255697999996</v>
      </c>
      <c r="H323" s="10">
        <f>G323-[321]Main!$C$7+[321]Main!$C$8</f>
        <v>-26.874443020000058</v>
      </c>
      <c r="J323" s="1">
        <f>IF(ISNUMBER([321]Main!$C$11),[321]Main!$C$11,"")</f>
        <v>2.5848147727656885</v>
      </c>
      <c r="K323" s="11">
        <f t="shared" ref="K323:K386" si="5">IFERROR(J323/F323-1,"")</f>
        <v>0.10462169776311492</v>
      </c>
      <c r="L323" s="12" t="str">
        <f>[321]Main!$C$15&amp;" ("&amp;[321]Main!$C$14&amp;")"</f>
        <v>Net cash (pre-revenue)</v>
      </c>
      <c r="M323" s="13">
        <v>46331</v>
      </c>
      <c r="N323" s="17" t="s">
        <v>63</v>
      </c>
    </row>
    <row r="324" spans="2:14" x14ac:dyDescent="0.2">
      <c r="B324" s="3" t="s">
        <v>708</v>
      </c>
      <c r="C324" t="s">
        <v>709</v>
      </c>
      <c r="D324" t="s">
        <v>15</v>
      </c>
      <c r="E324" s="6" t="s">
        <v>33</v>
      </c>
      <c r="F324" s="1">
        <v>0.4052</v>
      </c>
      <c r="G324" s="8">
        <f>F324*[322]Main!$C$4</f>
        <v>34.933158317599997</v>
      </c>
      <c r="H324" s="10">
        <f>G324-[322]Main!$C$7+[322]Main!$C$8</f>
        <v>-145.53884168239998</v>
      </c>
      <c r="J324" s="1">
        <f>IF(ISNUMBER([322]Main!$C$11),[322]Main!$C$11,"")</f>
        <v>2.093347922771617</v>
      </c>
      <c r="K324" s="11">
        <f t="shared" si="5"/>
        <v>4.1662090887749681</v>
      </c>
      <c r="L324" s="12" t="str">
        <f>[322]Main!$C$15&amp;" ("&amp;[322]Main!$C$14&amp;")"</f>
        <v>Net cash (pre-revenue)</v>
      </c>
      <c r="M324" s="13">
        <v>46330</v>
      </c>
      <c r="N324" s="17" t="s">
        <v>40</v>
      </c>
    </row>
    <row r="325" spans="2:14" x14ac:dyDescent="0.2">
      <c r="B325" s="3" t="s">
        <v>710</v>
      </c>
      <c r="C325" t="s">
        <v>711</v>
      </c>
      <c r="D325" t="s">
        <v>22</v>
      </c>
      <c r="E325" s="6" t="s">
        <v>33</v>
      </c>
      <c r="F325" s="1">
        <v>4.5999999999999996</v>
      </c>
      <c r="G325" s="8">
        <f>F325*[323]Main!$C$4</f>
        <v>263.04647819999997</v>
      </c>
      <c r="H325" s="10">
        <f>G325-[323]Main!$C$7+[323]Main!$C$8</f>
        <v>131.20847819999997</v>
      </c>
      <c r="J325" s="1">
        <f>IF(ISNUMBER([323]Main!$C$11),[323]Main!$C$11,"")</f>
        <v>2.3055043509797501</v>
      </c>
      <c r="K325" s="11">
        <f t="shared" si="5"/>
        <v>-0.49880340196092388</v>
      </c>
      <c r="L325" s="12" t="str">
        <f>[323]Main!$C$15&amp;" ("&amp;[323]Main!$C$14&amp;")"</f>
        <v>Net cash (small revenue)</v>
      </c>
      <c r="M325" s="13">
        <v>46337</v>
      </c>
      <c r="N325" s="17" t="s">
        <v>104</v>
      </c>
    </row>
    <row r="326" spans="2:14" x14ac:dyDescent="0.2">
      <c r="B326" s="3" t="s">
        <v>712</v>
      </c>
      <c r="C326" t="s">
        <v>713</v>
      </c>
      <c r="D326" t="s">
        <v>22</v>
      </c>
      <c r="E326" s="6" t="s">
        <v>16</v>
      </c>
      <c r="F326" s="1">
        <v>0.97260000000000002</v>
      </c>
      <c r="G326" s="8">
        <f>F326*[324]Main!$C$4</f>
        <v>245.97779948640002</v>
      </c>
      <c r="H326" s="10">
        <f>G326-[324]Main!$C$7+[324]Main!$C$8</f>
        <v>195.14879948640004</v>
      </c>
      <c r="J326" s="1">
        <f>IF(ISNUMBER([324]Main!$C$11),[324]Main!$C$11,"")</f>
        <v>0.20097864727313858</v>
      </c>
      <c r="K326" s="11">
        <f t="shared" si="5"/>
        <v>-0.7933594002949429</v>
      </c>
      <c r="L326" s="12" t="str">
        <f>[324]Main!$C$15&amp;" ("&amp;[324]Main!$C$14&amp;")"</f>
        <v>Net cash (small revenue)</v>
      </c>
      <c r="M326" s="13">
        <v>46331</v>
      </c>
      <c r="N326" s="17" t="s">
        <v>63</v>
      </c>
    </row>
    <row r="327" spans="2:14" x14ac:dyDescent="0.2">
      <c r="B327" s="3" t="s">
        <v>714</v>
      </c>
      <c r="C327" t="s">
        <v>715</v>
      </c>
      <c r="D327" t="s">
        <v>22</v>
      </c>
      <c r="E327" s="6" t="s">
        <v>33</v>
      </c>
      <c r="F327" s="1">
        <v>1.64</v>
      </c>
      <c r="G327" s="8">
        <f>F327*[325]Main!$C$4</f>
        <v>296.96352644000001</v>
      </c>
      <c r="H327" s="10">
        <f>G327-[325]Main!$C$7+[325]Main!$C$8</f>
        <v>177.25152644000002</v>
      </c>
      <c r="J327" s="1">
        <f>IF(ISNUMBER([325]Main!$C$11),[325]Main!$C$11,"")</f>
        <v>0.66111714914480246</v>
      </c>
      <c r="K327" s="11">
        <f t="shared" si="5"/>
        <v>-0.59687978710682776</v>
      </c>
      <c r="L327" s="12" t="str">
        <f>[325]Main!$C$15&amp;" ("&amp;[325]Main!$C$14&amp;")"</f>
        <v>Net cash (revenue jump)</v>
      </c>
      <c r="M327" s="13">
        <v>46338</v>
      </c>
      <c r="N327" s="17" t="s">
        <v>190</v>
      </c>
    </row>
    <row r="328" spans="2:14" x14ac:dyDescent="0.2">
      <c r="B328" s="3" t="s">
        <v>716</v>
      </c>
      <c r="C328" t="s">
        <v>717</v>
      </c>
      <c r="D328" t="s">
        <v>22</v>
      </c>
      <c r="E328" s="6" t="s">
        <v>33</v>
      </c>
      <c r="F328" s="1">
        <v>4.17</v>
      </c>
      <c r="G328" s="8">
        <f>F328*[326]Main!$C$4</f>
        <v>252.12940479</v>
      </c>
      <c r="H328" s="10">
        <f>G328-[326]Main!$C$7+[326]Main!$C$8</f>
        <v>82.129404789999995</v>
      </c>
      <c r="J328" s="1">
        <f>[326]Main!$C$11</f>
        <v>13.314826577100533</v>
      </c>
      <c r="K328" s="11">
        <f t="shared" si="5"/>
        <v>2.1930039753238688</v>
      </c>
      <c r="L328" s="12" t="str">
        <f>"rNPV ("&amp;[326]Main!$C$14&amp;")"</f>
        <v>rNPV (Base)</v>
      </c>
      <c r="M328" s="13">
        <v>46368</v>
      </c>
      <c r="N328" s="18" t="s">
        <v>718</v>
      </c>
    </row>
    <row r="329" spans="2:14" x14ac:dyDescent="0.2">
      <c r="B329" s="3" t="s">
        <v>719</v>
      </c>
      <c r="C329" t="s">
        <v>720</v>
      </c>
      <c r="D329" t="s">
        <v>22</v>
      </c>
      <c r="E329" s="6" t="s">
        <v>33</v>
      </c>
      <c r="F329" s="1">
        <v>2.4900000000000002</v>
      </c>
      <c r="G329" s="8">
        <f>F329*[327]Main!$C$4</f>
        <v>253.33815519000004</v>
      </c>
      <c r="H329" s="10">
        <f>G329-[327]Main!$C$7+[327]Main!$C$8</f>
        <v>142.39587643860432</v>
      </c>
      <c r="J329" s="1">
        <f>IF(ISNUMBER([327]Main!$C$11),[327]Main!$C$11,"")</f>
        <v>1.0904250640168849</v>
      </c>
      <c r="K329" s="11">
        <f t="shared" si="5"/>
        <v>-0.56207828754341982</v>
      </c>
      <c r="L329" s="12" t="str">
        <f>[327]Main!$C$15&amp;" ("&amp;[327]Main!$C$14&amp;")"</f>
        <v>Net cash (pre-revenue)</v>
      </c>
      <c r="M329" s="13">
        <v>46329</v>
      </c>
      <c r="N329" s="17" t="s">
        <v>134</v>
      </c>
    </row>
    <row r="330" spans="2:14" x14ac:dyDescent="0.2">
      <c r="B330" s="3" t="s">
        <v>721</v>
      </c>
      <c r="C330" t="s">
        <v>722</v>
      </c>
      <c r="D330" t="s">
        <v>22</v>
      </c>
      <c r="E330" s="6" t="s">
        <v>33</v>
      </c>
      <c r="F330" s="1">
        <v>3.6</v>
      </c>
      <c r="G330" s="8">
        <f>F330*[328]Main!$C$4</f>
        <v>251.33092199999999</v>
      </c>
      <c r="H330" s="10">
        <f>G330-[328]Main!$C$7+[328]Main!$C$8</f>
        <v>-258.72107800000003</v>
      </c>
      <c r="J330" s="1">
        <f>IF(ISNUMBER([328]Main!$C$11),[328]Main!$C$11,"")</f>
        <v>4.6276457494128325</v>
      </c>
      <c r="K330" s="11">
        <f t="shared" si="5"/>
        <v>0.28545715261467564</v>
      </c>
      <c r="L330" s="12" t="str">
        <f>[328]Main!$C$15&amp;" ("&amp;[328]Main!$C$14&amp;")"</f>
        <v>DCF (Base)</v>
      </c>
      <c r="M330" s="13">
        <v>46324</v>
      </c>
      <c r="N330" s="17" t="s">
        <v>214</v>
      </c>
    </row>
    <row r="331" spans="2:14" x14ac:dyDescent="0.2">
      <c r="B331" s="3" t="s">
        <v>723</v>
      </c>
      <c r="C331" t="s">
        <v>724</v>
      </c>
      <c r="D331" t="s">
        <v>22</v>
      </c>
      <c r="E331" s="6" t="s">
        <v>33</v>
      </c>
      <c r="F331" s="1">
        <v>1.61</v>
      </c>
      <c r="G331" s="8">
        <f>F331*[329]Main!$C$4</f>
        <v>272.96816645000001</v>
      </c>
      <c r="H331" s="10">
        <f>G331-[329]Main!$C$7+[329]Main!$C$8</f>
        <v>47.867166450000013</v>
      </c>
      <c r="J331" s="1">
        <f>IF(ISNUMBER([329]Main!$C$11),[329]Main!$C$11,"")</f>
        <v>1.327673533193416</v>
      </c>
      <c r="K331" s="11">
        <f t="shared" si="5"/>
        <v>-0.17535805391713299</v>
      </c>
      <c r="L331" s="12" t="str">
        <f>[329]Main!$C$15&amp;" ("&amp;[329]Main!$C$14&amp;")"</f>
        <v>Net cash (pre-revenue)</v>
      </c>
      <c r="M331" s="13">
        <v>46335</v>
      </c>
      <c r="N331" s="17" t="s">
        <v>87</v>
      </c>
    </row>
    <row r="332" spans="2:14" x14ac:dyDescent="0.2">
      <c r="B332" s="3" t="s">
        <v>725</v>
      </c>
      <c r="C332" t="s">
        <v>726</v>
      </c>
      <c r="D332" t="s">
        <v>15</v>
      </c>
      <c r="E332" s="6" t="s">
        <v>33</v>
      </c>
      <c r="F332" s="1">
        <v>18.75</v>
      </c>
      <c r="G332" s="8">
        <f>F332*[330]Main!$C$4</f>
        <v>278.53288125</v>
      </c>
      <c r="H332" s="10">
        <f>G332-[330]Main!$C$7+[330]Main!$C$8</f>
        <v>279.20756425000002</v>
      </c>
      <c r="J332" s="1">
        <f>IF(ISNUMBER([330]Main!$C$11),[330]Main!$C$11,"")</f>
        <v>-4.5417640435225996E-2</v>
      </c>
      <c r="K332" s="11">
        <f t="shared" si="5"/>
        <v>-1.0024222741565454</v>
      </c>
      <c r="L332" s="12" t="str">
        <f>[330]Main!$C$15&amp;" ("&amp;[330]Main!$C$14&amp;")"</f>
        <v>Net cash (pre-revenue)</v>
      </c>
      <c r="M332" s="13"/>
      <c r="N332" s="17"/>
    </row>
    <row r="333" spans="2:14" x14ac:dyDescent="0.2">
      <c r="B333" s="3" t="s">
        <v>727</v>
      </c>
      <c r="C333" t="s">
        <v>728</v>
      </c>
      <c r="D333" t="s">
        <v>22</v>
      </c>
      <c r="E333" s="6" t="s">
        <v>33</v>
      </c>
      <c r="F333" s="1">
        <v>11.48</v>
      </c>
      <c r="G333" s="8">
        <f>F333*[331]Main!$C$4</f>
        <v>241.105268628</v>
      </c>
      <c r="H333" s="10">
        <f>G333-[331]Main!$C$7+[331]Main!$C$8</f>
        <v>-73.543731371999996</v>
      </c>
      <c r="J333" s="1">
        <f>IF(ISNUMBER([331]Main!$C$11),[331]Main!$C$11,"")</f>
        <v>17.88638936479413</v>
      </c>
      <c r="K333" s="11">
        <f t="shared" si="5"/>
        <v>0.55804785407614377</v>
      </c>
      <c r="L333" s="12" t="str">
        <f>[331]Main!$C$15&amp;" ("&amp;[331]Main!$C$14&amp;")"</f>
        <v>DCF (Base)</v>
      </c>
      <c r="M333" s="13">
        <v>46330</v>
      </c>
      <c r="N333" s="17" t="s">
        <v>40</v>
      </c>
    </row>
    <row r="334" spans="2:14" x14ac:dyDescent="0.2">
      <c r="B334" s="3" t="s">
        <v>729</v>
      </c>
      <c r="C334" t="s">
        <v>730</v>
      </c>
      <c r="D334" t="s">
        <v>22</v>
      </c>
      <c r="E334" s="6" t="s">
        <v>33</v>
      </c>
      <c r="F334" s="1">
        <v>3.73</v>
      </c>
      <c r="G334" s="8">
        <f>F334*[332]Main!$C$4</f>
        <v>241.32130945999998</v>
      </c>
      <c r="H334" s="10">
        <f>G334-[332]Main!$C$7+[332]Main!$C$8</f>
        <v>91.420990459999985</v>
      </c>
      <c r="J334" s="1">
        <f>IF(ISNUMBER([332]Main!$C$11),[332]Main!$C$11,"")</f>
        <v>2.3169449524418306</v>
      </c>
      <c r="K334" s="11">
        <f t="shared" si="5"/>
        <v>-0.37883513339361108</v>
      </c>
      <c r="L334" s="12" t="str">
        <f>[332]Main!$C$15&amp;" ("&amp;[332]Main!$C$14&amp;")"</f>
        <v>Net cash (pre-revenue)</v>
      </c>
      <c r="M334" s="13">
        <v>46337</v>
      </c>
      <c r="N334" s="17" t="s">
        <v>104</v>
      </c>
    </row>
    <row r="335" spans="2:14" x14ac:dyDescent="0.2">
      <c r="B335" s="3" t="s">
        <v>731</v>
      </c>
      <c r="C335" t="s">
        <v>732</v>
      </c>
      <c r="D335" t="s">
        <v>22</v>
      </c>
      <c r="E335" s="6" t="s">
        <v>33</v>
      </c>
      <c r="F335" s="1">
        <v>1.71</v>
      </c>
      <c r="G335" s="8">
        <f>F335*[333]Main!$C$4</f>
        <v>238.60638899999998</v>
      </c>
      <c r="H335" s="10">
        <f>G335-[333]Main!$C$7+[333]Main!$C$8</f>
        <v>79.587541999999985</v>
      </c>
      <c r="J335" s="1">
        <f>IF(ISNUMBER([333]Main!$C$11),[333]Main!$C$11,"")</f>
        <v>1.139626769885026</v>
      </c>
      <c r="K335" s="11">
        <f t="shared" si="5"/>
        <v>-0.33355159655846434</v>
      </c>
      <c r="L335" s="12" t="str">
        <f>[333]Main!$C$15&amp;" ("&amp;[333]Main!$C$14&amp;")"</f>
        <v>Net cash (pre-revenue)</v>
      </c>
      <c r="M335" s="13">
        <v>46339</v>
      </c>
      <c r="N335" s="17" t="s">
        <v>156</v>
      </c>
    </row>
    <row r="336" spans="2:14" x14ac:dyDescent="0.2">
      <c r="B336" s="3" t="s">
        <v>733</v>
      </c>
      <c r="C336" t="s">
        <v>734</v>
      </c>
      <c r="D336" t="s">
        <v>22</v>
      </c>
      <c r="E336" s="6" t="s">
        <v>33</v>
      </c>
      <c r="F336" s="1">
        <v>2.88</v>
      </c>
      <c r="G336" s="8">
        <f>F336*[334]Main!$C$4</f>
        <v>262.04073984000001</v>
      </c>
      <c r="H336" s="10">
        <f>G336-[334]Main!$C$7+[334]Main!$C$8</f>
        <v>159.40873984000001</v>
      </c>
      <c r="J336" s="1">
        <f>IF(ISNUMBER([334]Main!$C$11),[334]Main!$C$11,"")</f>
        <v>1.1279931516774029</v>
      </c>
      <c r="K336" s="11">
        <f t="shared" si="5"/>
        <v>-0.60833571122312402</v>
      </c>
      <c r="L336" s="12" t="str">
        <f>[334]Main!$C$15&amp;" ("&amp;[334]Main!$C$14&amp;")"</f>
        <v>Net cash (pre-revenue)</v>
      </c>
      <c r="M336" s="13">
        <v>46339</v>
      </c>
      <c r="N336" s="17" t="s">
        <v>156</v>
      </c>
    </row>
    <row r="337" spans="2:14" x14ac:dyDescent="0.2">
      <c r="B337" s="3" t="s">
        <v>735</v>
      </c>
      <c r="C337" t="s">
        <v>736</v>
      </c>
      <c r="D337" t="s">
        <v>15</v>
      </c>
      <c r="E337" s="6" t="s">
        <v>33</v>
      </c>
      <c r="F337" s="1">
        <v>10.94</v>
      </c>
      <c r="G337" s="8">
        <f>F337*[335]Main!$C$4</f>
        <v>236.31721551999999</v>
      </c>
      <c r="H337" s="10">
        <f>G337-[335]Main!$C$7+[335]Main!$C$8</f>
        <v>140.96942934670716</v>
      </c>
      <c r="J337" s="1">
        <f>IF(ISNUMBER([335]Main!$C$11),[335]Main!$C$11,"")</f>
        <v>4.4140025026976657</v>
      </c>
      <c r="K337" s="11">
        <f t="shared" si="5"/>
        <v>-0.59652627946090808</v>
      </c>
      <c r="L337" s="12" t="str">
        <f>[335]Main!$C$15&amp;" ("&amp;[335]Main!$C$14&amp;")"</f>
        <v>Net cash (pre-revenue)</v>
      </c>
      <c r="M337" s="13">
        <v>46338</v>
      </c>
      <c r="N337" s="17" t="s">
        <v>190</v>
      </c>
    </row>
    <row r="338" spans="2:14" x14ac:dyDescent="0.2">
      <c r="B338" s="3" t="s">
        <v>737</v>
      </c>
      <c r="C338" t="s">
        <v>738</v>
      </c>
      <c r="D338" t="s">
        <v>15</v>
      </c>
      <c r="E338" s="6" t="s">
        <v>33</v>
      </c>
      <c r="F338" s="1">
        <v>3.15</v>
      </c>
      <c r="G338" s="8">
        <f>F338*[336]Main!$C$4</f>
        <v>226.32660540000001</v>
      </c>
      <c r="H338" s="10">
        <f>G338-[336]Main!$C$7+[336]Main!$C$8</f>
        <v>108.7421614</v>
      </c>
      <c r="J338" s="1">
        <f>IF(ISNUMBER([336]Main!$C$11),[336]Main!$C$11,"")</f>
        <v>4.6607217903431035</v>
      </c>
      <c r="K338" s="11">
        <f t="shared" si="5"/>
        <v>0.47959421915654077</v>
      </c>
      <c r="L338" s="12" t="str">
        <f>[336]Main!$C$15&amp;" ("&amp;[336]Main!$C$14&amp;")"</f>
        <v>DCF (Base)</v>
      </c>
      <c r="M338" s="13">
        <v>46331</v>
      </c>
      <c r="N338" s="17" t="s">
        <v>63</v>
      </c>
    </row>
    <row r="339" spans="2:14" x14ac:dyDescent="0.2">
      <c r="B339" s="3" t="s">
        <v>739</v>
      </c>
      <c r="C339" t="s">
        <v>740</v>
      </c>
      <c r="D339" t="s">
        <v>22</v>
      </c>
      <c r="E339" s="6" t="s">
        <v>33</v>
      </c>
      <c r="F339" s="1">
        <v>3.02</v>
      </c>
      <c r="G339" s="8">
        <f>F339*[337]Main!$C$4</f>
        <v>247.77969010000001</v>
      </c>
      <c r="H339" s="10">
        <f>G339-[337]Main!$C$7+[337]Main!$C$8</f>
        <v>13.579690100000022</v>
      </c>
      <c r="J339" s="1">
        <f>IF(ISNUMBER([337]Main!$C$11),[337]Main!$C$11,"")</f>
        <v>2.8544873864139197</v>
      </c>
      <c r="K339" s="11">
        <f t="shared" si="5"/>
        <v>-5.4805501187443761E-2</v>
      </c>
      <c r="L339" s="12" t="str">
        <f>[337]Main!$C$15&amp;" ("&amp;[337]Main!$C$14&amp;")"</f>
        <v>Net cash (pre-revenue)</v>
      </c>
      <c r="M339" s="13">
        <v>46330</v>
      </c>
      <c r="N339" s="17" t="s">
        <v>40</v>
      </c>
    </row>
    <row r="340" spans="2:14" x14ac:dyDescent="0.2">
      <c r="B340" s="3" t="s">
        <v>741</v>
      </c>
      <c r="C340" t="s">
        <v>742</v>
      </c>
      <c r="D340" t="s">
        <v>22</v>
      </c>
      <c r="E340" s="6" t="s">
        <v>33</v>
      </c>
      <c r="F340" s="1">
        <v>2.72</v>
      </c>
      <c r="G340" s="8">
        <f>F340*[338]Main!$C$4</f>
        <v>218.07400624000002</v>
      </c>
      <c r="H340" s="10">
        <f>G340-[338]Main!$C$7+[338]Main!$C$8</f>
        <v>-126.02599376000001</v>
      </c>
      <c r="J340" s="1">
        <f>IF(ISNUMBER([338]Main!$C$11),[338]Main!$C$11,"")</f>
        <v>4.2919007915594669</v>
      </c>
      <c r="K340" s="11">
        <f t="shared" si="5"/>
        <v>0.57790470277921568</v>
      </c>
      <c r="L340" s="12" t="str">
        <f>[338]Main!$C$15&amp;" ("&amp;[338]Main!$C$14&amp;")"</f>
        <v>Net cash (pre-revenue)</v>
      </c>
      <c r="M340" s="13">
        <v>46337</v>
      </c>
      <c r="N340" s="17" t="s">
        <v>104</v>
      </c>
    </row>
    <row r="341" spans="2:14" x14ac:dyDescent="0.2">
      <c r="B341" s="3" t="s">
        <v>743</v>
      </c>
      <c r="C341" t="s">
        <v>744</v>
      </c>
      <c r="D341" t="s">
        <v>15</v>
      </c>
      <c r="E341" s="6" t="s">
        <v>33</v>
      </c>
      <c r="F341" s="1">
        <v>3.97</v>
      </c>
      <c r="G341" s="8">
        <f>F341*[339]Main!$C$4</f>
        <v>223.24989707</v>
      </c>
      <c r="H341" s="10">
        <f>G341-[339]Main!$C$7+[339]Main!$C$8</f>
        <v>155.47078542534214</v>
      </c>
      <c r="J341" s="1">
        <f>IF(ISNUMBER([339]Main!$C$11),[339]Main!$C$11,"")</f>
        <v>9.908607066338881</v>
      </c>
      <c r="K341" s="11">
        <f t="shared" si="5"/>
        <v>1.4958707975664685</v>
      </c>
      <c r="L341" s="12" t="str">
        <f>[339]Main!$C$15&amp;" ("&amp;[339]Main!$C$14&amp;")"</f>
        <v>DCF (Base)</v>
      </c>
      <c r="M341" s="13">
        <v>46330</v>
      </c>
      <c r="N341" s="17" t="s">
        <v>40</v>
      </c>
    </row>
    <row r="342" spans="2:14" x14ac:dyDescent="0.2">
      <c r="B342" s="3" t="s">
        <v>745</v>
      </c>
      <c r="C342" t="s">
        <v>746</v>
      </c>
      <c r="D342" t="s">
        <v>15</v>
      </c>
      <c r="E342" s="6" t="s">
        <v>33</v>
      </c>
      <c r="F342" s="1">
        <v>2.65</v>
      </c>
      <c r="G342" s="8">
        <f>F342*[340]Main!$C$4</f>
        <v>231.17536289999998</v>
      </c>
      <c r="H342" s="10">
        <f>G342-[340]Main!$C$7+[340]Main!$C$8</f>
        <v>218.28432413155144</v>
      </c>
      <c r="J342" s="1">
        <f>IF(ISNUMBER([340]Main!$C$11),[340]Main!$C$11,"")</f>
        <v>3.3566475055148839</v>
      </c>
      <c r="K342" s="11">
        <f t="shared" si="5"/>
        <v>0.26665943604335252</v>
      </c>
      <c r="L342" s="12" t="str">
        <f>[340]Main!$C$15&amp;" ("&amp;[340]Main!$C$14&amp;")"</f>
        <v>DCF (Base)</v>
      </c>
      <c r="M342" s="13"/>
      <c r="N342" s="17"/>
    </row>
    <row r="343" spans="2:14" x14ac:dyDescent="0.2">
      <c r="B343" s="3" t="s">
        <v>747</v>
      </c>
      <c r="C343" t="s">
        <v>748</v>
      </c>
      <c r="D343" t="s">
        <v>22</v>
      </c>
      <c r="E343" s="6" t="s">
        <v>33</v>
      </c>
      <c r="F343" s="1">
        <v>8.6199999999999992</v>
      </c>
      <c r="G343" s="8">
        <f>F343*[341]Main!$C$4</f>
        <v>256.61279691999999</v>
      </c>
      <c r="H343" s="10">
        <f>G343-[341]Main!$C$7+[341]Main!$C$8</f>
        <v>150.34279692000001</v>
      </c>
      <c r="J343" s="1">
        <f>IF(ISNUMBER([341]Main!$C$11),[341]Main!$C$11,"")</f>
        <v>3.569765074052722</v>
      </c>
      <c r="K343" s="11">
        <f t="shared" si="5"/>
        <v>-0.58587412133959138</v>
      </c>
      <c r="L343" s="12" t="str">
        <f>[341]Main!$C$15&amp;" ("&amp;[341]Main!$C$14&amp;")"</f>
        <v>Net cash (revenue jump)</v>
      </c>
      <c r="M343" s="13">
        <v>46338</v>
      </c>
      <c r="N343" s="17" t="s">
        <v>190</v>
      </c>
    </row>
    <row r="344" spans="2:14" x14ac:dyDescent="0.2">
      <c r="B344" s="3" t="s">
        <v>749</v>
      </c>
      <c r="C344" t="s">
        <v>750</v>
      </c>
      <c r="D344" t="s">
        <v>22</v>
      </c>
      <c r="E344" s="6" t="s">
        <v>33</v>
      </c>
      <c r="F344" s="1">
        <v>3.66</v>
      </c>
      <c r="G344" s="8">
        <f>F344*[342]Main!$C$4</f>
        <v>225.36303599999999</v>
      </c>
      <c r="H344" s="10">
        <f>G344-[342]Main!$C$7+[342]Main!$C$8</f>
        <v>212.14003600000001</v>
      </c>
      <c r="J344" s="1">
        <f>IF(ISNUMBER([342]Main!$C$11),[342]Main!$C$11,"")</f>
        <v>0.21474763944873373</v>
      </c>
      <c r="K344" s="11">
        <f t="shared" si="5"/>
        <v>-0.94132578157138425</v>
      </c>
      <c r="L344" s="12" t="str">
        <f>[342]Main!$C$15&amp;" ("&amp;[342]Main!$C$14&amp;")"</f>
        <v>Net cash (small revenue)</v>
      </c>
      <c r="M344" s="13">
        <v>46338</v>
      </c>
      <c r="N344" s="17" t="s">
        <v>190</v>
      </c>
    </row>
    <row r="345" spans="2:14" x14ac:dyDescent="0.2">
      <c r="B345" s="3" t="s">
        <v>751</v>
      </c>
      <c r="C345" t="s">
        <v>752</v>
      </c>
      <c r="D345" t="s">
        <v>15</v>
      </c>
      <c r="E345" s="6" t="s">
        <v>33</v>
      </c>
      <c r="F345" s="1">
        <v>5.28</v>
      </c>
      <c r="G345" s="8">
        <f>F345*[343]Main!$C$4</f>
        <v>242.33567952000001</v>
      </c>
      <c r="H345" s="10">
        <f>G345-[343]Main!$C$7+[343]Main!$C$8</f>
        <v>-76.409320479999991</v>
      </c>
      <c r="J345" s="1">
        <f>IF(ISNUMBER([343]Main!$C$11),[343]Main!$C$11,"")</f>
        <v>6.9448031892518074</v>
      </c>
      <c r="K345" s="11">
        <f t="shared" si="5"/>
        <v>0.3153036343279938</v>
      </c>
      <c r="L345" s="12" t="str">
        <f>[343]Main!$C$15&amp;" ("&amp;[343]Main!$C$14&amp;")"</f>
        <v>Net cash (small revenue)</v>
      </c>
      <c r="M345" s="13">
        <v>46331</v>
      </c>
      <c r="N345" s="17" t="s">
        <v>63</v>
      </c>
    </row>
    <row r="346" spans="2:14" x14ac:dyDescent="0.2">
      <c r="B346" s="3" t="s">
        <v>753</v>
      </c>
      <c r="C346" t="s">
        <v>754</v>
      </c>
      <c r="D346" t="s">
        <v>22</v>
      </c>
      <c r="E346" s="6" t="s">
        <v>33</v>
      </c>
      <c r="F346" s="1">
        <v>11.4</v>
      </c>
      <c r="G346" s="8">
        <f>F346*[344]Main!$C$4</f>
        <v>226.02994319999999</v>
      </c>
      <c r="H346" s="10">
        <f>G346-[344]Main!$C$7+[344]Main!$C$8</f>
        <v>-31.576056800000003</v>
      </c>
      <c r="J346" s="1">
        <f>IF(ISNUMBER([344]Main!$C$11),[344]Main!$C$11,"")</f>
        <v>12.992563544563152</v>
      </c>
      <c r="K346" s="11">
        <f t="shared" si="5"/>
        <v>0.13969855654062746</v>
      </c>
      <c r="L346" s="12" t="str">
        <f>[344]Main!$C$15&amp;" ("&amp;[344]Main!$C$14&amp;")"</f>
        <v>Net cash (small revenue)</v>
      </c>
      <c r="M346" s="13">
        <v>46330</v>
      </c>
      <c r="N346" s="17" t="s">
        <v>40</v>
      </c>
    </row>
    <row r="347" spans="2:14" x14ac:dyDescent="0.2">
      <c r="B347" s="3" t="s">
        <v>755</v>
      </c>
      <c r="C347" t="s">
        <v>756</v>
      </c>
      <c r="D347" t="s">
        <v>22</v>
      </c>
      <c r="E347" s="6" t="s">
        <v>33</v>
      </c>
      <c r="F347" s="1">
        <v>2.06</v>
      </c>
      <c r="G347" s="8">
        <f>F347*[345]Main!$C$4</f>
        <v>246.83025884</v>
      </c>
      <c r="H347" s="10">
        <f>G347-[345]Main!$C$7+[345]Main!$C$8</f>
        <v>93.060258840000017</v>
      </c>
      <c r="J347" s="1">
        <f>IF(ISNUMBER([345]Main!$C$11),[345]Main!$C$11,"")</f>
        <v>1.2833361739710112</v>
      </c>
      <c r="K347" s="11">
        <f t="shared" si="5"/>
        <v>-0.37702127477135383</v>
      </c>
      <c r="L347" s="12" t="str">
        <f>[345]Main!$C$15&amp;" ("&amp;[345]Main!$C$14&amp;")"</f>
        <v>Net cash (small revenue)</v>
      </c>
      <c r="M347" s="13">
        <v>46338</v>
      </c>
      <c r="N347" s="17" t="s">
        <v>190</v>
      </c>
    </row>
    <row r="348" spans="2:14" x14ac:dyDescent="0.2">
      <c r="B348" s="3" t="s">
        <v>757</v>
      </c>
      <c r="C348" t="s">
        <v>758</v>
      </c>
      <c r="D348" t="s">
        <v>22</v>
      </c>
      <c r="E348" s="6" t="s">
        <v>33</v>
      </c>
      <c r="F348" s="1">
        <v>16.239999999999998</v>
      </c>
      <c r="G348" s="8">
        <f>F348*[346]Main!$C$4</f>
        <v>238.37409791999997</v>
      </c>
      <c r="H348" s="10">
        <f>G348-[346]Main!$C$7+[346]Main!$C$8</f>
        <v>229.49774491999997</v>
      </c>
      <c r="J348" s="1">
        <f>IF(ISNUMBER([346]Main!$C$11),[346]Main!$C$11,"")</f>
        <v>0.60473001881428579</v>
      </c>
      <c r="K348" s="11">
        <f t="shared" si="5"/>
        <v>-0.96276292987596768</v>
      </c>
      <c r="L348" s="12" t="str">
        <f>[346]Main!$C$15&amp;" ("&amp;[346]Main!$C$14&amp;")"</f>
        <v>Net cash (pre-revenue)</v>
      </c>
      <c r="M348" s="13">
        <v>46339</v>
      </c>
      <c r="N348" s="17" t="s">
        <v>156</v>
      </c>
    </row>
    <row r="349" spans="2:14" x14ac:dyDescent="0.2">
      <c r="B349" s="3" t="s">
        <v>759</v>
      </c>
      <c r="C349" t="s">
        <v>760</v>
      </c>
      <c r="D349" t="s">
        <v>22</v>
      </c>
      <c r="E349" s="6" t="s">
        <v>16</v>
      </c>
      <c r="F349" s="1">
        <v>2.6349999999999998</v>
      </c>
      <c r="G349" s="8">
        <f>F349*[347]Main!$C$4</f>
        <v>212.30627666999999</v>
      </c>
      <c r="H349" s="10">
        <f>G349-[347]Main!$C$7+[347]Main!$C$8</f>
        <v>184.88627666999997</v>
      </c>
      <c r="J349" s="1">
        <f>IF(ISNUMBER([347]Main!$C$11),[347]Main!$C$11,"")</f>
        <v>1.4663877795737905</v>
      </c>
      <c r="K349" s="11">
        <f t="shared" si="5"/>
        <v>-0.44349609883347607</v>
      </c>
      <c r="L349" s="12" t="str">
        <f>[347]Main!$C$15&amp;" ("&amp;[347]Main!$C$14&amp;")"</f>
        <v>DCF (Base)</v>
      </c>
      <c r="M349" s="13">
        <v>46338</v>
      </c>
      <c r="N349" s="17" t="s">
        <v>190</v>
      </c>
    </row>
    <row r="350" spans="2:14" x14ac:dyDescent="0.2">
      <c r="B350" s="3" t="s">
        <v>761</v>
      </c>
      <c r="C350" t="s">
        <v>762</v>
      </c>
      <c r="D350" t="s">
        <v>22</v>
      </c>
      <c r="E350" s="6" t="s">
        <v>33</v>
      </c>
      <c r="F350" s="1">
        <v>3.49</v>
      </c>
      <c r="G350" s="8">
        <f>F350*[348]Main!$C$4</f>
        <v>222.31365263000001</v>
      </c>
      <c r="H350" s="10">
        <f>G350-[348]Main!$C$7+[348]Main!$C$8</f>
        <v>108.40665263000001</v>
      </c>
      <c r="J350" s="1">
        <f>IF(ISNUMBER([348]Main!$C$11),[348]Main!$C$11,"")</f>
        <v>7.8694394403750803</v>
      </c>
      <c r="K350" s="11">
        <f t="shared" si="5"/>
        <v>1.2548537078438624</v>
      </c>
      <c r="L350" s="12" t="str">
        <f>[348]Main!$C$15&amp;" ("&amp;[348]Main!$C$14&amp;")"</f>
        <v>DCF (Base)</v>
      </c>
      <c r="M350" s="13">
        <v>46337</v>
      </c>
      <c r="N350" s="17" t="s">
        <v>104</v>
      </c>
    </row>
    <row r="351" spans="2:14" x14ac:dyDescent="0.2">
      <c r="B351" s="3" t="s">
        <v>763</v>
      </c>
      <c r="C351" t="s">
        <v>764</v>
      </c>
      <c r="D351" t="s">
        <v>22</v>
      </c>
      <c r="E351" s="6" t="s">
        <v>33</v>
      </c>
      <c r="F351" s="1">
        <v>2.44</v>
      </c>
      <c r="G351" s="8">
        <f>F351*[349]Main!$C$4</f>
        <v>253.47436628</v>
      </c>
      <c r="H351" s="10">
        <f>G351-[349]Main!$C$7+[349]Main!$C$8</f>
        <v>97.207366280000002</v>
      </c>
      <c r="J351" s="1">
        <f>IF(ISNUMBER([349]Main!$C$11),[349]Main!$C$11,"")</f>
        <v>1.5042605120030443</v>
      </c>
      <c r="K351" s="11">
        <f t="shared" si="5"/>
        <v>-0.38349979016268676</v>
      </c>
      <c r="L351" s="12" t="str">
        <f>[349]Main!$C$15&amp;" ("&amp;[349]Main!$C$14&amp;")"</f>
        <v>Net cash (pre-revenue)</v>
      </c>
      <c r="M351" s="13">
        <v>46330</v>
      </c>
      <c r="N351" s="17" t="s">
        <v>40</v>
      </c>
    </row>
    <row r="352" spans="2:14" x14ac:dyDescent="0.2">
      <c r="B352" s="3" t="s">
        <v>765</v>
      </c>
      <c r="C352" t="s">
        <v>766</v>
      </c>
      <c r="D352" t="s">
        <v>22</v>
      </c>
      <c r="E352" s="6" t="s">
        <v>33</v>
      </c>
      <c r="F352" s="1">
        <v>1.97</v>
      </c>
      <c r="G352" s="8">
        <f>F352*[350]Main!$C$4</f>
        <v>219.96413043000001</v>
      </c>
      <c r="H352" s="10">
        <f>G352-[350]Main!$C$7+[350]Main!$C$8</f>
        <v>57.014130430000009</v>
      </c>
      <c r="J352" s="1">
        <f>IF(ISNUMBER([350]Main!$C$11),[350]Main!$C$11,"")</f>
        <v>1.4593811244245418</v>
      </c>
      <c r="K352" s="11">
        <f t="shared" si="5"/>
        <v>-0.25919739876926806</v>
      </c>
      <c r="L352" s="12" t="str">
        <f>[350]Main!$C$15&amp;" ("&amp;[350]Main!$C$14&amp;")"</f>
        <v>Net cash (small revenue)</v>
      </c>
      <c r="M352" s="13">
        <v>46331</v>
      </c>
      <c r="N352" s="17" t="s">
        <v>63</v>
      </c>
    </row>
    <row r="353" spans="2:14" x14ac:dyDescent="0.2">
      <c r="B353" s="3" t="s">
        <v>767</v>
      </c>
      <c r="C353" t="s">
        <v>768</v>
      </c>
      <c r="D353" t="s">
        <v>22</v>
      </c>
      <c r="E353" s="6" t="s">
        <v>33</v>
      </c>
      <c r="F353" s="1">
        <v>2.72</v>
      </c>
      <c r="G353" s="8">
        <f>F353*[351]Main!$C$4</f>
        <v>171.85125920000002</v>
      </c>
      <c r="H353" s="10">
        <f>G353-[351]Main!$C$7+[351]Main!$C$8</f>
        <v>178.17678720000001</v>
      </c>
      <c r="J353" s="1">
        <f>IF(ISNUMBER([351]Main!$C$11),[351]Main!$C$11,"")</f>
        <v>-0.10011818499378208</v>
      </c>
      <c r="K353" s="11">
        <f t="shared" si="5"/>
        <v>-1.0368081562477141</v>
      </c>
      <c r="L353" s="12" t="str">
        <f>[351]Main!$C$15&amp;" ("&amp;[351]Main!$C$14&amp;")"</f>
        <v>Net cash (pre-revenue)</v>
      </c>
      <c r="M353" s="13">
        <v>46339</v>
      </c>
      <c r="N353" s="17" t="s">
        <v>156</v>
      </c>
    </row>
    <row r="354" spans="2:14" x14ac:dyDescent="0.2">
      <c r="B354" s="3" t="s">
        <v>769</v>
      </c>
      <c r="C354" t="s">
        <v>770</v>
      </c>
      <c r="D354" t="s">
        <v>22</v>
      </c>
      <c r="E354" s="6" t="s">
        <v>33</v>
      </c>
      <c r="F354" s="1">
        <v>3.19</v>
      </c>
      <c r="G354" s="8">
        <f>F354*[352]Main!$C$4</f>
        <v>214.24155478000003</v>
      </c>
      <c r="H354" s="10">
        <f>G354-[352]Main!$C$7+[352]Main!$C$8</f>
        <v>212.66695878000002</v>
      </c>
      <c r="J354" s="1">
        <f>IF(ISNUMBER([352]Main!$C$11),[352]Main!$C$11,"")</f>
        <v>2.34453173435843E-2</v>
      </c>
      <c r="K354" s="11">
        <f t="shared" si="5"/>
        <v>-0.99265037073868834</v>
      </c>
      <c r="L354" s="12" t="str">
        <f>[352]Main!$C$15&amp;" ("&amp;[352]Main!$C$14&amp;")"</f>
        <v>Net cash (pre-revenue)</v>
      </c>
      <c r="M354" s="13">
        <v>46338</v>
      </c>
      <c r="N354" s="17" t="s">
        <v>190</v>
      </c>
    </row>
    <row r="355" spans="2:14" x14ac:dyDescent="0.2">
      <c r="B355" s="3" t="s">
        <v>771</v>
      </c>
      <c r="C355" t="s">
        <v>772</v>
      </c>
      <c r="D355" t="s">
        <v>22</v>
      </c>
      <c r="E355" s="6" t="s">
        <v>33</v>
      </c>
      <c r="F355" s="1">
        <v>9.6999999999999993</v>
      </c>
      <c r="G355" s="8">
        <f>F355*[353]Main!$C$4</f>
        <v>237.69986769999997</v>
      </c>
      <c r="H355" s="10">
        <f>G355-[353]Main!$C$7+[353]Main!$C$8</f>
        <v>33.597867699999995</v>
      </c>
      <c r="J355" s="1">
        <f>IF(ISNUMBER([353]Main!$C$11),[353]Main!$C$11,"")</f>
        <v>8.3289461586856408</v>
      </c>
      <c r="K355" s="11">
        <f t="shared" si="5"/>
        <v>-0.14134575683653183</v>
      </c>
      <c r="L355" s="12" t="str">
        <f>[353]Main!$C$15&amp;" ("&amp;[353]Main!$C$14&amp;")"</f>
        <v>Net cash (pre-revenue)</v>
      </c>
      <c r="M355" s="13">
        <v>46337</v>
      </c>
      <c r="N355" s="17" t="s">
        <v>104</v>
      </c>
    </row>
    <row r="356" spans="2:14" x14ac:dyDescent="0.2">
      <c r="B356" s="3" t="s">
        <v>773</v>
      </c>
      <c r="C356" t="s">
        <v>774</v>
      </c>
      <c r="D356" t="s">
        <v>22</v>
      </c>
      <c r="E356" s="6" t="s">
        <v>33</v>
      </c>
      <c r="F356" s="1">
        <v>6.3949999999999996</v>
      </c>
      <c r="G356" s="8">
        <f>F356*[354]Main!$C$4</f>
        <v>193.48297603999998</v>
      </c>
      <c r="H356" s="10">
        <f>G356-[354]Main!$C$7+[354]Main!$C$8</f>
        <v>98.727976039999987</v>
      </c>
      <c r="J356" s="1">
        <f>IF(ISNUMBER([354]Main!$C$11),[354]Main!$C$11,"")</f>
        <v>3.1318425910232346</v>
      </c>
      <c r="K356" s="11">
        <f t="shared" si="5"/>
        <v>-0.51026699123952546</v>
      </c>
      <c r="L356" s="12" t="str">
        <f>[354]Main!$C$15&amp;" ("&amp;[354]Main!$C$14&amp;")"</f>
        <v>Net cash (pre-revenue)</v>
      </c>
      <c r="M356" s="13">
        <v>46331</v>
      </c>
      <c r="N356" s="17" t="s">
        <v>63</v>
      </c>
    </row>
    <row r="357" spans="2:14" x14ac:dyDescent="0.2">
      <c r="B357" s="3" t="s">
        <v>775</v>
      </c>
      <c r="C357" t="s">
        <v>776</v>
      </c>
      <c r="D357" t="s">
        <v>22</v>
      </c>
      <c r="E357" s="6" t="s">
        <v>33</v>
      </c>
      <c r="F357" s="1">
        <v>3.16</v>
      </c>
      <c r="G357" s="8">
        <f>F357*[355]Main!$C$4</f>
        <v>198.30011200000001</v>
      </c>
      <c r="H357" s="10">
        <f>G357-[355]Main!$C$7+[355]Main!$C$8</f>
        <v>111.90211200000002</v>
      </c>
      <c r="J357" s="1">
        <f>IF(ISNUMBER([355]Main!$C$11),[355]Main!$C$11,"")</f>
        <v>1.3767903469464504</v>
      </c>
      <c r="K357" s="11">
        <f t="shared" si="5"/>
        <v>-0.56430685223213595</v>
      </c>
      <c r="L357" s="12" t="str">
        <f>[355]Main!$C$15&amp;" ("&amp;[355]Main!$C$14&amp;")"</f>
        <v>Net cash (pre-revenue)</v>
      </c>
      <c r="M357" s="13">
        <v>46331</v>
      </c>
      <c r="N357" s="17" t="s">
        <v>63</v>
      </c>
    </row>
    <row r="358" spans="2:14" x14ac:dyDescent="0.2">
      <c r="B358" s="3" t="s">
        <v>777</v>
      </c>
      <c r="C358" t="s">
        <v>778</v>
      </c>
      <c r="D358" t="s">
        <v>22</v>
      </c>
      <c r="E358" s="6" t="s">
        <v>33</v>
      </c>
      <c r="F358" s="1">
        <v>2.14</v>
      </c>
      <c r="G358" s="8">
        <f>F358*[356]Main!$C$4</f>
        <v>202.34382874000002</v>
      </c>
      <c r="H358" s="10">
        <f>G358-[356]Main!$C$7+[356]Main!$C$8</f>
        <v>102.46282874000002</v>
      </c>
      <c r="J358" s="1">
        <f>IF(ISNUMBER([356]Main!$C$11),[356]Main!$C$11,"")</f>
        <v>6.0895393331204382</v>
      </c>
      <c r="K358" s="11">
        <f t="shared" si="5"/>
        <v>1.8455791276263729</v>
      </c>
      <c r="L358" s="12" t="str">
        <f>[356]Main!$C$15&amp;" ("&amp;[356]Main!$C$14&amp;")"</f>
        <v>DCF (Base)</v>
      </c>
      <c r="M358" s="13">
        <v>46335</v>
      </c>
      <c r="N358" s="17" t="s">
        <v>87</v>
      </c>
    </row>
    <row r="359" spans="2:14" x14ac:dyDescent="0.2">
      <c r="B359" s="3" t="s">
        <v>779</v>
      </c>
      <c r="C359" t="s">
        <v>780</v>
      </c>
      <c r="D359" t="s">
        <v>22</v>
      </c>
      <c r="E359" s="6" t="s">
        <v>16</v>
      </c>
      <c r="F359" s="1">
        <v>5.35</v>
      </c>
      <c r="G359" s="8">
        <f>F359*[357]Main!$C$4</f>
        <v>194.16280454999998</v>
      </c>
      <c r="H359" s="10">
        <f>G359-[357]Main!$C$7+[357]Main!$C$8</f>
        <v>-93.844195449999972</v>
      </c>
      <c r="J359" s="1">
        <f>[357]Main!$C$11</f>
        <v>6.7806113550292677</v>
      </c>
      <c r="K359" s="11">
        <f t="shared" si="5"/>
        <v>0.26740399159425565</v>
      </c>
      <c r="L359" s="12" t="str">
        <f>"rNPV ("&amp;[357]Main!$C$14&amp;")"</f>
        <v>rNPV (Base)</v>
      </c>
      <c r="M359" s="13">
        <v>46366</v>
      </c>
      <c r="N359" s="17" t="s">
        <v>781</v>
      </c>
    </row>
    <row r="360" spans="2:14" x14ac:dyDescent="0.2">
      <c r="B360" s="3" t="s">
        <v>782</v>
      </c>
      <c r="C360" t="s">
        <v>783</v>
      </c>
      <c r="D360" t="s">
        <v>22</v>
      </c>
      <c r="E360" s="6" t="s">
        <v>33</v>
      </c>
      <c r="F360" s="1">
        <v>7.41</v>
      </c>
      <c r="G360" s="8">
        <f>F360*[358]Main!$C$4</f>
        <v>179.50976199000002</v>
      </c>
      <c r="H360" s="10">
        <f>G360-[358]Main!$C$7+[358]Main!$C$8</f>
        <v>177.76076199000002</v>
      </c>
      <c r="J360" s="1">
        <f>IF(ISNUMBER([358]Main!$C$11),[358]Main!$C$11,"")</f>
        <v>3.1292978824892494</v>
      </c>
      <c r="K360" s="11">
        <f t="shared" si="5"/>
        <v>-0.57769259345624158</v>
      </c>
      <c r="L360" s="12" t="str">
        <f>[358]Main!$C$15&amp;" ("&amp;[358]Main!$C$14&amp;")"</f>
        <v>DCF (Base)</v>
      </c>
      <c r="M360" s="13">
        <v>46329</v>
      </c>
      <c r="N360" s="17" t="s">
        <v>134</v>
      </c>
    </row>
    <row r="361" spans="2:14" x14ac:dyDescent="0.2">
      <c r="B361" s="3" t="s">
        <v>784</v>
      </c>
      <c r="C361" t="s">
        <v>785</v>
      </c>
      <c r="D361" t="s">
        <v>22</v>
      </c>
      <c r="E361" s="6" t="s">
        <v>33</v>
      </c>
      <c r="F361" s="1">
        <v>4.99</v>
      </c>
      <c r="G361" s="8">
        <f>F361*[359]Main!$C$4</f>
        <v>194.29397831000003</v>
      </c>
      <c r="H361" s="10">
        <f>G361-[359]Main!$C$7+[359]Main!$C$8</f>
        <v>-28.706021689999972</v>
      </c>
      <c r="J361" s="1">
        <f>IF(ISNUMBER([359]Main!$C$11),[359]Main!$C$11,"")</f>
        <v>5.7272490361206811</v>
      </c>
      <c r="K361" s="11">
        <f t="shared" si="5"/>
        <v>0.14774529781977574</v>
      </c>
      <c r="L361" s="12" t="str">
        <f>[359]Main!$C$15&amp;" ("&amp;[359]Main!$C$14&amp;")"</f>
        <v>Net cash (pre-revenue)</v>
      </c>
      <c r="M361" s="13">
        <v>46331</v>
      </c>
      <c r="N361" s="17" t="s">
        <v>63</v>
      </c>
    </row>
    <row r="362" spans="2:14" x14ac:dyDescent="0.2">
      <c r="B362" s="3" t="s">
        <v>786</v>
      </c>
      <c r="C362" t="s">
        <v>787</v>
      </c>
      <c r="D362" t="s">
        <v>22</v>
      </c>
      <c r="E362" s="6" t="s">
        <v>33</v>
      </c>
      <c r="F362" s="1">
        <v>0.61809999999999998</v>
      </c>
      <c r="G362" s="8">
        <f>F362*[360]Main!$C$4</f>
        <v>171.2793700345</v>
      </c>
      <c r="H362" s="10">
        <f>G362-[360]Main!$C$7+[360]Main!$C$8</f>
        <v>65.294370034500005</v>
      </c>
      <c r="J362" s="1">
        <f>IF(ISNUMBER([360]Main!$C$11),[360]Main!$C$11,"")</f>
        <v>0.89795320445414872</v>
      </c>
      <c r="K362" s="11">
        <f t="shared" si="5"/>
        <v>0.45276363768669925</v>
      </c>
      <c r="L362" s="12" t="str">
        <f>[360]Main!$C$15&amp;" ("&amp;[360]Main!$C$14&amp;")"</f>
        <v>DCF (Base)</v>
      </c>
      <c r="M362" s="13">
        <v>46335</v>
      </c>
      <c r="N362" s="17" t="s">
        <v>87</v>
      </c>
    </row>
    <row r="363" spans="2:14" x14ac:dyDescent="0.2">
      <c r="B363" s="3" t="s">
        <v>788</v>
      </c>
      <c r="C363" t="s">
        <v>789</v>
      </c>
      <c r="D363" t="s">
        <v>22</v>
      </c>
      <c r="E363" s="6" t="s">
        <v>33</v>
      </c>
      <c r="F363" s="1">
        <v>2.2549999999999999</v>
      </c>
      <c r="G363" s="8">
        <f>F363*[361]Main!$C$4</f>
        <v>183.24389775999998</v>
      </c>
      <c r="H363" s="10">
        <f>G363-[361]Main!$C$7+[361]Main!$C$8</f>
        <v>94.487897759999981</v>
      </c>
      <c r="J363" s="1">
        <f>IF(ISNUMBER([361]Main!$C$11),[361]Main!$C$11,"")</f>
        <v>1.0922316237899261</v>
      </c>
      <c r="K363" s="11">
        <f t="shared" si="5"/>
        <v>-0.51564007814193968</v>
      </c>
      <c r="L363" s="12" t="str">
        <f>[361]Main!$C$15&amp;" ("&amp;[361]Main!$C$14&amp;")"</f>
        <v>Net cash (pre-revenue)</v>
      </c>
      <c r="M363" s="13">
        <v>46339</v>
      </c>
      <c r="N363" s="17" t="s">
        <v>156</v>
      </c>
    </row>
    <row r="364" spans="2:14" x14ac:dyDescent="0.2">
      <c r="B364" s="3" t="s">
        <v>790</v>
      </c>
      <c r="C364" t="s">
        <v>791</v>
      </c>
      <c r="D364" t="s">
        <v>22</v>
      </c>
      <c r="E364" s="6" t="s">
        <v>33</v>
      </c>
      <c r="F364" s="1">
        <v>0.63660000000000005</v>
      </c>
      <c r="G364" s="8">
        <f>F364*[362]Main!$C$4</f>
        <v>187.64341770359999</v>
      </c>
      <c r="H364" s="10">
        <f>G364-[362]Main!$C$7+[362]Main!$C$8</f>
        <v>27.563417703599981</v>
      </c>
      <c r="J364" s="1">
        <f>IF(ISNUMBER([362]Main!$C$11),[362]Main!$C$11,"")</f>
        <v>-0.42449278008330682</v>
      </c>
      <c r="K364" s="11">
        <f t="shared" si="5"/>
        <v>-1.6668124098072679</v>
      </c>
      <c r="L364" s="12" t="str">
        <f>[362]Main!$C$15&amp;" ("&amp;[362]Main!$C$14&amp;")"</f>
        <v>DCF (Base)</v>
      </c>
      <c r="M364" s="13">
        <v>46331</v>
      </c>
      <c r="N364" s="17" t="s">
        <v>63</v>
      </c>
    </row>
    <row r="365" spans="2:14" x14ac:dyDescent="0.2">
      <c r="B365" s="3" t="s">
        <v>792</v>
      </c>
      <c r="C365" t="s">
        <v>793</v>
      </c>
      <c r="D365" t="s">
        <v>22</v>
      </c>
      <c r="E365" s="6" t="s">
        <v>33</v>
      </c>
      <c r="F365" s="1">
        <v>11.54</v>
      </c>
      <c r="G365" s="8">
        <f>F365*[363]Main!$C$4</f>
        <v>191.34671334000001</v>
      </c>
      <c r="H365" s="10">
        <f>G365-[363]Main!$C$7+[363]Main!$C$8</f>
        <v>27.000713340000004</v>
      </c>
      <c r="J365" s="1">
        <f>IF(ISNUMBER([363]Main!$C$11),[363]Main!$C$11,"")</f>
        <v>9.9116039512528999</v>
      </c>
      <c r="K365" s="11">
        <f t="shared" si="5"/>
        <v>-0.14110884304567584</v>
      </c>
      <c r="L365" s="12" t="str">
        <f>[363]Main!$C$15&amp;" ("&amp;[363]Main!$C$14&amp;")"</f>
        <v>Net cash (small revenue)</v>
      </c>
      <c r="M365" s="13">
        <v>46331</v>
      </c>
      <c r="N365" s="17" t="s">
        <v>63</v>
      </c>
    </row>
    <row r="366" spans="2:14" x14ac:dyDescent="0.2">
      <c r="B366" s="3" t="s">
        <v>794</v>
      </c>
      <c r="C366" t="s">
        <v>795</v>
      </c>
      <c r="D366" t="s">
        <v>22</v>
      </c>
      <c r="E366" s="6" t="s">
        <v>33</v>
      </c>
      <c r="F366" s="1">
        <v>2.875</v>
      </c>
      <c r="G366" s="8">
        <f>F366*[364]Main!$C$4</f>
        <v>199.121111375</v>
      </c>
      <c r="H366" s="10">
        <f>G366-[364]Main!$C$7+[364]Main!$C$8</f>
        <v>81.883111374999999</v>
      </c>
      <c r="J366" s="1">
        <f>IF(ISNUMBER([364]Main!$C$11),[364]Main!$C$11,"")</f>
        <v>1.6927348771433102</v>
      </c>
      <c r="K366" s="11">
        <f t="shared" si="5"/>
        <v>-0.41122265142841385</v>
      </c>
      <c r="L366" s="12" t="str">
        <f>[364]Main!$C$15&amp;" ("&amp;[364]Main!$C$14&amp;")"</f>
        <v>Net cash (pre-revenue)</v>
      </c>
      <c r="M366" s="13">
        <v>46337</v>
      </c>
      <c r="N366" s="17" t="s">
        <v>104</v>
      </c>
    </row>
    <row r="367" spans="2:14" x14ac:dyDescent="0.2">
      <c r="B367" s="3" t="s">
        <v>796</v>
      </c>
      <c r="C367" t="s">
        <v>797</v>
      </c>
      <c r="D367" t="s">
        <v>22</v>
      </c>
      <c r="E367" s="6" t="s">
        <v>16</v>
      </c>
      <c r="F367" s="1">
        <v>1.53</v>
      </c>
      <c r="G367" s="8">
        <f>F367*[365]Main!$C$4</f>
        <v>195.33157334999999</v>
      </c>
      <c r="H367" s="10">
        <f>G367-[365]Main!$C$7+[365]Main!$C$8</f>
        <v>92.841573349999976</v>
      </c>
      <c r="J367" s="1">
        <f>IF(ISNUMBER([365]Main!$C$11),[365]Main!$C$11,"")</f>
        <v>-0.68084196200802749</v>
      </c>
      <c r="K367" s="11">
        <f t="shared" si="5"/>
        <v>-1.4449947464104755</v>
      </c>
      <c r="L367" s="12" t="str">
        <f>[365]Main!$C$15&amp;" ("&amp;[365]Main!$C$14&amp;")"</f>
        <v>DCF (Base)</v>
      </c>
      <c r="M367" s="13">
        <v>46335</v>
      </c>
      <c r="N367" s="17" t="s">
        <v>87</v>
      </c>
    </row>
    <row r="368" spans="2:14" x14ac:dyDescent="0.2">
      <c r="B368" s="3" t="s">
        <v>798</v>
      </c>
      <c r="C368" t="s">
        <v>799</v>
      </c>
      <c r="D368" t="s">
        <v>15</v>
      </c>
      <c r="E368" s="6" t="s">
        <v>33</v>
      </c>
      <c r="F368" s="1">
        <v>65.81</v>
      </c>
      <c r="G368" s="8">
        <f>F368*[366]Main!$C$4</f>
        <v>183.35705798000001</v>
      </c>
      <c r="H368" s="10">
        <f>G368-[366]Main!$C$7+[366]Main!$C$8</f>
        <v>159.35805798000001</v>
      </c>
      <c r="J368" s="1">
        <f>IF(ISNUMBER([366]Main!$C$11),[366]Main!$C$11,"")</f>
        <v>8.613653640604733</v>
      </c>
      <c r="K368" s="11">
        <f t="shared" si="5"/>
        <v>-0.86911330131279851</v>
      </c>
      <c r="L368" s="12" t="str">
        <f>[366]Main!$C$15&amp;" ("&amp;[366]Main!$C$14&amp;")"</f>
        <v>Net cash (small revenue)</v>
      </c>
      <c r="M368" s="13">
        <v>46345</v>
      </c>
      <c r="N368" s="17" t="s">
        <v>566</v>
      </c>
    </row>
    <row r="369" spans="2:14" x14ac:dyDescent="0.2">
      <c r="B369" s="3" t="s">
        <v>800</v>
      </c>
      <c r="C369" t="s">
        <v>801</v>
      </c>
      <c r="D369" t="s">
        <v>22</v>
      </c>
      <c r="E369" s="6" t="s">
        <v>33</v>
      </c>
      <c r="F369" s="1">
        <v>8.58</v>
      </c>
      <c r="G369" s="8">
        <f>F369*[367]Main!$C$4</f>
        <v>186.85410744000001</v>
      </c>
      <c r="H369" s="10">
        <f>G369-[367]Main!$C$7+[367]Main!$C$8</f>
        <v>145.46982044000001</v>
      </c>
      <c r="J369" s="1">
        <f>IF(ISNUMBER([367]Main!$C$11),[367]Main!$C$11,"")</f>
        <v>1.9002910202229162</v>
      </c>
      <c r="K369" s="11">
        <f t="shared" si="5"/>
        <v>-0.77852086011387922</v>
      </c>
      <c r="L369" s="12" t="str">
        <f>[367]Main!$C$15&amp;" ("&amp;[367]Main!$C$14&amp;")"</f>
        <v>Net cash (small revenue)</v>
      </c>
      <c r="M369" s="13">
        <v>46338</v>
      </c>
      <c r="N369" s="17" t="s">
        <v>190</v>
      </c>
    </row>
    <row r="370" spans="2:14" x14ac:dyDescent="0.2">
      <c r="B370" s="3" t="s">
        <v>802</v>
      </c>
      <c r="C370" t="s">
        <v>803</v>
      </c>
      <c r="D370" t="s">
        <v>22</v>
      </c>
      <c r="E370" s="6" t="s">
        <v>33</v>
      </c>
      <c r="F370" s="1">
        <v>4.1500000000000004</v>
      </c>
      <c r="G370" s="8">
        <f>F370*[368]Main!$C$4</f>
        <v>187.63145585000001</v>
      </c>
      <c r="H370" s="10">
        <f>G370-[368]Main!$C$7+[368]Main!$C$8</f>
        <v>-80.668544150000002</v>
      </c>
      <c r="J370" s="1">
        <f>IF(ISNUMBER([368]Main!$C$11),[368]Main!$C$11,"")</f>
        <v>5.9342128693502865</v>
      </c>
      <c r="K370" s="11">
        <f t="shared" si="5"/>
        <v>0.42993081189163518</v>
      </c>
      <c r="L370" s="12" t="str">
        <f>[368]Main!$C$15&amp;" ("&amp;[368]Main!$C$14&amp;")"</f>
        <v>Net cash (pre-revenue)</v>
      </c>
      <c r="M370" s="13">
        <v>46330</v>
      </c>
      <c r="N370" s="17" t="s">
        <v>40</v>
      </c>
    </row>
    <row r="371" spans="2:14" x14ac:dyDescent="0.2">
      <c r="B371" s="3" t="s">
        <v>804</v>
      </c>
      <c r="C371" t="s">
        <v>805</v>
      </c>
      <c r="D371" t="s">
        <v>15</v>
      </c>
      <c r="E371" s="6" t="s">
        <v>33</v>
      </c>
      <c r="F371" s="1">
        <v>4.1500000000000004</v>
      </c>
      <c r="G371" s="8">
        <f>F371*[369]Main!$C$4</f>
        <v>172.62901910000002</v>
      </c>
      <c r="H371" s="10">
        <f>G371-[369]Main!$C$7+[369]Main!$C$8</f>
        <v>156.53801910000001</v>
      </c>
      <c r="J371" s="1">
        <f>IF(ISNUMBER([369]Main!$C$11),[369]Main!$C$11,"")</f>
        <v>0.38682748907538678</v>
      </c>
      <c r="K371" s="11">
        <f t="shared" si="5"/>
        <v>-0.90678855684930437</v>
      </c>
      <c r="L371" s="12" t="str">
        <f>[369]Main!$C$15&amp;" ("&amp;[369]Main!$C$14&amp;")"</f>
        <v>Net cash (pre-revenue)</v>
      </c>
      <c r="M371" s="13">
        <v>46338</v>
      </c>
      <c r="N371" s="17" t="s">
        <v>190</v>
      </c>
    </row>
    <row r="372" spans="2:14" x14ac:dyDescent="0.2">
      <c r="B372" s="3" t="s">
        <v>806</v>
      </c>
      <c r="C372" t="s">
        <v>807</v>
      </c>
      <c r="D372" t="s">
        <v>22</v>
      </c>
      <c r="E372" s="6" t="s">
        <v>33</v>
      </c>
      <c r="F372" s="1">
        <v>3.19</v>
      </c>
      <c r="G372" s="8">
        <f>F372*[370]Main!$C$4</f>
        <v>181.85874190000001</v>
      </c>
      <c r="H372" s="10">
        <f>G372-[370]Main!$C$7+[370]Main!$C$8</f>
        <v>-8.1232580999999868</v>
      </c>
      <c r="J372" s="1">
        <f>IF(ISNUMBER([370]Main!$C$11),[370]Main!$C$11,"")</f>
        <v>3.3324907764579668</v>
      </c>
      <c r="K372" s="11">
        <f t="shared" si="5"/>
        <v>4.4667955002497539E-2</v>
      </c>
      <c r="L372" s="12" t="str">
        <f>[370]Main!$C$15&amp;" ("&amp;[370]Main!$C$14&amp;")"</f>
        <v>Net cash (pre-revenue)</v>
      </c>
      <c r="M372" s="13">
        <v>46331</v>
      </c>
      <c r="N372" s="17" t="s">
        <v>63</v>
      </c>
    </row>
    <row r="373" spans="2:14" x14ac:dyDescent="0.2">
      <c r="B373" s="3" t="s">
        <v>808</v>
      </c>
      <c r="C373" t="s">
        <v>809</v>
      </c>
      <c r="D373" t="s">
        <v>15</v>
      </c>
      <c r="E373" s="6" t="s">
        <v>33</v>
      </c>
      <c r="F373" s="1">
        <v>8.4600000000000009</v>
      </c>
      <c r="G373" s="8">
        <f>F373*[371]Main!$C$4</f>
        <v>195.41900358000001</v>
      </c>
      <c r="H373" s="10">
        <f>G373-[371]Main!$C$7+[371]Main!$C$8</f>
        <v>-41.131996420000007</v>
      </c>
      <c r="J373" s="1">
        <f>IF(ISNUMBER([371]Main!$C$11),[371]Main!$C$11,"")</f>
        <v>10.240669655143066</v>
      </c>
      <c r="K373" s="11">
        <f t="shared" si="5"/>
        <v>0.21048104670721801</v>
      </c>
      <c r="L373" s="12" t="str">
        <f>[371]Main!$C$15&amp;" ("&amp;[371]Main!$C$14&amp;")"</f>
        <v>Net cash (pre-revenue)</v>
      </c>
      <c r="M373" s="13">
        <v>46324</v>
      </c>
      <c r="N373" s="17" t="s">
        <v>214</v>
      </c>
    </row>
    <row r="374" spans="2:14" x14ac:dyDescent="0.2">
      <c r="B374" s="3" t="s">
        <v>810</v>
      </c>
      <c r="C374" t="s">
        <v>811</v>
      </c>
      <c r="D374" t="s">
        <v>22</v>
      </c>
      <c r="E374" s="6" t="s">
        <v>33</v>
      </c>
      <c r="F374" s="1">
        <v>6.56</v>
      </c>
      <c r="G374" s="8">
        <f>F374*[372]Main!$C$4</f>
        <v>181.06619423999999</v>
      </c>
      <c r="H374" s="10">
        <f>G374-[372]Main!$C$7+[372]Main!$C$8</f>
        <v>115.93819424</v>
      </c>
      <c r="J374" s="1">
        <f>IF(ISNUMBER([372]Main!$C$11),[372]Main!$C$11,"")</f>
        <v>2.3595772904670507</v>
      </c>
      <c r="K374" s="11">
        <f t="shared" si="5"/>
        <v>-0.64030833986782765</v>
      </c>
      <c r="L374" s="12" t="str">
        <f>[372]Main!$C$15&amp;" ("&amp;[372]Main!$C$14&amp;")"</f>
        <v>Net cash (small revenue)</v>
      </c>
      <c r="M374" s="13">
        <v>46328</v>
      </c>
      <c r="N374" s="17" t="s">
        <v>107</v>
      </c>
    </row>
    <row r="375" spans="2:14" x14ac:dyDescent="0.2">
      <c r="B375" s="3" t="s">
        <v>812</v>
      </c>
      <c r="C375" t="s">
        <v>813</v>
      </c>
      <c r="D375" t="s">
        <v>22</v>
      </c>
      <c r="E375" s="6" t="s">
        <v>33</v>
      </c>
      <c r="F375" s="1">
        <v>0.83330000000000004</v>
      </c>
      <c r="G375" s="8">
        <f>F375*[373]Main!$C$4</f>
        <v>150.06725956950001</v>
      </c>
      <c r="H375" s="10">
        <f>G375-[373]Main!$C$7+[373]Main!$C$8</f>
        <v>-29.811740430499981</v>
      </c>
      <c r="J375" s="1">
        <f>IF(ISNUMBER([373]Main!$C$11),[373]Main!$C$11,"")</f>
        <v>0.99883992770975205</v>
      </c>
      <c r="K375" s="11">
        <f t="shared" si="5"/>
        <v>0.19865585948608189</v>
      </c>
      <c r="L375" s="12" t="str">
        <f>[373]Main!$C$15&amp;" ("&amp;[373]Main!$C$14&amp;")"</f>
        <v>Net cash (pre-revenue)</v>
      </c>
      <c r="M375" s="13">
        <v>46330</v>
      </c>
      <c r="N375" s="17" t="s">
        <v>40</v>
      </c>
    </row>
    <row r="376" spans="2:14" x14ac:dyDescent="0.2">
      <c r="B376" s="3" t="s">
        <v>814</v>
      </c>
      <c r="C376" t="s">
        <v>815</v>
      </c>
      <c r="D376" t="s">
        <v>22</v>
      </c>
      <c r="E376" s="6" t="s">
        <v>33</v>
      </c>
      <c r="F376" s="1">
        <v>1</v>
      </c>
      <c r="G376" s="8">
        <f>F376*[374]Main!$C$4</f>
        <v>154.50096600000001</v>
      </c>
      <c r="H376" s="10">
        <f>G376-[374]Main!$C$7+[374]Main!$C$8</f>
        <v>49.194966000000008</v>
      </c>
      <c r="J376" s="1">
        <f>IF(ISNUMBER([374]Main!$C$11),[374]Main!$C$11,"")</f>
        <v>-1.2139637571779212</v>
      </c>
      <c r="K376" s="11">
        <f t="shared" si="5"/>
        <v>-2.2139637571779209</v>
      </c>
      <c r="L376" s="12" t="str">
        <f>[374]Main!$C$15&amp;" ("&amp;[374]Main!$C$14&amp;")"</f>
        <v>DCF (Base)</v>
      </c>
      <c r="M376" s="13">
        <v>46331</v>
      </c>
      <c r="N376" s="17" t="s">
        <v>63</v>
      </c>
    </row>
    <row r="377" spans="2:14" x14ac:dyDescent="0.2">
      <c r="B377" s="3" t="s">
        <v>816</v>
      </c>
      <c r="C377" t="s">
        <v>817</v>
      </c>
      <c r="D377" t="s">
        <v>22</v>
      </c>
      <c r="E377" s="6" t="s">
        <v>33</v>
      </c>
      <c r="F377" s="1">
        <v>1.38</v>
      </c>
      <c r="G377" s="8">
        <f>F377*[375]Main!$C$4</f>
        <v>145.39826832</v>
      </c>
      <c r="H377" s="10">
        <f>G377-[375]Main!$C$7+[375]Main!$C$8</f>
        <v>46.888168730735387</v>
      </c>
      <c r="J377" s="1">
        <f>IF(ISNUMBER([375]Main!$C$11),[375]Main!$C$11,"")</f>
        <v>0.93497631714562612</v>
      </c>
      <c r="K377" s="11">
        <f t="shared" si="5"/>
        <v>-0.32248092960461872</v>
      </c>
      <c r="L377" s="12" t="str">
        <f>[375]Main!$C$15&amp;" ("&amp;[375]Main!$C$14&amp;")"</f>
        <v>Net cash (small revenue)</v>
      </c>
      <c r="M377" s="13">
        <v>46331</v>
      </c>
      <c r="N377" s="17" t="s">
        <v>63</v>
      </c>
    </row>
    <row r="378" spans="2:14" x14ac:dyDescent="0.2">
      <c r="B378" s="3" t="s">
        <v>818</v>
      </c>
      <c r="C378" t="s">
        <v>819</v>
      </c>
      <c r="D378" t="s">
        <v>22</v>
      </c>
      <c r="E378" s="6" t="s">
        <v>33</v>
      </c>
      <c r="F378" s="1">
        <v>2.39</v>
      </c>
      <c r="G378" s="8">
        <f>F378*[376]Main!$C$4</f>
        <v>171.29587446000002</v>
      </c>
      <c r="H378" s="10">
        <f>G378-[376]Main!$C$7+[376]Main!$C$8</f>
        <v>-3.3121255399999825</v>
      </c>
      <c r="J378" s="1">
        <f>IF(ISNUMBER([376]Main!$C$11),[376]Main!$C$11,"")</f>
        <v>2.4362123216075964</v>
      </c>
      <c r="K378" s="11">
        <f t="shared" si="5"/>
        <v>1.9335699417404317E-2</v>
      </c>
      <c r="L378" s="12" t="str">
        <f>[376]Main!$C$15&amp;" ("&amp;[376]Main!$C$14&amp;")"</f>
        <v>Net cash (pre-revenue)</v>
      </c>
      <c r="M378" s="13">
        <v>46335</v>
      </c>
      <c r="N378" s="17" t="s">
        <v>87</v>
      </c>
    </row>
    <row r="379" spans="2:14" x14ac:dyDescent="0.2">
      <c r="B379" s="3" t="s">
        <v>820</v>
      </c>
      <c r="C379" t="s">
        <v>821</v>
      </c>
      <c r="D379" t="s">
        <v>15</v>
      </c>
      <c r="E379" s="6" t="s">
        <v>33</v>
      </c>
      <c r="F379" s="1">
        <v>12.1</v>
      </c>
      <c r="G379" s="8">
        <f>F379*[377]Main!$C$4</f>
        <v>155.30529079999999</v>
      </c>
      <c r="H379" s="10">
        <f>G379-[377]Main!$C$7+[377]Main!$C$8</f>
        <v>102.16529079999999</v>
      </c>
      <c r="J379" s="1">
        <f>IF(ISNUMBER([377]Main!$C$11),[377]Main!$C$11,"")</f>
        <v>4.1401937866240424</v>
      </c>
      <c r="K379" s="11">
        <f t="shared" si="5"/>
        <v>-0.65783522424594687</v>
      </c>
      <c r="L379" s="12" t="str">
        <f>[377]Main!$C$15&amp;" ("&amp;[377]Main!$C$14&amp;")"</f>
        <v>Net cash (small revenue)</v>
      </c>
      <c r="M379" s="13">
        <v>46345</v>
      </c>
      <c r="N379" s="17" t="s">
        <v>566</v>
      </c>
    </row>
    <row r="380" spans="2:14" x14ac:dyDescent="0.2">
      <c r="B380" s="3" t="s">
        <v>822</v>
      </c>
      <c r="C380" t="s">
        <v>823</v>
      </c>
      <c r="D380" t="s">
        <v>22</v>
      </c>
      <c r="E380" s="6" t="s">
        <v>33</v>
      </c>
      <c r="F380" s="1">
        <v>31.03</v>
      </c>
      <c r="G380" s="8">
        <f>F380*[378]Main!$C$4</f>
        <v>145.26232153000001</v>
      </c>
      <c r="H380" s="10">
        <f>G380-[378]Main!$C$7+[378]Main!$C$8</f>
        <v>143.87132153000002</v>
      </c>
      <c r="J380" s="1">
        <f>IF(ISNUMBER([378]Main!$C$11),[378]Main!$C$11,"")</f>
        <v>0.29713644629509728</v>
      </c>
      <c r="K380" s="11">
        <f t="shared" si="5"/>
        <v>-0.99042422022896881</v>
      </c>
      <c r="L380" s="12" t="str">
        <f>[378]Main!$C$15&amp;" ("&amp;[378]Main!$C$14&amp;")"</f>
        <v>Net cash (pre-revenue)</v>
      </c>
      <c r="M380" s="13">
        <v>46337</v>
      </c>
      <c r="N380" s="17" t="s">
        <v>104</v>
      </c>
    </row>
    <row r="381" spans="2:14" x14ac:dyDescent="0.2">
      <c r="B381" s="3" t="s">
        <v>824</v>
      </c>
      <c r="C381" t="s">
        <v>825</v>
      </c>
      <c r="D381" t="s">
        <v>22</v>
      </c>
      <c r="E381" s="6" t="s">
        <v>33</v>
      </c>
      <c r="F381" s="1">
        <v>2.82</v>
      </c>
      <c r="G381" s="8">
        <f>F381*[379]Main!$C$4</f>
        <v>154.45433561999999</v>
      </c>
      <c r="H381" s="10">
        <f>G381-[379]Main!$C$7+[379]Main!$C$8</f>
        <v>-106.85266438000002</v>
      </c>
      <c r="J381" s="1">
        <f>IF(ISNUMBER([379]Main!$C$11),[379]Main!$C$11,"")</f>
        <v>4.7708970877511723</v>
      </c>
      <c r="K381" s="11">
        <f t="shared" si="5"/>
        <v>0.69180747792594777</v>
      </c>
      <c r="L381" s="12" t="str">
        <f>[379]Main!$C$15&amp;" ("&amp;[379]Main!$C$14&amp;")"</f>
        <v>Net cash (pre-revenue)</v>
      </c>
      <c r="M381" s="13">
        <v>46330</v>
      </c>
      <c r="N381" s="17" t="s">
        <v>40</v>
      </c>
    </row>
    <row r="382" spans="2:14" x14ac:dyDescent="0.2">
      <c r="B382" s="3" t="s">
        <v>826</v>
      </c>
      <c r="C382" t="s">
        <v>827</v>
      </c>
      <c r="D382" t="s">
        <v>22</v>
      </c>
      <c r="E382" s="6" t="s">
        <v>33</v>
      </c>
      <c r="F382" s="1">
        <v>1.86</v>
      </c>
      <c r="G382" s="8">
        <f>F382*[380]Main!$C$4</f>
        <v>141.41146061999999</v>
      </c>
      <c r="H382" s="10">
        <f>G382-[380]Main!$C$7+[380]Main!$C$8</f>
        <v>157.69546061999998</v>
      </c>
      <c r="J382" s="1">
        <f>IF(ISNUMBER([380]Main!$C$11),[380]Main!$C$11,"")</f>
        <v>-0.21418518603234268</v>
      </c>
      <c r="K382" s="11">
        <f t="shared" si="5"/>
        <v>-1.1151533258238402</v>
      </c>
      <c r="L382" s="12" t="str">
        <f>[380]Main!$C$15&amp;" ("&amp;[380]Main!$C$14&amp;")"</f>
        <v>Net cash (pre-revenue)</v>
      </c>
      <c r="M382" s="13"/>
      <c r="N382" s="17"/>
    </row>
    <row r="383" spans="2:14" x14ac:dyDescent="0.2">
      <c r="B383" s="3" t="s">
        <v>828</v>
      </c>
      <c r="C383" t="s">
        <v>829</v>
      </c>
      <c r="D383" t="s">
        <v>22</v>
      </c>
      <c r="E383" s="6" t="s">
        <v>33</v>
      </c>
      <c r="F383" s="1">
        <v>1.84</v>
      </c>
      <c r="G383" s="8">
        <f>F383*[381]Main!$C$4</f>
        <v>153.47081200000002</v>
      </c>
      <c r="H383" s="10">
        <f>G383-[381]Main!$C$7+[381]Main!$C$8</f>
        <v>120.47481200000001</v>
      </c>
      <c r="J383" s="1">
        <f>IF(ISNUMBER([381]Main!$C$11),[381]Main!$C$11,"")</f>
        <v>0.39559730745413663</v>
      </c>
      <c r="K383" s="11">
        <f t="shared" si="5"/>
        <v>-0.7850014633401432</v>
      </c>
      <c r="L383" s="12" t="str">
        <f>[381]Main!$C$15&amp;" ("&amp;[381]Main!$C$14&amp;")"</f>
        <v>Net cash (small revenue)</v>
      </c>
      <c r="M383" s="13">
        <v>46328</v>
      </c>
      <c r="N383" s="17" t="s">
        <v>107</v>
      </c>
    </row>
    <row r="384" spans="2:14" x14ac:dyDescent="0.2">
      <c r="B384" s="3" t="s">
        <v>830</v>
      </c>
      <c r="C384" t="s">
        <v>831</v>
      </c>
      <c r="D384" t="s">
        <v>22</v>
      </c>
      <c r="E384" s="6" t="s">
        <v>33</v>
      </c>
      <c r="F384" s="1">
        <v>1.73</v>
      </c>
      <c r="G384" s="8">
        <f>F384*[382]Main!$C$4</f>
        <v>137.84875452999998</v>
      </c>
      <c r="H384" s="10">
        <f>G384-[382]Main!$C$7+[382]Main!$C$8</f>
        <v>100.60718652999998</v>
      </c>
      <c r="J384" s="1">
        <f>IF(ISNUMBER([382]Main!$C$11),[382]Main!$C$11,"")</f>
        <v>0.46738117337127316</v>
      </c>
      <c r="K384" s="11">
        <f t="shared" si="5"/>
        <v>-0.72983747203972649</v>
      </c>
      <c r="L384" s="12" t="str">
        <f>[382]Main!$C$15&amp;" ("&amp;[382]Main!$C$14&amp;")"</f>
        <v>Net cash (pre-revenue)</v>
      </c>
      <c r="M384" s="13">
        <v>46337</v>
      </c>
      <c r="N384" s="17" t="s">
        <v>104</v>
      </c>
    </row>
    <row r="385" spans="2:14" x14ac:dyDescent="0.2">
      <c r="B385" s="3" t="s">
        <v>832</v>
      </c>
      <c r="C385" t="s">
        <v>833</v>
      </c>
      <c r="D385" t="s">
        <v>22</v>
      </c>
      <c r="E385" s="6" t="s">
        <v>33</v>
      </c>
      <c r="F385" s="1">
        <v>1.1399999999999999</v>
      </c>
      <c r="G385" s="8">
        <f>F385*[383]Main!$C$4</f>
        <v>157.63577657999997</v>
      </c>
      <c r="H385" s="10">
        <f>G385-[383]Main!$C$7+[383]Main!$C$8</f>
        <v>29.111776579999955</v>
      </c>
      <c r="J385" s="1">
        <f>IF(ISNUMBER([383]Main!$C$11),[383]Main!$C$11,"")</f>
        <v>0.92946768290028747</v>
      </c>
      <c r="K385" s="11">
        <f t="shared" si="5"/>
        <v>-0.18467747114009869</v>
      </c>
      <c r="L385" s="12" t="str">
        <f>[383]Main!$C$15&amp;" ("&amp;[383]Main!$C$14&amp;")"</f>
        <v>Net cash (pre-revenue)</v>
      </c>
      <c r="M385" s="13">
        <v>46332</v>
      </c>
      <c r="N385" s="17" t="s">
        <v>361</v>
      </c>
    </row>
    <row r="386" spans="2:14" x14ac:dyDescent="0.2">
      <c r="B386" s="3" t="s">
        <v>834</v>
      </c>
      <c r="C386" t="s">
        <v>835</v>
      </c>
      <c r="D386" t="s">
        <v>22</v>
      </c>
      <c r="E386" s="6" t="s">
        <v>33</v>
      </c>
      <c r="F386" s="1">
        <v>1.425</v>
      </c>
      <c r="G386" s="8">
        <f>F386*[384]Main!$C$4</f>
        <v>164.41891072826087</v>
      </c>
      <c r="H386" s="10">
        <f>G386-[384]Main!$C$7+[384]Main!$C$8</f>
        <v>-46.423089271739144</v>
      </c>
      <c r="J386" s="1">
        <f>IF(ISNUMBER([384]Main!$C$11),[384]Main!$C$11,"")</f>
        <v>1.8273436350430565</v>
      </c>
      <c r="K386" s="11">
        <f t="shared" si="5"/>
        <v>0.28234641055653076</v>
      </c>
      <c r="L386" s="12" t="str">
        <f>[384]Main!$C$15&amp;" ("&amp;[384]Main!$C$14&amp;")"</f>
        <v>Net cash (pre-revenue)</v>
      </c>
      <c r="M386" s="13"/>
      <c r="N386" s="17"/>
    </row>
    <row r="387" spans="2:14" x14ac:dyDescent="0.2">
      <c r="B387" s="3" t="s">
        <v>836</v>
      </c>
      <c r="C387" t="s">
        <v>837</v>
      </c>
      <c r="D387" t="s">
        <v>15</v>
      </c>
      <c r="E387" s="6" t="s">
        <v>33</v>
      </c>
      <c r="F387" s="1">
        <v>4.92</v>
      </c>
      <c r="G387" s="8">
        <f>F387*[385]Main!$C$4</f>
        <v>154.31487504</v>
      </c>
      <c r="H387" s="10">
        <f>G387-[385]Main!$C$7+[385]Main!$C$8</f>
        <v>151.37641203999999</v>
      </c>
      <c r="J387" s="1">
        <f>IF(ISNUMBER([385]Main!$C$11),[385]Main!$C$11,"")</f>
        <v>9.3686612883252737E-2</v>
      </c>
      <c r="K387" s="11">
        <f t="shared" ref="K387:K450" si="6">IFERROR(J387/F387-1,"")</f>
        <v>-0.980958005511534</v>
      </c>
      <c r="L387" s="12" t="str">
        <f>[385]Main!$C$15&amp;" ("&amp;[385]Main!$C$14&amp;")"</f>
        <v>Net cash (pre-revenue)</v>
      </c>
      <c r="M387" s="13">
        <v>46339</v>
      </c>
      <c r="N387" s="17" t="s">
        <v>156</v>
      </c>
    </row>
    <row r="388" spans="2:14" x14ac:dyDescent="0.2">
      <c r="B388" s="3" t="s">
        <v>838</v>
      </c>
      <c r="C388" t="s">
        <v>839</v>
      </c>
      <c r="D388" t="s">
        <v>22</v>
      </c>
      <c r="E388" s="6" t="s">
        <v>33</v>
      </c>
      <c r="F388" s="1">
        <v>3.7</v>
      </c>
      <c r="G388" s="8">
        <f>F388*[386]Main!$C$4</f>
        <v>149.38617170000001</v>
      </c>
      <c r="H388" s="10">
        <f>G388-[386]Main!$C$7+[386]Main!$C$8</f>
        <v>36.446223158808678</v>
      </c>
      <c r="J388" s="1">
        <f>IF(ISNUMBER([386]Main!$C$11),[386]Main!$C$11,"")</f>
        <v>2.7972991398534375</v>
      </c>
      <c r="K388" s="11">
        <f t="shared" si="6"/>
        <v>-0.24397320544501688</v>
      </c>
      <c r="L388" s="12" t="str">
        <f>[386]Main!$C$15&amp;" ("&amp;[386]Main!$C$14&amp;")"</f>
        <v>Net cash (pre-revenue)</v>
      </c>
      <c r="M388" s="13">
        <v>46324</v>
      </c>
      <c r="N388" s="17" t="s">
        <v>17</v>
      </c>
    </row>
    <row r="389" spans="2:14" x14ac:dyDescent="0.2">
      <c r="B389" s="3" t="s">
        <v>840</v>
      </c>
      <c r="C389" t="s">
        <v>841</v>
      </c>
      <c r="D389" t="s">
        <v>15</v>
      </c>
      <c r="E389" s="6" t="s">
        <v>33</v>
      </c>
      <c r="F389" s="1">
        <v>5.22</v>
      </c>
      <c r="G389" s="8">
        <f>F389*[387]Main!$C$4</f>
        <v>147.33134190000001</v>
      </c>
      <c r="H389" s="10">
        <f>G389-[387]Main!$C$7+[387]Main!$C$8</f>
        <v>147.16034190000002</v>
      </c>
      <c r="J389" s="1">
        <f>IF(ISNUMBER([387]Main!$C$11),[387]Main!$C$11,"")</f>
        <v>3.1821767884484249</v>
      </c>
      <c r="K389" s="11">
        <f t="shared" si="6"/>
        <v>-0.390387588419842</v>
      </c>
      <c r="L389" s="12" t="str">
        <f>[387]Main!$C$15&amp;" ("&amp;[387]Main!$C$14&amp;")"</f>
        <v>DCF (Base)</v>
      </c>
      <c r="M389" s="13">
        <v>46337</v>
      </c>
      <c r="N389" s="17" t="s">
        <v>104</v>
      </c>
    </row>
    <row r="390" spans="2:14" x14ac:dyDescent="0.2">
      <c r="B390" s="3" t="s">
        <v>842</v>
      </c>
      <c r="C390" t="s">
        <v>843</v>
      </c>
      <c r="D390" t="s">
        <v>22</v>
      </c>
      <c r="E390" s="6" t="s">
        <v>33</v>
      </c>
      <c r="F390" s="1">
        <v>1.5780000000000001</v>
      </c>
      <c r="G390" s="8">
        <f>F390*[388]Main!$C$4</f>
        <v>147.889091694</v>
      </c>
      <c r="H390" s="10">
        <f>G390-[388]Main!$C$7+[388]Main!$C$8</f>
        <v>109.27996549133303</v>
      </c>
      <c r="J390" s="1">
        <f>IF(ISNUMBER([388]Main!$C$11),[388]Main!$C$11,"")</f>
        <v>0.41196548338987643</v>
      </c>
      <c r="K390" s="11">
        <f t="shared" si="6"/>
        <v>-0.7389318863182025</v>
      </c>
      <c r="L390" s="12" t="str">
        <f>[388]Main!$C$15&amp;" ("&amp;[388]Main!$C$14&amp;")"</f>
        <v>Net cash (small revenue)</v>
      </c>
      <c r="M390" s="13"/>
      <c r="N390" s="17"/>
    </row>
    <row r="391" spans="2:14" x14ac:dyDescent="0.2">
      <c r="B391" s="3" t="s">
        <v>844</v>
      </c>
      <c r="C391" t="s">
        <v>845</v>
      </c>
      <c r="D391" t="s">
        <v>22</v>
      </c>
      <c r="E391" s="6" t="s">
        <v>33</v>
      </c>
      <c r="F391" s="1">
        <v>2.56</v>
      </c>
      <c r="G391" s="8">
        <f>F391*[389]Main!$C$4</f>
        <v>151.28444928000002</v>
      </c>
      <c r="H391" s="10">
        <f>G391-[389]Main!$C$7+[389]Main!$C$8</f>
        <v>8.7904492800000185</v>
      </c>
      <c r="J391" s="1">
        <f>IF(ISNUMBER([389]Main!$C$11),[389]Main!$C$11,"")</f>
        <v>2.4112500771632512</v>
      </c>
      <c r="K391" s="11">
        <f t="shared" si="6"/>
        <v>-5.810543860810502E-2</v>
      </c>
      <c r="L391" s="12" t="str">
        <f>[389]Main!$C$15&amp;" ("&amp;[389]Main!$C$14&amp;")"</f>
        <v>Net cash (pre-revenue)</v>
      </c>
      <c r="M391" s="13">
        <v>46335</v>
      </c>
      <c r="N391" s="17" t="s">
        <v>87</v>
      </c>
    </row>
    <row r="392" spans="2:14" x14ac:dyDescent="0.2">
      <c r="B392" s="3" t="s">
        <v>846</v>
      </c>
      <c r="C392" t="s">
        <v>847</v>
      </c>
      <c r="D392" t="s">
        <v>22</v>
      </c>
      <c r="E392" s="6" t="s">
        <v>33</v>
      </c>
      <c r="F392" s="1">
        <v>7.98</v>
      </c>
      <c r="G392" s="8">
        <f>F392*[390]Main!$C$4</f>
        <v>136.50303114000002</v>
      </c>
      <c r="H392" s="10">
        <f>G392-[390]Main!$C$7+[390]Main!$C$8</f>
        <v>-127.39696885999996</v>
      </c>
      <c r="J392" s="1">
        <f>IF(ISNUMBER([390]Main!$C$11),[390]Main!$C$11,"")</f>
        <v>15.427657411066042</v>
      </c>
      <c r="K392" s="11">
        <f t="shared" si="6"/>
        <v>0.93329040238922811</v>
      </c>
      <c r="L392" s="12" t="str">
        <f>[390]Main!$C$15&amp;" ("&amp;[390]Main!$C$14&amp;")"</f>
        <v>Net cash (pre-revenue)</v>
      </c>
      <c r="M392" s="13">
        <v>46338</v>
      </c>
      <c r="N392" s="17" t="s">
        <v>190</v>
      </c>
    </row>
    <row r="393" spans="2:14" x14ac:dyDescent="0.2">
      <c r="B393" s="3" t="s">
        <v>848</v>
      </c>
      <c r="C393" t="s">
        <v>849</v>
      </c>
      <c r="D393" t="s">
        <v>22</v>
      </c>
      <c r="E393" s="6" t="s">
        <v>33</v>
      </c>
      <c r="F393" s="1">
        <v>1.74</v>
      </c>
      <c r="G393" s="8">
        <f>F393*[391]Main!$C$4</f>
        <v>124.62713634000001</v>
      </c>
      <c r="H393" s="10">
        <f>G393-[391]Main!$C$7+[391]Main!$C$8</f>
        <v>-58.136863660000003</v>
      </c>
      <c r="J393" s="1">
        <f>IF(ISNUMBER([391]Main!$C$11),[391]Main!$C$11,"")</f>
        <v>2.5516863288299159</v>
      </c>
      <c r="K393" s="11">
        <f t="shared" si="6"/>
        <v>0.46648639587926199</v>
      </c>
      <c r="L393" s="12" t="str">
        <f>[391]Main!$C$15&amp;" ("&amp;[391]Main!$C$14&amp;")"</f>
        <v>Net cash (pre-revenue)</v>
      </c>
      <c r="M393" s="13">
        <v>46335</v>
      </c>
      <c r="N393" s="17" t="s">
        <v>87</v>
      </c>
    </row>
    <row r="394" spans="2:14" x14ac:dyDescent="0.2">
      <c r="B394" s="3" t="s">
        <v>850</v>
      </c>
      <c r="C394" t="s">
        <v>851</v>
      </c>
      <c r="D394" t="s">
        <v>22</v>
      </c>
      <c r="E394" s="6" t="s">
        <v>33</v>
      </c>
      <c r="F394" s="1">
        <v>1.02</v>
      </c>
      <c r="G394" s="8">
        <f>F394*[392]Main!$C$4</f>
        <v>131.24803896</v>
      </c>
      <c r="H394" s="10">
        <f>G394-[392]Main!$C$7+[392]Main!$C$8</f>
        <v>85.151038959999994</v>
      </c>
      <c r="J394" s="1">
        <f>IF(ISNUMBER([392]Main!$C$11),[392]Main!$C$11,"")</f>
        <v>2.9260792274211269</v>
      </c>
      <c r="K394" s="11">
        <f t="shared" si="6"/>
        <v>1.8687051249226734</v>
      </c>
      <c r="L394" s="12" t="str">
        <f>[392]Main!$C$15&amp;" ("&amp;[392]Main!$C$14&amp;")"</f>
        <v>DCF (Base)</v>
      </c>
      <c r="M394" s="13">
        <v>46331</v>
      </c>
      <c r="N394" s="17" t="s">
        <v>852</v>
      </c>
    </row>
    <row r="395" spans="2:14" x14ac:dyDescent="0.2">
      <c r="B395" s="3" t="s">
        <v>853</v>
      </c>
      <c r="C395" t="s">
        <v>854</v>
      </c>
      <c r="D395" t="s">
        <v>15</v>
      </c>
      <c r="E395" s="6" t="s">
        <v>33</v>
      </c>
      <c r="F395" s="1">
        <v>3.56</v>
      </c>
      <c r="G395" s="8">
        <f>F395*[393]Main!$C$4</f>
        <v>134.34100372</v>
      </c>
      <c r="H395" s="10">
        <f>G395-[393]Main!$C$7+[393]Main!$C$8</f>
        <v>55.954003720000003</v>
      </c>
      <c r="J395" s="1">
        <f>IF(ISNUMBER([393]Main!$C$11),[393]Main!$C$11,"")</f>
        <v>2.0772341449943723</v>
      </c>
      <c r="K395" s="11">
        <f t="shared" si="6"/>
        <v>-0.41650726264203031</v>
      </c>
      <c r="L395" s="12" t="str">
        <f>[393]Main!$C$15&amp;" ("&amp;[393]Main!$C$14&amp;")"</f>
        <v>Net cash (pre-revenue)</v>
      </c>
      <c r="M395" s="13">
        <v>46337</v>
      </c>
      <c r="N395" s="17" t="s">
        <v>104</v>
      </c>
    </row>
    <row r="396" spans="2:14" x14ac:dyDescent="0.2">
      <c r="B396" s="3" t="s">
        <v>855</v>
      </c>
      <c r="C396" t="s">
        <v>856</v>
      </c>
      <c r="D396" t="s">
        <v>15</v>
      </c>
      <c r="E396" s="6" t="s">
        <v>33</v>
      </c>
      <c r="F396" s="1">
        <v>1.54</v>
      </c>
      <c r="G396" s="8">
        <f>F396*[394]Main!$C$4</f>
        <v>122.65985578000002</v>
      </c>
      <c r="H396" s="10">
        <f>G396-[394]Main!$C$7+[394]Main!$C$8</f>
        <v>107.07479822756727</v>
      </c>
      <c r="J396" s="1">
        <f>IF(ISNUMBER([394]Main!$C$11),[394]Main!$C$11,"")</f>
        <v>0.19567109775340072</v>
      </c>
      <c r="K396" s="11">
        <f t="shared" si="6"/>
        <v>-0.87294084561467489</v>
      </c>
      <c r="L396" s="12" t="str">
        <f>[394]Main!$C$15&amp;" ("&amp;[394]Main!$C$14&amp;")"</f>
        <v>Net cash (pre-revenue)</v>
      </c>
      <c r="M396" s="13">
        <v>46338</v>
      </c>
      <c r="N396" s="17" t="s">
        <v>190</v>
      </c>
    </row>
    <row r="397" spans="2:14" x14ac:dyDescent="0.2">
      <c r="B397" s="3" t="s">
        <v>857</v>
      </c>
      <c r="C397" t="s">
        <v>858</v>
      </c>
      <c r="D397" t="s">
        <v>22</v>
      </c>
      <c r="E397" s="6" t="s">
        <v>16</v>
      </c>
      <c r="F397" s="1">
        <v>3.18</v>
      </c>
      <c r="G397" s="8">
        <f>F397*[395]Main!$C$4</f>
        <v>118.23869322</v>
      </c>
      <c r="H397" s="10">
        <f>G397-[395]Main!$C$7+[395]Main!$C$8</f>
        <v>300.21469322000002</v>
      </c>
      <c r="J397" s="1">
        <f>IF(ISNUMBER([395]Main!$C$11),[395]Main!$C$11,"")</f>
        <v>-4.8941988805921275</v>
      </c>
      <c r="K397" s="11">
        <f t="shared" si="6"/>
        <v>-2.5390562517585309</v>
      </c>
      <c r="L397" s="12" t="str">
        <f>[395]Main!$C$15&amp;" ("&amp;[395]Main!$C$14&amp;")"</f>
        <v>Net cash (pre-revenue)</v>
      </c>
      <c r="M397" s="13">
        <v>46337</v>
      </c>
      <c r="N397" s="17" t="s">
        <v>104</v>
      </c>
    </row>
    <row r="398" spans="2:14" x14ac:dyDescent="0.2">
      <c r="B398" s="3" t="s">
        <v>859</v>
      </c>
      <c r="C398" t="s">
        <v>860</v>
      </c>
      <c r="D398" t="s">
        <v>22</v>
      </c>
      <c r="E398" s="6" t="s">
        <v>33</v>
      </c>
      <c r="F398" s="1">
        <v>9.44</v>
      </c>
      <c r="G398" s="8">
        <f>F398*[396]Main!$C$4</f>
        <v>139.01009823999999</v>
      </c>
      <c r="H398" s="10">
        <f>G398-[396]Main!$C$7+[396]Main!$C$8</f>
        <v>23.974098239999989</v>
      </c>
      <c r="J398" s="1">
        <f>IF(ISNUMBER([396]Main!$C$11),[396]Main!$C$11,"")</f>
        <v>7.8119493025976592</v>
      </c>
      <c r="K398" s="11">
        <f t="shared" si="6"/>
        <v>-0.17246299760618011</v>
      </c>
      <c r="L398" s="12" t="str">
        <f>[396]Main!$C$15&amp;" ("&amp;[396]Main!$C$14&amp;")"</f>
        <v>Net cash (pre-revenue)</v>
      </c>
      <c r="M398" s="13">
        <v>46337</v>
      </c>
      <c r="N398" s="17" t="s">
        <v>104</v>
      </c>
    </row>
    <row r="399" spans="2:14" x14ac:dyDescent="0.2">
      <c r="B399" s="3" t="s">
        <v>861</v>
      </c>
      <c r="C399" t="s">
        <v>862</v>
      </c>
      <c r="D399" t="s">
        <v>22</v>
      </c>
      <c r="E399" s="6" t="s">
        <v>33</v>
      </c>
      <c r="F399" s="1">
        <v>2.0150000000000001</v>
      </c>
      <c r="G399" s="8">
        <f>F399*[397]Main!$C$4</f>
        <v>145.71932927500001</v>
      </c>
      <c r="H399" s="10">
        <f>G399-[397]Main!$C$7+[397]Main!$C$8</f>
        <v>67.091329275000007</v>
      </c>
      <c r="J399" s="1">
        <f>IF(ISNUMBER([397]Main!$C$11),[397]Main!$C$11,"")</f>
        <v>1.0872642688397387</v>
      </c>
      <c r="K399" s="11">
        <f t="shared" si="6"/>
        <v>-0.46041475491824391</v>
      </c>
      <c r="L399" s="12" t="str">
        <f>[397]Main!$C$15&amp;" ("&amp;[397]Main!$C$14&amp;")"</f>
        <v>Net cash (pre-revenue)</v>
      </c>
      <c r="M399" s="13">
        <v>46337</v>
      </c>
      <c r="N399" s="17" t="s">
        <v>104</v>
      </c>
    </row>
    <row r="400" spans="2:14" x14ac:dyDescent="0.2">
      <c r="B400" s="3" t="s">
        <v>863</v>
      </c>
      <c r="C400" t="s">
        <v>864</v>
      </c>
      <c r="D400" t="s">
        <v>22</v>
      </c>
      <c r="E400" s="6" t="s">
        <v>33</v>
      </c>
      <c r="F400" s="1">
        <v>1.36</v>
      </c>
      <c r="G400" s="8">
        <f>F400*[398]Main!$C$4</f>
        <v>126.06770512000001</v>
      </c>
      <c r="H400" s="10">
        <f>G400-[398]Main!$C$7+[398]Main!$C$8</f>
        <v>7.7417051200000202</v>
      </c>
      <c r="J400" s="1">
        <f>IF(ISNUMBER([398]Main!$C$11),[398]Main!$C$11,"")</f>
        <v>1.2764836152670658</v>
      </c>
      <c r="K400" s="11">
        <f t="shared" si="6"/>
        <v>-6.1409106421275284E-2</v>
      </c>
      <c r="L400" s="12" t="str">
        <f>[398]Main!$C$15&amp;" ("&amp;[398]Main!$C$14&amp;")"</f>
        <v>Net cash (pre-revenue)</v>
      </c>
      <c r="M400" s="13">
        <v>46350</v>
      </c>
      <c r="N400" s="17" t="s">
        <v>161</v>
      </c>
    </row>
    <row r="401" spans="2:14" x14ac:dyDescent="0.2">
      <c r="B401" s="3" t="s">
        <v>865</v>
      </c>
      <c r="C401" t="s">
        <v>866</v>
      </c>
      <c r="D401" t="s">
        <v>22</v>
      </c>
      <c r="E401" s="6" t="s">
        <v>33</v>
      </c>
      <c r="F401" s="1">
        <v>17.04</v>
      </c>
      <c r="G401" s="8">
        <f>F401*[399]Main!$C$4</f>
        <v>123.78561456</v>
      </c>
      <c r="H401" s="10">
        <f>G401-[399]Main!$C$7+[399]Main!$C$8</f>
        <v>106.39361456</v>
      </c>
      <c r="J401" s="1">
        <f>IF(ISNUMBER([399]Main!$C$11),[399]Main!$C$11,"")</f>
        <v>2.3941366777829565</v>
      </c>
      <c r="K401" s="11">
        <f t="shared" si="6"/>
        <v>-0.85949902125686872</v>
      </c>
      <c r="L401" s="12" t="str">
        <f>[399]Main!$C$15&amp;" ("&amp;[399]Main!$C$14&amp;")"</f>
        <v>Net cash (small revenue)</v>
      </c>
      <c r="M401" s="13">
        <v>46337</v>
      </c>
      <c r="N401" s="17" t="s">
        <v>104</v>
      </c>
    </row>
    <row r="402" spans="2:14" x14ac:dyDescent="0.2">
      <c r="B402" s="3" t="s">
        <v>867</v>
      </c>
      <c r="C402" t="s">
        <v>868</v>
      </c>
      <c r="D402" t="s">
        <v>22</v>
      </c>
      <c r="E402" s="6" t="s">
        <v>33</v>
      </c>
      <c r="F402" s="1">
        <v>0.40600000000000003</v>
      </c>
      <c r="G402" s="8">
        <f>F402*[400]Main!$C$4</f>
        <v>112.78603063000001</v>
      </c>
      <c r="H402" s="10">
        <f>G402-[400]Main!$C$7+[400]Main!$C$8</f>
        <v>69.207030630000006</v>
      </c>
      <c r="J402" s="1">
        <f>IF(ISNUMBER([400]Main!$C$11),[400]Main!$C$11,"")</f>
        <v>0.15687292035343439</v>
      </c>
      <c r="K402" s="11">
        <f t="shared" si="6"/>
        <v>-0.61361349666641773</v>
      </c>
      <c r="L402" s="12" t="str">
        <f>[400]Main!$C$15&amp;" ("&amp;[400]Main!$C$14&amp;")"</f>
        <v>Net cash (pre-revenue)</v>
      </c>
      <c r="M402" s="13">
        <v>46337</v>
      </c>
      <c r="N402" s="17" t="s">
        <v>104</v>
      </c>
    </row>
    <row r="403" spans="2:14" x14ac:dyDescent="0.2">
      <c r="B403" s="3" t="s">
        <v>869</v>
      </c>
      <c r="C403" t="s">
        <v>870</v>
      </c>
      <c r="D403" t="s">
        <v>22</v>
      </c>
      <c r="E403" s="6" t="s">
        <v>33</v>
      </c>
      <c r="F403" s="1">
        <v>0.52</v>
      </c>
      <c r="G403" s="8">
        <f>F403*[401]Main!$C$4</f>
        <v>126.59272808</v>
      </c>
      <c r="H403" s="10">
        <f>G403-[401]Main!$C$7+[401]Main!$C$8</f>
        <v>115.35066008</v>
      </c>
      <c r="J403" s="1">
        <f>IF(ISNUMBER([401]Main!$C$11),[401]Main!$C$11,"")</f>
        <v>4.6178603215705341E-2</v>
      </c>
      <c r="K403" s="11">
        <f t="shared" si="6"/>
        <v>-0.91119499381595126</v>
      </c>
      <c r="L403" s="12" t="str">
        <f>[401]Main!$C$15&amp;" ("&amp;[401]Main!$C$14&amp;")"</f>
        <v>Net cash (pre-revenue)</v>
      </c>
      <c r="M403" s="13"/>
      <c r="N403" s="17"/>
    </row>
    <row r="404" spans="2:14" x14ac:dyDescent="0.2">
      <c r="B404" s="3" t="s">
        <v>871</v>
      </c>
      <c r="C404" t="s">
        <v>872</v>
      </c>
      <c r="D404" t="s">
        <v>22</v>
      </c>
      <c r="E404" s="6" t="s">
        <v>33</v>
      </c>
      <c r="F404" s="1">
        <v>2.19</v>
      </c>
      <c r="G404" s="8">
        <f>F404*[402]Main!$C$4</f>
        <v>134.94330611999999</v>
      </c>
      <c r="H404" s="10">
        <f>G404-[402]Main!$C$7+[402]Main!$C$8</f>
        <v>-13.856693880000023</v>
      </c>
      <c r="J404" s="1">
        <f>IF(ISNUMBER([402]Main!$C$11),[402]Main!$C$11,"")</f>
        <v>2.4148808071310652</v>
      </c>
      <c r="K404" s="11">
        <f t="shared" si="6"/>
        <v>0.10268530005984711</v>
      </c>
      <c r="L404" s="12" t="str">
        <f>[402]Main!$C$15&amp;" ("&amp;[402]Main!$C$14&amp;")"</f>
        <v>Net cash (small revenue)</v>
      </c>
      <c r="M404" s="13">
        <v>46335</v>
      </c>
      <c r="N404" s="17" t="s">
        <v>87</v>
      </c>
    </row>
    <row r="405" spans="2:14" x14ac:dyDescent="0.2">
      <c r="B405" s="3" t="s">
        <v>873</v>
      </c>
      <c r="C405" t="s">
        <v>874</v>
      </c>
      <c r="D405" t="s">
        <v>22</v>
      </c>
      <c r="E405" s="6" t="s">
        <v>33</v>
      </c>
      <c r="F405" s="1">
        <v>41.23</v>
      </c>
      <c r="G405" s="8">
        <f>F405*[403]Main!$C$4</f>
        <v>118.49555599</v>
      </c>
      <c r="H405" s="10">
        <f>G405-[403]Main!$C$7+[403]Main!$C$8</f>
        <v>29.291555989999999</v>
      </c>
      <c r="J405" s="1">
        <f>IF(ISNUMBER([403]Main!$C$11),[403]Main!$C$11,"")</f>
        <v>31.038133787147103</v>
      </c>
      <c r="K405" s="11">
        <f t="shared" si="6"/>
        <v>-0.24719539686764236</v>
      </c>
      <c r="L405" s="12" t="str">
        <f>[403]Main!$C$15&amp;" ("&amp;[403]Main!$C$14&amp;")"</f>
        <v>Net cash (pre-revenue)</v>
      </c>
      <c r="M405" s="13">
        <v>46335</v>
      </c>
      <c r="N405" s="17" t="s">
        <v>87</v>
      </c>
    </row>
    <row r="406" spans="2:14" x14ac:dyDescent="0.2">
      <c r="B406" s="3" t="s">
        <v>875</v>
      </c>
      <c r="C406" t="s">
        <v>876</v>
      </c>
      <c r="D406" t="s">
        <v>15</v>
      </c>
      <c r="E406" s="6" t="s">
        <v>33</v>
      </c>
      <c r="F406" s="1">
        <v>2.62</v>
      </c>
      <c r="G406" s="8">
        <f>F406*[404]Main!$C$4</f>
        <v>113.43490953999999</v>
      </c>
      <c r="H406" s="10">
        <f>G406-[404]Main!$C$7+[404]Main!$C$8</f>
        <v>87.160909540000006</v>
      </c>
      <c r="J406" s="1">
        <f>IF(ISNUMBER([404]Main!$C$11),[404]Main!$C$11,"")</f>
        <v>0.60684916379931553</v>
      </c>
      <c r="K406" s="11">
        <f t="shared" si="6"/>
        <v>-0.76837818175598649</v>
      </c>
      <c r="L406" s="12" t="str">
        <f>[404]Main!$C$15&amp;" ("&amp;[404]Main!$C$14&amp;")"</f>
        <v>Net cash (pre-revenue)</v>
      </c>
      <c r="M406" s="13">
        <v>46339</v>
      </c>
      <c r="N406" s="17" t="s">
        <v>156</v>
      </c>
    </row>
    <row r="407" spans="2:14" x14ac:dyDescent="0.2">
      <c r="B407" s="3" t="s">
        <v>877</v>
      </c>
      <c r="C407" t="s">
        <v>878</v>
      </c>
      <c r="D407" t="s">
        <v>22</v>
      </c>
      <c r="E407" s="6" t="s">
        <v>33</v>
      </c>
      <c r="F407" s="1">
        <v>2.5299999999999998</v>
      </c>
      <c r="G407" s="8">
        <f>F407*[405]Main!$C$4</f>
        <v>120.80132426999999</v>
      </c>
      <c r="H407" s="10">
        <f>G407-[405]Main!$C$7+[405]Main!$C$8</f>
        <v>45.534074269999991</v>
      </c>
      <c r="J407" s="1">
        <f>IF(ISNUMBER([405]Main!$C$11),[405]Main!$C$11,"")</f>
        <v>1.5763580709958387</v>
      </c>
      <c r="K407" s="11">
        <f t="shared" si="6"/>
        <v>-0.37693356877634832</v>
      </c>
      <c r="L407" s="12" t="str">
        <f>[405]Main!$C$15&amp;" ("&amp;[405]Main!$C$14&amp;")"</f>
        <v>Net cash (pre-revenue)</v>
      </c>
      <c r="M407" s="13">
        <v>46330</v>
      </c>
      <c r="N407" s="17" t="s">
        <v>40</v>
      </c>
    </row>
    <row r="408" spans="2:14" x14ac:dyDescent="0.2">
      <c r="B408" s="3" t="s">
        <v>879</v>
      </c>
      <c r="C408" t="s">
        <v>880</v>
      </c>
      <c r="D408" t="s">
        <v>22</v>
      </c>
      <c r="E408" s="6" t="s">
        <v>33</v>
      </c>
      <c r="F408" s="1">
        <v>1.76</v>
      </c>
      <c r="G408" s="8">
        <f>F408*[406]Main!$C$4</f>
        <v>112.15884591999999</v>
      </c>
      <c r="H408" s="10">
        <f>G408-[406]Main!$C$7+[406]Main!$C$8</f>
        <v>114.76286891999999</v>
      </c>
      <c r="J408" s="1">
        <f>IF(ISNUMBER([406]Main!$C$11),[406]Main!$C$11,"")</f>
        <v>-4.0862407618468127E-2</v>
      </c>
      <c r="K408" s="11">
        <f t="shared" si="6"/>
        <v>-1.0232172770559478</v>
      </c>
      <c r="L408" s="12" t="str">
        <f>[406]Main!$C$15&amp;" ("&amp;[406]Main!$C$14&amp;")"</f>
        <v>Net cash (pre-revenue)</v>
      </c>
      <c r="M408" s="13">
        <v>46339</v>
      </c>
      <c r="N408" s="17" t="s">
        <v>156</v>
      </c>
    </row>
    <row r="409" spans="2:14" x14ac:dyDescent="0.2">
      <c r="B409" s="3" t="s">
        <v>881</v>
      </c>
      <c r="C409" t="s">
        <v>882</v>
      </c>
      <c r="D409" t="s">
        <v>22</v>
      </c>
      <c r="E409" s="6" t="s">
        <v>33</v>
      </c>
      <c r="F409" s="1">
        <v>1.67</v>
      </c>
      <c r="G409" s="8">
        <f>F409*[407]Main!$C$4</f>
        <v>111.91724772000001</v>
      </c>
      <c r="H409" s="10">
        <f>G409-[407]Main!$C$7+[407]Main!$C$8</f>
        <v>-129.04875227999997</v>
      </c>
      <c r="J409" s="1">
        <f>IF(ISNUMBER([407]Main!$C$11),[407]Main!$C$11,"")</f>
        <v>3.595631845832886</v>
      </c>
      <c r="K409" s="11">
        <f t="shared" si="6"/>
        <v>1.1530729615765787</v>
      </c>
      <c r="L409" s="12" t="str">
        <f>[407]Main!$C$15&amp;" ("&amp;[407]Main!$C$14&amp;")"</f>
        <v>Net cash (pre-revenue)</v>
      </c>
      <c r="M409" s="13"/>
      <c r="N409" s="17"/>
    </row>
    <row r="410" spans="2:14" x14ac:dyDescent="0.2">
      <c r="B410" s="3" t="s">
        <v>883</v>
      </c>
      <c r="C410" t="s">
        <v>884</v>
      </c>
      <c r="D410" t="s">
        <v>15</v>
      </c>
      <c r="E410" s="6" t="s">
        <v>33</v>
      </c>
      <c r="F410" s="1">
        <v>1.1499999999999999</v>
      </c>
      <c r="G410" s="8">
        <f>F410*[408]Main!$C$4</f>
        <v>115.29556034999999</v>
      </c>
      <c r="H410" s="10">
        <f>G410-[408]Main!$C$7+[408]Main!$C$8</f>
        <v>100.17162842428853</v>
      </c>
      <c r="J410" s="1">
        <f>IF(ISNUMBER([408]Main!$C$11),[408]Main!$C$11,"")</f>
        <v>0.15085161702471558</v>
      </c>
      <c r="K410" s="11">
        <f t="shared" si="6"/>
        <v>-0.86882468084807341</v>
      </c>
      <c r="L410" s="12" t="str">
        <f>[408]Main!$C$15&amp;" ("&amp;[408]Main!$C$14&amp;")"</f>
        <v>Net cash (pre-revenue)</v>
      </c>
      <c r="M410" s="13">
        <v>46338</v>
      </c>
      <c r="N410" s="17" t="s">
        <v>190</v>
      </c>
    </row>
    <row r="411" spans="2:14" x14ac:dyDescent="0.2">
      <c r="B411" s="3" t="s">
        <v>885</v>
      </c>
      <c r="C411" t="s">
        <v>886</v>
      </c>
      <c r="D411" t="s">
        <v>22</v>
      </c>
      <c r="E411" s="6" t="s">
        <v>33</v>
      </c>
      <c r="F411" s="1">
        <v>2.0099999999999998</v>
      </c>
      <c r="G411" s="8">
        <f>F411*[409]Main!$C$4</f>
        <v>119.36448314999998</v>
      </c>
      <c r="H411" s="10">
        <f>G411-[409]Main!$C$7+[409]Main!$C$8</f>
        <v>51.284483149999986</v>
      </c>
      <c r="J411" s="1">
        <f>IF(ISNUMBER([409]Main!$C$11),[409]Main!$C$11,"")</f>
        <v>1.1464113644930569</v>
      </c>
      <c r="K411" s="11">
        <f t="shared" si="6"/>
        <v>-0.42964608731688703</v>
      </c>
      <c r="L411" s="12" t="str">
        <f>[409]Main!$C$15&amp;" ("&amp;[409]Main!$C$14&amp;")"</f>
        <v>Net cash (small revenue)</v>
      </c>
      <c r="M411" s="13">
        <v>46330</v>
      </c>
      <c r="N411" s="17" t="s">
        <v>40</v>
      </c>
    </row>
    <row r="412" spans="2:14" x14ac:dyDescent="0.2">
      <c r="B412" s="3" t="s">
        <v>887</v>
      </c>
      <c r="C412" t="s">
        <v>888</v>
      </c>
      <c r="D412" t="s">
        <v>22</v>
      </c>
      <c r="E412" s="6" t="s">
        <v>33</v>
      </c>
      <c r="F412" s="1">
        <v>2.5</v>
      </c>
      <c r="G412" s="8">
        <f>F412*[410]Main!$C$4</f>
        <v>113.1133375</v>
      </c>
      <c r="H412" s="10">
        <f>G412-[410]Main!$C$7+[410]Main!$C$8</f>
        <v>94.429337500000003</v>
      </c>
      <c r="J412" s="1">
        <f>IF(ISNUMBER([410]Main!$C$11),[410]Main!$C$11,"")</f>
        <v>0.41294864984423252</v>
      </c>
      <c r="K412" s="11">
        <f t="shared" si="6"/>
        <v>-0.83482054006230699</v>
      </c>
      <c r="L412" s="12" t="str">
        <f>[410]Main!$C$15&amp;" ("&amp;[410]Main!$C$14&amp;")"</f>
        <v>Net cash (pre-revenue)</v>
      </c>
      <c r="M412" s="13">
        <v>46330</v>
      </c>
      <c r="N412" s="17" t="s">
        <v>40</v>
      </c>
    </row>
    <row r="413" spans="2:14" x14ac:dyDescent="0.2">
      <c r="B413" s="3" t="s">
        <v>889</v>
      </c>
      <c r="C413" t="s">
        <v>890</v>
      </c>
      <c r="D413" t="s">
        <v>15</v>
      </c>
      <c r="E413" s="6" t="s">
        <v>33</v>
      </c>
      <c r="F413" s="1">
        <v>5.15</v>
      </c>
      <c r="G413" s="8">
        <f>F413*[411]Main!$C$4</f>
        <v>119.17143775000001</v>
      </c>
      <c r="H413" s="10">
        <f>G413-[411]Main!$C$7+[411]Main!$C$8</f>
        <v>82.608437750000007</v>
      </c>
      <c r="J413" s="1">
        <f>[411]Main!$C$11</f>
        <v>7.0697125649814163</v>
      </c>
      <c r="K413" s="11">
        <f t="shared" si="6"/>
        <v>0.37275972135561464</v>
      </c>
      <c r="L413" s="12" t="str">
        <f>"rNPV ("&amp;[411]Main!$C$14&amp;")"</f>
        <v>rNPV (Base)</v>
      </c>
      <c r="M413" s="13">
        <v>46354</v>
      </c>
      <c r="N413" s="18" t="s">
        <v>891</v>
      </c>
    </row>
    <row r="414" spans="2:14" x14ac:dyDescent="0.2">
      <c r="B414" s="3" t="s">
        <v>892</v>
      </c>
      <c r="C414" t="s">
        <v>893</v>
      </c>
      <c r="D414" t="s">
        <v>15</v>
      </c>
      <c r="E414" s="6" t="s">
        <v>33</v>
      </c>
      <c r="F414" s="1">
        <v>7.96</v>
      </c>
      <c r="G414" s="8">
        <f>F414*[412]Main!$C$4</f>
        <v>119.26553172</v>
      </c>
      <c r="H414" s="10">
        <f>G414-[412]Main!$C$7+[412]Main!$C$8</f>
        <v>115.40312972</v>
      </c>
      <c r="J414" s="1">
        <f>IF(ISNUMBER([412]Main!$C$11),[412]Main!$C$11,"")</f>
        <v>0.25778378276281411</v>
      </c>
      <c r="K414" s="11">
        <f t="shared" si="6"/>
        <v>-0.96761510266798822</v>
      </c>
      <c r="L414" s="12" t="str">
        <f>[412]Main!$C$15&amp;" ("&amp;[412]Main!$C$14&amp;")"</f>
        <v>Net cash (small revenue)</v>
      </c>
      <c r="M414" s="13">
        <v>46329</v>
      </c>
      <c r="N414" s="17" t="s">
        <v>134</v>
      </c>
    </row>
    <row r="415" spans="2:14" x14ac:dyDescent="0.2">
      <c r="B415" s="3" t="s">
        <v>894</v>
      </c>
      <c r="C415" t="s">
        <v>895</v>
      </c>
      <c r="D415" t="s">
        <v>22</v>
      </c>
      <c r="E415" s="6" t="s">
        <v>33</v>
      </c>
      <c r="F415" s="1">
        <v>7</v>
      </c>
      <c r="G415" s="8">
        <f>F415*[413]Main!$C$4</f>
        <v>108.212321</v>
      </c>
      <c r="H415" s="10">
        <f>G415-[413]Main!$C$7+[413]Main!$C$8</f>
        <v>80.502320999999995</v>
      </c>
      <c r="J415" s="1">
        <f>IF(ISNUMBER([413]Main!$C$11),[413]Main!$C$11,"")</f>
        <v>1.7924945903341267</v>
      </c>
      <c r="K415" s="11">
        <f t="shared" si="6"/>
        <v>-0.74392934423798196</v>
      </c>
      <c r="L415" s="12" t="str">
        <f>[413]Main!$C$15&amp;" ("&amp;[413]Main!$C$14&amp;")"</f>
        <v>Net cash (pre-revenue)</v>
      </c>
      <c r="M415" s="13">
        <v>46339</v>
      </c>
      <c r="N415" s="17" t="s">
        <v>156</v>
      </c>
    </row>
    <row r="416" spans="2:14" x14ac:dyDescent="0.2">
      <c r="B416" s="3" t="s">
        <v>896</v>
      </c>
      <c r="C416" t="s">
        <v>897</v>
      </c>
      <c r="D416" t="s">
        <v>22</v>
      </c>
      <c r="E416" s="6" t="s">
        <v>33</v>
      </c>
      <c r="F416" s="1">
        <v>27.844999999999999</v>
      </c>
      <c r="G416" s="8">
        <f>F416*[414]Main!$C$4</f>
        <v>110.09712515999999</v>
      </c>
      <c r="H416" s="10">
        <f>G416-[414]Main!$C$7+[414]Main!$C$8</f>
        <v>23.45412515999999</v>
      </c>
      <c r="J416" s="1">
        <f>IF(ISNUMBER([414]Main!$C$11),[414]Main!$C$11,"")</f>
        <v>21.913145611149218</v>
      </c>
      <c r="K416" s="11">
        <f t="shared" si="6"/>
        <v>-0.21303122244032258</v>
      </c>
      <c r="L416" s="12" t="str">
        <f>[414]Main!$C$15&amp;" ("&amp;[414]Main!$C$14&amp;")"</f>
        <v>Net cash (small revenue)</v>
      </c>
      <c r="M416" s="13">
        <v>46331</v>
      </c>
      <c r="N416" s="17" t="s">
        <v>63</v>
      </c>
    </row>
    <row r="417" spans="2:14" x14ac:dyDescent="0.2">
      <c r="B417" s="3" t="s">
        <v>898</v>
      </c>
      <c r="C417" t="s">
        <v>899</v>
      </c>
      <c r="D417" t="s">
        <v>22</v>
      </c>
      <c r="E417" s="6" t="s">
        <v>33</v>
      </c>
      <c r="F417" s="1">
        <v>14.06</v>
      </c>
      <c r="G417" s="8">
        <f>F417*[415]Main!$C$4</f>
        <v>125.29217500000001</v>
      </c>
      <c r="H417" s="10">
        <f>G417-[415]Main!$C$7+[415]Main!$C$8</f>
        <v>124.85480600000001</v>
      </c>
      <c r="J417" s="1">
        <f>IF(ISNUMBER([415]Main!$C$11),[415]Main!$C$11,"")</f>
        <v>4.9080544255856361E-2</v>
      </c>
      <c r="K417" s="11">
        <f t="shared" si="6"/>
        <v>-0.9965092073786731</v>
      </c>
      <c r="L417" s="12" t="str">
        <f>[415]Main!$C$15&amp;" ("&amp;[415]Main!$C$14&amp;")"</f>
        <v>Net cash (pre-revenue)</v>
      </c>
      <c r="M417" s="13">
        <v>46336</v>
      </c>
      <c r="N417" s="17" t="s">
        <v>900</v>
      </c>
    </row>
    <row r="418" spans="2:14" x14ac:dyDescent="0.2">
      <c r="B418" s="3" t="s">
        <v>901</v>
      </c>
      <c r="C418" t="s">
        <v>902</v>
      </c>
      <c r="D418" t="s">
        <v>22</v>
      </c>
      <c r="E418" s="6" t="s">
        <v>33</v>
      </c>
      <c r="F418" s="1">
        <v>0.99</v>
      </c>
      <c r="G418" s="8">
        <f>F418*[416]Main!$C$4</f>
        <v>99.336046589999995</v>
      </c>
      <c r="H418" s="10">
        <f>G418-[416]Main!$C$7+[416]Main!$C$8</f>
        <v>-106.99695341000003</v>
      </c>
      <c r="J418" s="1">
        <f>IF(ISNUMBER([416]Main!$C$11),[416]Main!$C$11,"")</f>
        <v>2.7035522217742165</v>
      </c>
      <c r="K418" s="11">
        <f t="shared" si="6"/>
        <v>1.7308608300749664</v>
      </c>
      <c r="L418" s="12" t="str">
        <f>[416]Main!$C$15&amp;" ("&amp;[416]Main!$C$14&amp;")"</f>
        <v>DCF (Base)</v>
      </c>
      <c r="M418" s="13">
        <v>46332</v>
      </c>
      <c r="N418" s="17" t="s">
        <v>361</v>
      </c>
    </row>
    <row r="419" spans="2:14" x14ac:dyDescent="0.2">
      <c r="B419" s="3" t="s">
        <v>903</v>
      </c>
      <c r="C419" t="s">
        <v>904</v>
      </c>
      <c r="D419" t="s">
        <v>22</v>
      </c>
      <c r="E419" s="6" t="s">
        <v>33</v>
      </c>
      <c r="F419" s="1">
        <v>1.54</v>
      </c>
      <c r="G419" s="8">
        <f>F419*[417]Main!$C$4</f>
        <v>111.33100286000001</v>
      </c>
      <c r="H419" s="10">
        <f>G419-[417]Main!$C$7+[417]Main!$C$8</f>
        <v>93.301407406221813</v>
      </c>
      <c r="J419" s="1">
        <f>IF(ISNUMBER([417]Main!$C$11),[417]Main!$C$11,"")</f>
        <v>0.24939663063786421</v>
      </c>
      <c r="K419" s="11">
        <f t="shared" si="6"/>
        <v>-0.83805413594943889</v>
      </c>
      <c r="L419" s="12" t="str">
        <f>[417]Main!$C$15&amp;" ("&amp;[417]Main!$C$14&amp;")"</f>
        <v>Net cash (pre-revenue)</v>
      </c>
      <c r="M419" s="13">
        <v>46335</v>
      </c>
      <c r="N419" s="17" t="s">
        <v>87</v>
      </c>
    </row>
    <row r="420" spans="2:14" x14ac:dyDescent="0.2">
      <c r="B420" s="3" t="s">
        <v>905</v>
      </c>
      <c r="C420" t="s">
        <v>906</v>
      </c>
      <c r="D420" t="s">
        <v>22</v>
      </c>
      <c r="E420" s="6" t="s">
        <v>33</v>
      </c>
      <c r="F420" s="1">
        <v>5.78</v>
      </c>
      <c r="G420" s="8">
        <f>F420*[418]Main!$C$4</f>
        <v>99.132918720000006</v>
      </c>
      <c r="H420" s="10">
        <f>G420-[418]Main!$C$7+[418]Main!$C$8</f>
        <v>-77.099081279999993</v>
      </c>
      <c r="J420" s="1">
        <f>IF(ISNUMBER([418]Main!$C$11),[418]Main!$C$11,"")</f>
        <v>10.27530484477195</v>
      </c>
      <c r="K420" s="11">
        <f t="shared" si="6"/>
        <v>0.77773440220967993</v>
      </c>
      <c r="L420" s="12" t="str">
        <f>[418]Main!$C$15&amp;" ("&amp;[418]Main!$C$14&amp;")"</f>
        <v>Net cash (small revenue)</v>
      </c>
      <c r="M420" s="13">
        <v>46335</v>
      </c>
      <c r="N420" s="17" t="s">
        <v>87</v>
      </c>
    </row>
    <row r="421" spans="2:14" x14ac:dyDescent="0.2">
      <c r="B421" s="3" t="s">
        <v>907</v>
      </c>
      <c r="C421" t="s">
        <v>908</v>
      </c>
      <c r="D421" t="s">
        <v>15</v>
      </c>
      <c r="E421" s="6" t="s">
        <v>33</v>
      </c>
      <c r="F421" s="1">
        <v>3.19</v>
      </c>
      <c r="G421" s="8">
        <f>F421*[419]Main!$C$4</f>
        <v>100.23089417</v>
      </c>
      <c r="H421" s="10">
        <f>G421-[419]Main!$C$7+[419]Main!$C$8</f>
        <v>-119.77210582999999</v>
      </c>
      <c r="J421" s="1">
        <f>IF(ISNUMBER([419]Main!$C$11),[419]Main!$C$11,"")</f>
        <v>7.0019286549481654</v>
      </c>
      <c r="K421" s="11">
        <f t="shared" si="6"/>
        <v>1.194961960798798</v>
      </c>
      <c r="L421" s="12" t="str">
        <f>[419]Main!$C$15&amp;" ("&amp;[419]Main!$C$14&amp;")"</f>
        <v>Net cash (small revenue)</v>
      </c>
      <c r="M421" s="13">
        <v>46330</v>
      </c>
      <c r="N421" s="17" t="s">
        <v>40</v>
      </c>
    </row>
    <row r="422" spans="2:14" x14ac:dyDescent="0.2">
      <c r="B422" s="3" t="s">
        <v>909</v>
      </c>
      <c r="C422" t="s">
        <v>910</v>
      </c>
      <c r="D422" t="s">
        <v>22</v>
      </c>
      <c r="E422" s="6" t="s">
        <v>33</v>
      </c>
      <c r="F422" s="1">
        <v>1.01</v>
      </c>
      <c r="G422" s="8">
        <f>F422*[420]Main!$C$4</f>
        <v>104.43149318</v>
      </c>
      <c r="H422" s="10">
        <f>G422-[420]Main!$C$7+[420]Main!$C$8</f>
        <v>49.45749318</v>
      </c>
      <c r="J422" s="1">
        <f>[420]Main!$C$11</f>
        <v>0.86976909125716229</v>
      </c>
      <c r="K422" s="11">
        <f t="shared" si="6"/>
        <v>-0.13884248390379972</v>
      </c>
      <c r="L422" s="12" t="str">
        <f>"rNPV ("&amp;[420]Main!$C$14&amp;")"</f>
        <v>rNPV (Base)</v>
      </c>
      <c r="M422" s="13">
        <v>46325</v>
      </c>
      <c r="N422" s="18" t="s">
        <v>911</v>
      </c>
    </row>
    <row r="423" spans="2:14" x14ac:dyDescent="0.2">
      <c r="B423" s="3" t="s">
        <v>912</v>
      </c>
      <c r="C423" t="s">
        <v>913</v>
      </c>
      <c r="D423" t="s">
        <v>22</v>
      </c>
      <c r="E423" s="6" t="s">
        <v>33</v>
      </c>
      <c r="F423" s="1">
        <v>4.21</v>
      </c>
      <c r="G423" s="8">
        <f>F423*[421]Main!$C$4</f>
        <v>98.757544289999998</v>
      </c>
      <c r="H423" s="10">
        <f>G423-[421]Main!$C$7+[421]Main!$C$8</f>
        <v>55.576542289999999</v>
      </c>
      <c r="J423" s="1">
        <f>IF(ISNUMBER([421]Main!$C$11),[421]Main!$C$11,"")</f>
        <v>1.8407911995682127</v>
      </c>
      <c r="K423" s="11">
        <f t="shared" si="6"/>
        <v>-0.56275743478189721</v>
      </c>
      <c r="L423" s="12" t="str">
        <f>[421]Main!$C$15&amp;" ("&amp;[421]Main!$C$14&amp;")"</f>
        <v>Net cash (small revenue)</v>
      </c>
      <c r="M423" s="13">
        <v>46337</v>
      </c>
      <c r="N423" s="17" t="s">
        <v>104</v>
      </c>
    </row>
    <row r="424" spans="2:14" x14ac:dyDescent="0.2">
      <c r="B424" s="3" t="s">
        <v>914</v>
      </c>
      <c r="C424" t="s">
        <v>915</v>
      </c>
      <c r="D424" t="s">
        <v>22</v>
      </c>
      <c r="E424" s="6" t="s">
        <v>33</v>
      </c>
      <c r="F424" s="1">
        <v>1.39</v>
      </c>
      <c r="G424" s="8">
        <f>F424*[422]Main!$C$4</f>
        <v>106.23625995999998</v>
      </c>
      <c r="H424" s="10">
        <f>G424-[422]Main!$C$7+[422]Main!$C$8</f>
        <v>86.672259959999977</v>
      </c>
      <c r="J424" s="1">
        <f>IF(ISNUMBER([422]Main!$C$11),[422]Main!$C$11,"")</f>
        <v>0.25597625528458035</v>
      </c>
      <c r="K424" s="11">
        <f t="shared" si="6"/>
        <v>-0.81584442065857532</v>
      </c>
      <c r="L424" s="12" t="str">
        <f>[422]Main!$C$15&amp;" ("&amp;[422]Main!$C$14&amp;")"</f>
        <v>Net cash (pre-revenue)</v>
      </c>
      <c r="M424" s="13">
        <v>46338</v>
      </c>
      <c r="N424" s="17" t="s">
        <v>190</v>
      </c>
    </row>
    <row r="425" spans="2:14" x14ac:dyDescent="0.2">
      <c r="B425" s="3" t="s">
        <v>916</v>
      </c>
      <c r="C425" t="s">
        <v>917</v>
      </c>
      <c r="D425" t="s">
        <v>22</v>
      </c>
      <c r="E425" s="6" t="s">
        <v>33</v>
      </c>
      <c r="F425" s="1">
        <v>3.03</v>
      </c>
      <c r="G425" s="8">
        <f>F425*[423]Main!$C$4</f>
        <v>99.154580519999982</v>
      </c>
      <c r="H425" s="10">
        <f>G425-[423]Main!$C$7+[423]Main!$C$8</f>
        <v>81.398580519999982</v>
      </c>
      <c r="J425" s="1">
        <f>IF(ISNUMBER([423]Main!$C$11),[423]Main!$C$11,"")</f>
        <v>0.54259399533386277</v>
      </c>
      <c r="K425" s="11">
        <f t="shared" si="6"/>
        <v>-0.82092607414723995</v>
      </c>
      <c r="L425" s="12" t="str">
        <f>[423]Main!$C$15&amp;" ("&amp;[423]Main!$C$14&amp;")"</f>
        <v>Net cash (pre-revenue)</v>
      </c>
      <c r="M425" s="13">
        <v>46335</v>
      </c>
      <c r="N425" s="17" t="s">
        <v>87</v>
      </c>
    </row>
    <row r="426" spans="2:14" x14ac:dyDescent="0.2">
      <c r="B426" s="3" t="s">
        <v>918</v>
      </c>
      <c r="C426" t="s">
        <v>919</v>
      </c>
      <c r="D426" t="s">
        <v>22</v>
      </c>
      <c r="E426" s="6" t="s">
        <v>33</v>
      </c>
      <c r="F426" s="1">
        <v>2.39</v>
      </c>
      <c r="G426" s="8">
        <f>F426*[424]Main!$C$4</f>
        <v>77.811645860000013</v>
      </c>
      <c r="H426" s="10">
        <f>G426-[424]Main!$C$7+[424]Main!$C$8</f>
        <v>77.645645860000016</v>
      </c>
      <c r="J426" s="1">
        <f>IF(ISNUMBER([424]Main!$C$11),[424]Main!$C$11,"")</f>
        <v>5.0987226348331088E-3</v>
      </c>
      <c r="K426" s="11">
        <f t="shared" si="6"/>
        <v>-0.99786664324902385</v>
      </c>
      <c r="L426" s="12" t="str">
        <f>[424]Main!$C$15&amp;" ("&amp;[424]Main!$C$14&amp;")"</f>
        <v>Net cash (pre-revenue)</v>
      </c>
      <c r="M426" s="13"/>
      <c r="N426" s="17"/>
    </row>
    <row r="427" spans="2:14" x14ac:dyDescent="0.2">
      <c r="B427" s="3" t="s">
        <v>920</v>
      </c>
      <c r="C427" t="s">
        <v>921</v>
      </c>
      <c r="D427" t="s">
        <v>22</v>
      </c>
      <c r="E427" s="6" t="s">
        <v>33</v>
      </c>
      <c r="F427" s="1">
        <v>2.0699999999999998</v>
      </c>
      <c r="G427" s="8">
        <f>F427*[425]Main!$C$4</f>
        <v>118.92925628999998</v>
      </c>
      <c r="H427" s="10">
        <f>G427-[425]Main!$C$7+[425]Main!$C$8</f>
        <v>8.4232562899999834</v>
      </c>
      <c r="J427" s="1">
        <f>IF(ISNUMBER([425]Main!$C$11),[425]Main!$C$11,"")</f>
        <v>1.9233906537027081</v>
      </c>
      <c r="K427" s="11">
        <f t="shared" si="6"/>
        <v>-7.082577115811195E-2</v>
      </c>
      <c r="L427" s="12" t="str">
        <f>[425]Main!$C$15&amp;" ("&amp;[425]Main!$C$14&amp;")"</f>
        <v>Net cash (pre-revenue)</v>
      </c>
      <c r="M427" s="13">
        <v>46331</v>
      </c>
      <c r="N427" s="17" t="s">
        <v>63</v>
      </c>
    </row>
    <row r="428" spans="2:14" x14ac:dyDescent="0.2">
      <c r="B428" s="3" t="s">
        <v>922</v>
      </c>
      <c r="C428" t="s">
        <v>923</v>
      </c>
      <c r="D428" t="s">
        <v>22</v>
      </c>
      <c r="E428" s="6" t="s">
        <v>33</v>
      </c>
      <c r="F428" s="1">
        <v>10.45</v>
      </c>
      <c r="G428" s="8">
        <f>F428*[426]Main!$C$4</f>
        <v>94.908958650000002</v>
      </c>
      <c r="H428" s="10">
        <f>G428-[426]Main!$C$7+[426]Main!$C$8</f>
        <v>94.35163965000001</v>
      </c>
      <c r="J428" s="1">
        <f>IF(ISNUMBER([426]Main!$C$11),[426]Main!$C$11,"")</f>
        <v>6.1363896863280948E-2</v>
      </c>
      <c r="K428" s="11">
        <f t="shared" si="6"/>
        <v>-0.99412785675949467</v>
      </c>
      <c r="L428" s="12" t="str">
        <f>[426]Main!$C$15&amp;" ("&amp;[426]Main!$C$14&amp;")"</f>
        <v>Net cash (small revenue)</v>
      </c>
      <c r="M428" s="13">
        <v>46338</v>
      </c>
      <c r="N428" s="17" t="s">
        <v>190</v>
      </c>
    </row>
    <row r="429" spans="2:14" x14ac:dyDescent="0.2">
      <c r="B429" s="3" t="s">
        <v>924</v>
      </c>
      <c r="C429" t="s">
        <v>925</v>
      </c>
      <c r="D429" t="s">
        <v>22</v>
      </c>
      <c r="E429" s="6" t="s">
        <v>33</v>
      </c>
      <c r="F429" s="1">
        <v>2.5</v>
      </c>
      <c r="G429" s="8">
        <f>F429*[427]Main!$C$4</f>
        <v>118.46398600000001</v>
      </c>
      <c r="H429" s="10">
        <f>G429-[427]Main!$C$7+[427]Main!$C$8</f>
        <v>50.057891000000012</v>
      </c>
      <c r="J429" s="1">
        <f>IF(ISNUMBER([427]Main!$C$11),[427]Main!$C$11,"")</f>
        <v>1.4436052953679945</v>
      </c>
      <c r="K429" s="11">
        <f t="shared" si="6"/>
        <v>-0.42255788185280219</v>
      </c>
      <c r="L429" s="12" t="str">
        <f>[427]Main!$C$15&amp;" ("&amp;[427]Main!$C$14&amp;")"</f>
        <v>Net cash (small revenue)</v>
      </c>
      <c r="M429" s="13"/>
      <c r="N429" s="17"/>
    </row>
    <row r="430" spans="2:14" x14ac:dyDescent="0.2">
      <c r="B430" s="3" t="s">
        <v>926</v>
      </c>
      <c r="C430" t="s">
        <v>927</v>
      </c>
      <c r="D430" t="s">
        <v>22</v>
      </c>
      <c r="E430" s="6" t="s">
        <v>33</v>
      </c>
      <c r="F430" s="1">
        <v>9.16</v>
      </c>
      <c r="G430" s="8">
        <f>F430*[428]Main!$C$4</f>
        <v>91.945423600000012</v>
      </c>
      <c r="H430" s="10">
        <f>G430-[428]Main!$C$7+[428]Main!$C$8</f>
        <v>82.045423600000007</v>
      </c>
      <c r="J430" s="1">
        <f>IF(ISNUMBER([428]Main!$C$11),[428]Main!$C$11,"")</f>
        <v>0.98628073534700644</v>
      </c>
      <c r="K430" s="11">
        <f t="shared" si="6"/>
        <v>-0.89232743063897313</v>
      </c>
      <c r="L430" s="12" t="str">
        <f>[428]Main!$C$15&amp;" ("&amp;[428]Main!$C$14&amp;")"</f>
        <v>Net cash (small revenue)</v>
      </c>
      <c r="M430" s="13">
        <v>46337</v>
      </c>
      <c r="N430" s="17" t="s">
        <v>104</v>
      </c>
    </row>
    <row r="431" spans="2:14" x14ac:dyDescent="0.2">
      <c r="B431" s="3" t="s">
        <v>928</v>
      </c>
      <c r="C431" t="s">
        <v>929</v>
      </c>
      <c r="D431" t="s">
        <v>22</v>
      </c>
      <c r="E431" s="6" t="s">
        <v>33</v>
      </c>
      <c r="F431" s="1">
        <v>7.41</v>
      </c>
      <c r="G431" s="8">
        <f>F431*[429]Main!$C$4</f>
        <v>101.10550047000001</v>
      </c>
      <c r="H431" s="10">
        <f>G431-[429]Main!$C$7+[429]Main!$C$8</f>
        <v>-53.992499530000003</v>
      </c>
      <c r="J431" s="1">
        <f>IF(ISNUMBER([429]Main!$C$11),[429]Main!$C$11,"")</f>
        <v>11.367098472956108</v>
      </c>
      <c r="K431" s="11">
        <f t="shared" si="6"/>
        <v>0.53402138636384722</v>
      </c>
      <c r="L431" s="12" t="str">
        <f>[429]Main!$C$15&amp;" ("&amp;[429]Main!$C$14&amp;")"</f>
        <v>Net cash (pre-revenue)</v>
      </c>
      <c r="M431" s="13">
        <v>46338</v>
      </c>
      <c r="N431" s="17" t="s">
        <v>190</v>
      </c>
    </row>
    <row r="432" spans="2:14" x14ac:dyDescent="0.2">
      <c r="B432" s="3" t="s">
        <v>930</v>
      </c>
      <c r="C432" t="s">
        <v>931</v>
      </c>
      <c r="D432" t="s">
        <v>15</v>
      </c>
      <c r="E432" s="6" t="s">
        <v>33</v>
      </c>
      <c r="F432" s="1">
        <v>1.91</v>
      </c>
      <c r="G432" s="8">
        <f>F432*[430]Main!$C$4</f>
        <v>95.205846629999996</v>
      </c>
      <c r="H432" s="10">
        <f>G432-[430]Main!$C$7+[430]Main!$C$8</f>
        <v>83.663846629999995</v>
      </c>
      <c r="J432" s="1">
        <f>IF(ISNUMBER([430]Main!$C$11),[430]Main!$C$11,"")</f>
        <v>0.23155321632372736</v>
      </c>
      <c r="K432" s="11">
        <f t="shared" si="6"/>
        <v>-0.87876794956872917</v>
      </c>
      <c r="L432" s="12" t="str">
        <f>[430]Main!$C$15&amp;" ("&amp;[430]Main!$C$14&amp;")"</f>
        <v>Net cash (pre-revenue)</v>
      </c>
      <c r="M432" s="13">
        <v>46338</v>
      </c>
      <c r="N432" s="17" t="s">
        <v>190</v>
      </c>
    </row>
    <row r="433" spans="2:14" x14ac:dyDescent="0.2">
      <c r="B433" s="3" t="s">
        <v>932</v>
      </c>
      <c r="C433" t="s">
        <v>933</v>
      </c>
      <c r="D433" t="s">
        <v>22</v>
      </c>
      <c r="E433" s="6" t="s">
        <v>33</v>
      </c>
      <c r="F433" s="1">
        <v>3.8</v>
      </c>
      <c r="G433" s="8">
        <f>F433*[431]Main!$C$4</f>
        <v>105.84997660000001</v>
      </c>
      <c r="H433" s="10">
        <f>G433-[431]Main!$C$7+[431]Main!$C$8</f>
        <v>44.424976600000008</v>
      </c>
      <c r="J433" s="1">
        <f>IF(ISNUMBER([431]Main!$C$11),[431]Main!$C$11,"")</f>
        <v>2.2051492829522266</v>
      </c>
      <c r="K433" s="11">
        <f t="shared" si="6"/>
        <v>-0.41969755711783507</v>
      </c>
      <c r="L433" s="12" t="str">
        <f>[431]Main!$C$15&amp;" ("&amp;[431]Main!$C$14&amp;")"</f>
        <v>Net cash (pre-revenue)</v>
      </c>
      <c r="M433" s="13">
        <v>46337</v>
      </c>
      <c r="N433" s="17" t="s">
        <v>104</v>
      </c>
    </row>
    <row r="434" spans="2:14" x14ac:dyDescent="0.2">
      <c r="B434" s="3" t="s">
        <v>934</v>
      </c>
      <c r="C434" t="s">
        <v>935</v>
      </c>
      <c r="D434" t="s">
        <v>22</v>
      </c>
      <c r="E434" s="6" t="s">
        <v>33</v>
      </c>
      <c r="F434" s="1">
        <v>2.68</v>
      </c>
      <c r="G434" s="8">
        <f>F434*[432]Main!$C$4</f>
        <v>93.166989360000002</v>
      </c>
      <c r="H434" s="10">
        <f>G434-[432]Main!$C$7+[432]Main!$C$8</f>
        <v>79.302989359999998</v>
      </c>
      <c r="J434" s="1">
        <f>IF(ISNUMBER([432]Main!$C$11),[432]Main!$C$11,"")</f>
        <v>0.39880563121375501</v>
      </c>
      <c r="K434" s="11">
        <f t="shared" si="6"/>
        <v>-0.851191928651584</v>
      </c>
      <c r="L434" s="12" t="str">
        <f>[432]Main!$C$15&amp;" ("&amp;[432]Main!$C$14&amp;")"</f>
        <v>Net cash (pre-revenue)</v>
      </c>
      <c r="M434" s="13"/>
      <c r="N434" s="17"/>
    </row>
    <row r="435" spans="2:14" x14ac:dyDescent="0.2">
      <c r="B435" s="3" t="s">
        <v>936</v>
      </c>
      <c r="C435" t="s">
        <v>937</v>
      </c>
      <c r="D435" t="s">
        <v>22</v>
      </c>
      <c r="E435" s="6" t="s">
        <v>33</v>
      </c>
      <c r="F435" s="1">
        <v>1.07</v>
      </c>
      <c r="G435" s="8">
        <f>F435*[433]Main!$C$4</f>
        <v>89.95296544</v>
      </c>
      <c r="H435" s="10">
        <f>G435-[433]Main!$C$7+[433]Main!$C$8</f>
        <v>76.72163544</v>
      </c>
      <c r="J435" s="1">
        <f>IF(ISNUMBER([433]Main!$C$11),[433]Main!$C$11,"")</f>
        <v>0.15738806420387869</v>
      </c>
      <c r="K435" s="11">
        <f t="shared" si="6"/>
        <v>-0.85290835121132835</v>
      </c>
      <c r="L435" s="12" t="str">
        <f>[433]Main!$C$15&amp;" ("&amp;[433]Main!$C$14&amp;")"</f>
        <v>Net cash (pre-revenue)</v>
      </c>
      <c r="M435" s="13">
        <v>46339</v>
      </c>
      <c r="N435" s="17" t="s">
        <v>156</v>
      </c>
    </row>
    <row r="436" spans="2:14" x14ac:dyDescent="0.2">
      <c r="B436" s="3" t="s">
        <v>938</v>
      </c>
      <c r="C436" t="s">
        <v>939</v>
      </c>
      <c r="D436" t="s">
        <v>22</v>
      </c>
      <c r="E436" s="6" t="s">
        <v>33</v>
      </c>
      <c r="F436" s="1">
        <v>0.41</v>
      </c>
      <c r="G436" s="8">
        <f>F436*[434]Main!$C$4</f>
        <v>91.934304919999988</v>
      </c>
      <c r="H436" s="10">
        <f>G436-[434]Main!$C$7+[434]Main!$C$8</f>
        <v>13.849304919999994</v>
      </c>
      <c r="J436" s="1">
        <f>IF(ISNUMBER([434]Main!$C$11),[434]Main!$C$11,"")</f>
        <v>0.3482361674225839</v>
      </c>
      <c r="K436" s="11">
        <f t="shared" si="6"/>
        <v>-0.15064349409125877</v>
      </c>
      <c r="L436" s="12" t="str">
        <f>[434]Main!$C$15&amp;" ("&amp;[434]Main!$C$14&amp;")"</f>
        <v>Net cash (pre-revenue)</v>
      </c>
      <c r="M436" s="13">
        <v>46335</v>
      </c>
      <c r="N436" s="17" t="s">
        <v>87</v>
      </c>
    </row>
    <row r="437" spans="2:14" x14ac:dyDescent="0.2">
      <c r="B437" s="3" t="s">
        <v>940</v>
      </c>
      <c r="C437" t="s">
        <v>941</v>
      </c>
      <c r="D437" t="s">
        <v>15</v>
      </c>
      <c r="E437" s="6" t="s">
        <v>33</v>
      </c>
      <c r="F437" s="1">
        <v>0.65280000000000005</v>
      </c>
      <c r="G437" s="8">
        <f>F437*[435]Main!$C$4</f>
        <v>90.997264243200007</v>
      </c>
      <c r="H437" s="10">
        <f>G437-[435]Main!$C$7+[435]Main!$C$8</f>
        <v>86.129264243200012</v>
      </c>
      <c r="J437" s="1">
        <f>IF(ISNUMBER([435]Main!$C$11),[435]Main!$C$11,"")</f>
        <v>3.4922263063941195E-2</v>
      </c>
      <c r="K437" s="11">
        <f t="shared" si="6"/>
        <v>-0.94650388623783521</v>
      </c>
      <c r="L437" s="12" t="str">
        <f>[435]Main!$C$15&amp;" ("&amp;[435]Main!$C$14&amp;")"</f>
        <v>Net cash (pre-revenue)</v>
      </c>
      <c r="M437" s="13">
        <v>46331</v>
      </c>
      <c r="N437" s="17" t="s">
        <v>63</v>
      </c>
    </row>
    <row r="438" spans="2:14" x14ac:dyDescent="0.2">
      <c r="B438" s="3" t="s">
        <v>942</v>
      </c>
      <c r="C438" t="s">
        <v>943</v>
      </c>
      <c r="D438" t="s">
        <v>22</v>
      </c>
      <c r="E438" s="6" t="s">
        <v>33</v>
      </c>
      <c r="F438" s="1">
        <v>16.38</v>
      </c>
      <c r="G438" s="8">
        <f>F438*[436]Main!$C$4</f>
        <v>86.985973619999996</v>
      </c>
      <c r="H438" s="10">
        <f>G438-[436]Main!$C$7+[436]Main!$C$8</f>
        <v>-5.863026380000008</v>
      </c>
      <c r="J438" s="1">
        <f>IF(ISNUMBER([436]Main!$C$11),[436]Main!$C$11,"")</f>
        <v>17.484044343102219</v>
      </c>
      <c r="K438" s="11">
        <f t="shared" si="6"/>
        <v>6.7401974548365162E-2</v>
      </c>
      <c r="L438" s="12" t="str">
        <f>[436]Main!$C$15&amp;" ("&amp;[436]Main!$C$14&amp;")"</f>
        <v>Net cash (pre-revenue)</v>
      </c>
      <c r="M438" s="13">
        <v>46331</v>
      </c>
      <c r="N438" s="17" t="s">
        <v>63</v>
      </c>
    </row>
    <row r="439" spans="2:14" x14ac:dyDescent="0.2">
      <c r="B439" s="3" t="s">
        <v>944</v>
      </c>
      <c r="C439" t="s">
        <v>945</v>
      </c>
      <c r="D439" t="s">
        <v>15</v>
      </c>
      <c r="E439" s="6" t="s">
        <v>33</v>
      </c>
      <c r="F439" s="1">
        <v>0.46500000000000002</v>
      </c>
      <c r="G439" s="8">
        <f>F439*[437]Main!$C$4</f>
        <v>87.37159908000001</v>
      </c>
      <c r="H439" s="10">
        <f>G439-[437]Main!$C$7+[437]Main!$C$8</f>
        <v>-29.462400919999993</v>
      </c>
      <c r="J439" s="1">
        <f>IF(ISNUMBER([437]Main!$C$11),[437]Main!$C$11,"")</f>
        <v>0.62180171328048905</v>
      </c>
      <c r="K439" s="11">
        <f t="shared" si="6"/>
        <v>0.33720798554943876</v>
      </c>
      <c r="L439" s="12" t="str">
        <f>[437]Main!$C$15&amp;" ("&amp;[437]Main!$C$14&amp;")"</f>
        <v>Net cash (pre-revenue)</v>
      </c>
      <c r="M439" s="13">
        <v>46331</v>
      </c>
      <c r="N439" s="17" t="s">
        <v>63</v>
      </c>
    </row>
    <row r="440" spans="2:14" x14ac:dyDescent="0.2">
      <c r="B440" s="3" t="s">
        <v>946</v>
      </c>
      <c r="C440" t="s">
        <v>947</v>
      </c>
      <c r="D440" t="s">
        <v>15</v>
      </c>
      <c r="E440" s="6" t="s">
        <v>33</v>
      </c>
      <c r="F440" s="1">
        <v>0.71850000000000003</v>
      </c>
      <c r="G440" s="8">
        <f>F440*[438]Main!$C$4</f>
        <v>89.451798629999999</v>
      </c>
      <c r="H440" s="10">
        <f>G440-[438]Main!$C$7+[438]Main!$C$8</f>
        <v>-21.950201370000009</v>
      </c>
      <c r="J440" s="1">
        <f>IF(ISNUMBER([438]Main!$C$11),[438]Main!$C$11,"")</f>
        <v>0.8948096989204164</v>
      </c>
      <c r="K440" s="11">
        <f t="shared" si="6"/>
        <v>0.24538580225527684</v>
      </c>
      <c r="L440" s="12" t="str">
        <f>[438]Main!$C$15&amp;" ("&amp;[438]Main!$C$14&amp;")"</f>
        <v>Net cash (pre-revenue)</v>
      </c>
      <c r="M440" s="13">
        <v>46337</v>
      </c>
      <c r="N440" s="17" t="s">
        <v>104</v>
      </c>
    </row>
    <row r="441" spans="2:14" x14ac:dyDescent="0.2">
      <c r="B441" s="3" t="s">
        <v>948</v>
      </c>
      <c r="C441" t="s">
        <v>949</v>
      </c>
      <c r="D441" t="s">
        <v>22</v>
      </c>
      <c r="E441" s="6" t="s">
        <v>33</v>
      </c>
      <c r="F441" s="1">
        <v>4.42</v>
      </c>
      <c r="G441" s="8">
        <f>F441*[439]Main!$C$4</f>
        <v>85.488515059999997</v>
      </c>
      <c r="H441" s="10">
        <f>G441-[439]Main!$C$7+[439]Main!$C$8</f>
        <v>-32.452484940000005</v>
      </c>
      <c r="J441" s="1">
        <f>IF(ISNUMBER([439]Main!$C$11),[439]Main!$C$11,"")</f>
        <v>6.097886009999435</v>
      </c>
      <c r="K441" s="11">
        <f t="shared" si="6"/>
        <v>0.37961221945688584</v>
      </c>
      <c r="L441" s="12" t="str">
        <f>[439]Main!$C$15&amp;" ("&amp;[439]Main!$C$14&amp;")"</f>
        <v>Net cash (pre-revenue)</v>
      </c>
      <c r="M441" s="13">
        <v>46337</v>
      </c>
      <c r="N441" s="17" t="s">
        <v>104</v>
      </c>
    </row>
    <row r="442" spans="2:14" x14ac:dyDescent="0.2">
      <c r="B442" s="3" t="s">
        <v>950</v>
      </c>
      <c r="C442" t="s">
        <v>951</v>
      </c>
      <c r="D442" t="s">
        <v>22</v>
      </c>
      <c r="E442" s="6" t="s">
        <v>33</v>
      </c>
      <c r="F442" s="1">
        <v>2.99</v>
      </c>
      <c r="G442" s="8">
        <f>F442*[440]Main!$C$4</f>
        <v>84.338027019999998</v>
      </c>
      <c r="H442" s="10">
        <f>G442-[440]Main!$C$7+[440]Main!$C$8</f>
        <v>82.366619020000002</v>
      </c>
      <c r="J442" s="1">
        <f>IF(ISNUMBER([440]Main!$C$11),[440]Main!$C$11,"")</f>
        <v>6.9891484639570359E-2</v>
      </c>
      <c r="K442" s="11">
        <f t="shared" si="6"/>
        <v>-0.97662492152522729</v>
      </c>
      <c r="L442" s="12" t="str">
        <f>[440]Main!$C$15&amp;" ("&amp;[440]Main!$C$14&amp;")"</f>
        <v>Net cash (pre-revenue)</v>
      </c>
      <c r="M442" s="13"/>
      <c r="N442" s="17"/>
    </row>
    <row r="443" spans="2:14" x14ac:dyDescent="0.2">
      <c r="B443" s="3" t="s">
        <v>952</v>
      </c>
      <c r="C443" t="s">
        <v>953</v>
      </c>
      <c r="D443" t="s">
        <v>22</v>
      </c>
      <c r="E443" s="6" t="s">
        <v>33</v>
      </c>
      <c r="F443" s="1">
        <v>2.36</v>
      </c>
      <c r="G443" s="8">
        <f>F443*[441]Main!$C$4</f>
        <v>95.571289239999984</v>
      </c>
      <c r="H443" s="10">
        <f>G443-[441]Main!$C$7+[441]Main!$C$8</f>
        <v>-80.81471076000004</v>
      </c>
      <c r="J443" s="1">
        <f>IF(ISNUMBER([441]Main!$C$11),[441]Main!$C$11,"")</f>
        <v>4.3556068282667448</v>
      </c>
      <c r="K443" s="11">
        <f t="shared" si="6"/>
        <v>0.84559611367234955</v>
      </c>
      <c r="L443" s="12" t="str">
        <f>[441]Main!$C$15&amp;" ("&amp;[441]Main!$C$14&amp;")"</f>
        <v>Net cash (pre-revenue)</v>
      </c>
      <c r="M443" s="13">
        <v>46331</v>
      </c>
      <c r="N443" s="17" t="s">
        <v>63</v>
      </c>
    </row>
    <row r="444" spans="2:14" x14ac:dyDescent="0.2">
      <c r="B444" s="3" t="s">
        <v>954</v>
      </c>
      <c r="C444" t="s">
        <v>955</v>
      </c>
      <c r="D444" t="s">
        <v>15</v>
      </c>
      <c r="E444" s="6" t="s">
        <v>33</v>
      </c>
      <c r="F444" s="1">
        <v>3.9</v>
      </c>
      <c r="G444" s="8">
        <f>F444*[442]Main!$C$4</f>
        <v>85.350899400000003</v>
      </c>
      <c r="H444" s="10">
        <f>G444-[442]Main!$C$7+[442]Main!$C$8</f>
        <v>11.480899399999998</v>
      </c>
      <c r="J444" s="1">
        <f>IF(ISNUMBER([442]Main!$C$11),[442]Main!$C$11,"")</f>
        <v>3.3753950107759501</v>
      </c>
      <c r="K444" s="11">
        <f t="shared" si="6"/>
        <v>-0.13451409980103846</v>
      </c>
      <c r="L444" s="12" t="str">
        <f>[442]Main!$C$15&amp;" ("&amp;[442]Main!$C$14&amp;")"</f>
        <v>Net cash (pre-revenue)</v>
      </c>
      <c r="M444" s="13">
        <v>46338</v>
      </c>
      <c r="N444" s="17" t="s">
        <v>190</v>
      </c>
    </row>
    <row r="445" spans="2:14" x14ac:dyDescent="0.2">
      <c r="B445" s="3" t="s">
        <v>956</v>
      </c>
      <c r="C445" t="s">
        <v>957</v>
      </c>
      <c r="D445" t="s">
        <v>22</v>
      </c>
      <c r="E445" s="6" t="s">
        <v>33</v>
      </c>
      <c r="F445" s="1">
        <v>3.38</v>
      </c>
      <c r="G445" s="8">
        <f>F445*[443]Main!$C$4</f>
        <v>79.331564260000007</v>
      </c>
      <c r="H445" s="10">
        <f>G445-[443]Main!$C$7+[443]Main!$C$8</f>
        <v>79.148564260000001</v>
      </c>
      <c r="J445" s="1">
        <f>IF(ISNUMBER([443]Main!$C$11),[443]Main!$C$11,"")</f>
        <v>7.7968965539719709E-3</v>
      </c>
      <c r="K445" s="11">
        <f t="shared" si="6"/>
        <v>-0.99769322587160592</v>
      </c>
      <c r="L445" s="12" t="str">
        <f>[443]Main!$C$15&amp;" ("&amp;[443]Main!$C$14&amp;")"</f>
        <v>Net cash (pre-revenue)</v>
      </c>
      <c r="M445" s="13"/>
      <c r="N445" s="17"/>
    </row>
    <row r="446" spans="2:14" x14ac:dyDescent="0.2">
      <c r="B446" s="3" t="s">
        <v>958</v>
      </c>
      <c r="C446" t="s">
        <v>959</v>
      </c>
      <c r="D446" t="s">
        <v>22</v>
      </c>
      <c r="E446" s="6" t="s">
        <v>16</v>
      </c>
      <c r="F446" s="1">
        <v>20.5</v>
      </c>
      <c r="G446" s="8">
        <f>F446*[444]Main!$C$4</f>
        <v>78.483614500000002</v>
      </c>
      <c r="H446" s="10">
        <f>G446-[444]Main!$C$7+[444]Main!$C$8</f>
        <v>124.2056145</v>
      </c>
      <c r="J446" s="1">
        <f>IF(ISNUMBER([444]Main!$C$11),[444]Main!$C$11,"")</f>
        <v>-11.942632942829105</v>
      </c>
      <c r="K446" s="11">
        <f t="shared" si="6"/>
        <v>-1.58256746062581</v>
      </c>
      <c r="L446" s="12" t="str">
        <f>[444]Main!$C$15&amp;" ("&amp;[444]Main!$C$14&amp;")"</f>
        <v>Net cash (small revenue)</v>
      </c>
      <c r="M446" s="13">
        <v>46338</v>
      </c>
      <c r="N446" s="17" t="s">
        <v>190</v>
      </c>
    </row>
    <row r="447" spans="2:14" x14ac:dyDescent="0.2">
      <c r="B447" s="3" t="s">
        <v>960</v>
      </c>
      <c r="C447" t="s">
        <v>961</v>
      </c>
      <c r="D447" t="s">
        <v>15</v>
      </c>
      <c r="E447" s="6" t="s">
        <v>33</v>
      </c>
      <c r="F447" s="1">
        <v>5.85</v>
      </c>
      <c r="G447" s="8">
        <f>F447*[445]Main!$C$4</f>
        <v>71.11074554999999</v>
      </c>
      <c r="H447" s="10">
        <f>G447-[445]Main!$C$7+[445]Main!$C$8</f>
        <v>67.842671549999991</v>
      </c>
      <c r="J447" s="1">
        <f>IF(ISNUMBER([445]Main!$C$11),[445]Main!$C$11,"")</f>
        <v>0.26885153224216196</v>
      </c>
      <c r="K447" s="11">
        <f t="shared" si="6"/>
        <v>-0.95404247312099799</v>
      </c>
      <c r="L447" s="12" t="str">
        <f>[445]Main!$C$15&amp;" ("&amp;[445]Main!$C$14&amp;")"</f>
        <v>Net cash (pre-revenue)</v>
      </c>
      <c r="M447" s="13">
        <v>46365</v>
      </c>
      <c r="N447" s="17" t="s">
        <v>962</v>
      </c>
    </row>
    <row r="448" spans="2:14" x14ac:dyDescent="0.2">
      <c r="B448" s="3" t="s">
        <v>963</v>
      </c>
      <c r="C448" t="s">
        <v>964</v>
      </c>
      <c r="D448" t="s">
        <v>22</v>
      </c>
      <c r="E448" s="6" t="s">
        <v>33</v>
      </c>
      <c r="F448" s="1">
        <v>1.38</v>
      </c>
      <c r="G448" s="8">
        <f>F448*[446]Main!$C$4</f>
        <v>87.503153159999997</v>
      </c>
      <c r="H448" s="10">
        <f>G448-[446]Main!$C$7+[446]Main!$C$8</f>
        <v>30.339153159999995</v>
      </c>
      <c r="J448" s="1">
        <f>IF(ISNUMBER([446]Main!$C$11),[446]Main!$C$11,"")</f>
        <v>0.90152545538280127</v>
      </c>
      <c r="K448" s="11">
        <f t="shared" si="6"/>
        <v>-0.34672068450521643</v>
      </c>
      <c r="L448" s="12" t="str">
        <f>[446]Main!$C$15&amp;" ("&amp;[446]Main!$C$14&amp;")"</f>
        <v>Net cash (pre-revenue)</v>
      </c>
      <c r="M448" s="13">
        <v>46338</v>
      </c>
      <c r="N448" s="17" t="s">
        <v>190</v>
      </c>
    </row>
    <row r="449" spans="2:14" x14ac:dyDescent="0.2">
      <c r="B449" s="3" t="s">
        <v>965</v>
      </c>
      <c r="C449" t="s">
        <v>966</v>
      </c>
      <c r="D449" t="s">
        <v>22</v>
      </c>
      <c r="E449" s="6" t="s">
        <v>33</v>
      </c>
      <c r="F449" s="1">
        <v>1.37</v>
      </c>
      <c r="G449" s="8">
        <f>F449*[447]Main!$C$4</f>
        <v>71.896951990000005</v>
      </c>
      <c r="H449" s="10">
        <f>G449-[447]Main!$C$7+[447]Main!$C$8</f>
        <v>73.036049990000009</v>
      </c>
      <c r="J449" s="1">
        <f>IF(ISNUMBER([447]Main!$C$11),[447]Main!$C$11,"")</f>
        <v>-2.1705569106977664E-2</v>
      </c>
      <c r="K449" s="11">
        <f t="shared" si="6"/>
        <v>-1.0158434810999837</v>
      </c>
      <c r="L449" s="12" t="str">
        <f>[447]Main!$C$15&amp;" ("&amp;[447]Main!$C$14&amp;")"</f>
        <v>Net cash (pre-revenue)</v>
      </c>
      <c r="M449" s="13"/>
      <c r="N449" s="17"/>
    </row>
    <row r="450" spans="2:14" x14ac:dyDescent="0.2">
      <c r="B450" s="3" t="s">
        <v>967</v>
      </c>
      <c r="C450" t="s">
        <v>968</v>
      </c>
      <c r="D450" t="s">
        <v>22</v>
      </c>
      <c r="E450" s="6" t="s">
        <v>33</v>
      </c>
      <c r="F450" s="1">
        <v>8.09</v>
      </c>
      <c r="G450" s="8">
        <f>F450*[448]Main!$C$4</f>
        <v>72.548636369999997</v>
      </c>
      <c r="H450" s="10">
        <f>G450-[448]Main!$C$7+[448]Main!$C$8</f>
        <v>19.085603370000001</v>
      </c>
      <c r="J450" s="1">
        <f>IF(ISNUMBER([448]Main!$C$11),[448]Main!$C$11,"")</f>
        <v>5.9617376509209219</v>
      </c>
      <c r="K450" s="11">
        <f t="shared" si="6"/>
        <v>-0.26307321991088728</v>
      </c>
      <c r="L450" s="12" t="str">
        <f>[448]Main!$C$15&amp;" ("&amp;[448]Main!$C$14&amp;")"</f>
        <v>Net cash (pre-revenue)</v>
      </c>
      <c r="M450" s="13">
        <v>46337</v>
      </c>
      <c r="N450" s="17" t="s">
        <v>104</v>
      </c>
    </row>
    <row r="451" spans="2:14" x14ac:dyDescent="0.2">
      <c r="B451" s="3" t="s">
        <v>969</v>
      </c>
      <c r="C451" t="s">
        <v>970</v>
      </c>
      <c r="D451" t="s">
        <v>15</v>
      </c>
      <c r="E451" s="6" t="s">
        <v>33</v>
      </c>
      <c r="F451" s="1">
        <v>1.01</v>
      </c>
      <c r="G451" s="8">
        <f>F451*[449]Main!$C$4</f>
        <v>69.462705560000003</v>
      </c>
      <c r="H451" s="10">
        <f>G451-[449]Main!$C$7+[449]Main!$C$8</f>
        <v>64.428791559999993</v>
      </c>
      <c r="J451" s="1">
        <f>IF(ISNUMBER([449]Main!$C$11),[449]Main!$C$11,"")</f>
        <v>7.3193998117570588E-2</v>
      </c>
      <c r="K451" s="11">
        <f t="shared" ref="K451:K514" si="7">IFERROR(J451/F451-1,"")</f>
        <v>-0.92753069493309848</v>
      </c>
      <c r="L451" s="12" t="str">
        <f>[449]Main!$C$15&amp;" ("&amp;[449]Main!$C$14&amp;")"</f>
        <v>Net cash (pre-revenue)</v>
      </c>
      <c r="M451" s="13">
        <v>46335</v>
      </c>
      <c r="N451" s="17" t="s">
        <v>87</v>
      </c>
    </row>
    <row r="452" spans="2:14" x14ac:dyDescent="0.2">
      <c r="B452" s="3" t="s">
        <v>971</v>
      </c>
      <c r="C452" t="s">
        <v>972</v>
      </c>
      <c r="D452" t="s">
        <v>15</v>
      </c>
      <c r="E452" s="6" t="s">
        <v>16</v>
      </c>
      <c r="F452" s="1">
        <v>1.31</v>
      </c>
      <c r="G452" s="8">
        <f>F452*[450]Main!$C$4</f>
        <v>68.119994760000012</v>
      </c>
      <c r="H452" s="10">
        <f>G452-[450]Main!$C$7+[450]Main!$C$8</f>
        <v>38.232994760000011</v>
      </c>
      <c r="J452" s="1">
        <f>IF(ISNUMBER([450]Main!$C$11),[450]Main!$C$11,"")</f>
        <v>0.57475004421154186</v>
      </c>
      <c r="K452" s="11">
        <f t="shared" si="7"/>
        <v>-0.56125950823546433</v>
      </c>
      <c r="L452" s="12" t="str">
        <f>[450]Main!$C$15&amp;" ("&amp;[450]Main!$C$14&amp;")"</f>
        <v>Net cash (pre-revenue)</v>
      </c>
      <c r="M452" s="13">
        <v>46330</v>
      </c>
      <c r="N452" s="17" t="s">
        <v>40</v>
      </c>
    </row>
    <row r="453" spans="2:14" x14ac:dyDescent="0.2">
      <c r="B453" s="3" t="s">
        <v>973</v>
      </c>
      <c r="C453" t="s">
        <v>974</v>
      </c>
      <c r="D453" t="s">
        <v>22</v>
      </c>
      <c r="E453" s="6" t="s">
        <v>33</v>
      </c>
      <c r="F453" s="1">
        <v>0.67100000000000004</v>
      </c>
      <c r="G453" s="8">
        <f>F453*[451]Main!$C$4</f>
        <v>62.390387884000006</v>
      </c>
      <c r="H453" s="10">
        <f>G453-[451]Main!$C$7+[451]Main!$C$8</f>
        <v>52.23684388400001</v>
      </c>
      <c r="J453" s="1">
        <f>IF(ISNUMBER([451]Main!$C$11),[451]Main!$C$11,"")</f>
        <v>0.10919996260749644</v>
      </c>
      <c r="K453" s="11">
        <f t="shared" si="7"/>
        <v>-0.83725787986960287</v>
      </c>
      <c r="L453" s="12" t="str">
        <f>[451]Main!$C$15&amp;" ("&amp;[451]Main!$C$14&amp;")"</f>
        <v>Net cash (pre-revenue)</v>
      </c>
      <c r="M453" s="13"/>
      <c r="N453" s="17"/>
    </row>
    <row r="454" spans="2:14" x14ac:dyDescent="0.2">
      <c r="B454" s="3" t="s">
        <v>975</v>
      </c>
      <c r="C454" t="s">
        <v>976</v>
      </c>
      <c r="D454" t="s">
        <v>15</v>
      </c>
      <c r="E454" s="6" t="s">
        <v>33</v>
      </c>
      <c r="F454" s="1">
        <v>2.65</v>
      </c>
      <c r="G454" s="8">
        <f>F454*[452]Main!$C$4</f>
        <v>65.686731899999998</v>
      </c>
      <c r="H454" s="10">
        <f>G454-[452]Main!$C$7+[452]Main!$C$8</f>
        <v>62.044628899999999</v>
      </c>
      <c r="J454" s="1">
        <f>IF(ISNUMBER([452]Main!$C$11),[452]Main!$C$11,"")</f>
        <v>0.14693337102983503</v>
      </c>
      <c r="K454" s="11">
        <f t="shared" si="7"/>
        <v>-0.94455344489440185</v>
      </c>
      <c r="L454" s="12" t="str">
        <f>[452]Main!$C$15&amp;" ("&amp;[452]Main!$C$14&amp;")"</f>
        <v>Net cash (pre-revenue)</v>
      </c>
      <c r="M454" s="13">
        <v>46351</v>
      </c>
      <c r="N454" s="17" t="s">
        <v>977</v>
      </c>
    </row>
    <row r="455" spans="2:14" x14ac:dyDescent="0.2">
      <c r="B455" s="3" t="s">
        <v>978</v>
      </c>
      <c r="C455" t="s">
        <v>979</v>
      </c>
      <c r="D455" t="s">
        <v>22</v>
      </c>
      <c r="E455" s="6" t="s">
        <v>33</v>
      </c>
      <c r="F455" s="1">
        <v>1.7949999999999999</v>
      </c>
      <c r="G455" s="8">
        <f>F455*[453]Main!$C$4</f>
        <v>76.92178478999999</v>
      </c>
      <c r="H455" s="10">
        <f>G455-[453]Main!$C$7+[453]Main!$C$8</f>
        <v>-13.037215210000014</v>
      </c>
      <c r="J455" s="1">
        <f>IF(ISNUMBER([453]Main!$C$11),[453]Main!$C$11,"")</f>
        <v>2.0992285272740099</v>
      </c>
      <c r="K455" s="11">
        <f t="shared" si="7"/>
        <v>0.16948664472089692</v>
      </c>
      <c r="L455" s="12" t="str">
        <f>[453]Main!$C$15&amp;" ("&amp;[453]Main!$C$14&amp;")"</f>
        <v>Net cash (pre-revenue)</v>
      </c>
      <c r="M455" s="13">
        <v>46338</v>
      </c>
      <c r="N455" s="17" t="s">
        <v>190</v>
      </c>
    </row>
    <row r="456" spans="2:14" x14ac:dyDescent="0.2">
      <c r="B456" s="3" t="s">
        <v>980</v>
      </c>
      <c r="C456" t="s">
        <v>981</v>
      </c>
      <c r="D456" t="s">
        <v>22</v>
      </c>
      <c r="E456" s="6" t="s">
        <v>33</v>
      </c>
      <c r="F456" s="1">
        <v>0.93149999999999999</v>
      </c>
      <c r="G456" s="8">
        <f>F456*[454]Main!$C$4</f>
        <v>72.466274443499998</v>
      </c>
      <c r="H456" s="10">
        <f>G456-[454]Main!$C$7+[454]Main!$C$8</f>
        <v>37.946274443500002</v>
      </c>
      <c r="J456" s="1">
        <f>IF(ISNUMBER([454]Main!$C$11),[454]Main!$C$11,"")</f>
        <v>0.44372889660652665</v>
      </c>
      <c r="K456" s="11">
        <f t="shared" si="7"/>
        <v>-0.52364047599943464</v>
      </c>
      <c r="L456" s="12" t="str">
        <f>[454]Main!$C$15&amp;" ("&amp;[454]Main!$C$14&amp;")"</f>
        <v>Net cash (pre-revenue)</v>
      </c>
      <c r="M456" s="13">
        <v>46331</v>
      </c>
      <c r="N456" s="17" t="s">
        <v>63</v>
      </c>
    </row>
    <row r="457" spans="2:14" x14ac:dyDescent="0.2">
      <c r="B457" s="3" t="s">
        <v>982</v>
      </c>
      <c r="C457" t="s">
        <v>983</v>
      </c>
      <c r="D457" t="s">
        <v>15</v>
      </c>
      <c r="E457" s="6" t="s">
        <v>33</v>
      </c>
      <c r="F457" s="1">
        <v>2.77</v>
      </c>
      <c r="G457" s="8">
        <f>F457*[455]Main!$C$4</f>
        <v>71.843731050000002</v>
      </c>
      <c r="H457" s="10">
        <f>G457-[455]Main!$C$7+[455]Main!$C$8</f>
        <v>70.190311049999991</v>
      </c>
      <c r="J457" s="1">
        <f>IF(ISNUMBER([455]Main!$C$11),[455]Main!$C$11,"")</f>
        <v>6.3749102852307948E-2</v>
      </c>
      <c r="K457" s="11">
        <f t="shared" si="7"/>
        <v>-0.97698588344682025</v>
      </c>
      <c r="L457" s="12" t="str">
        <f>[455]Main!$C$15&amp;" ("&amp;[455]Main!$C$14&amp;")"</f>
        <v>Net cash (pre-revenue)</v>
      </c>
      <c r="M457" s="13">
        <v>46339</v>
      </c>
      <c r="N457" s="17" t="s">
        <v>156</v>
      </c>
    </row>
    <row r="458" spans="2:14" x14ac:dyDescent="0.2">
      <c r="B458" s="3" t="s">
        <v>984</v>
      </c>
      <c r="C458" t="s">
        <v>985</v>
      </c>
      <c r="D458" t="s">
        <v>22</v>
      </c>
      <c r="E458" s="6" t="s">
        <v>33</v>
      </c>
      <c r="F458" s="1">
        <v>1.36</v>
      </c>
      <c r="G458" s="8">
        <f>F458*[456]Main!$C$4</f>
        <v>66.940894560000004</v>
      </c>
      <c r="H458" s="10">
        <f>G458-[456]Main!$C$7+[456]Main!$C$8</f>
        <v>41.524973560000007</v>
      </c>
      <c r="J458" s="1">
        <f>IF(ISNUMBER([456]Main!$C$11),[456]Main!$C$11,"")</f>
        <v>0.51636078046459855</v>
      </c>
      <c r="K458" s="11">
        <f t="shared" si="7"/>
        <v>-0.62032295554073635</v>
      </c>
      <c r="L458" s="12" t="str">
        <f>[456]Main!$C$15&amp;" ("&amp;[456]Main!$C$14&amp;")"</f>
        <v>Net cash (pre-revenue)</v>
      </c>
      <c r="M458" s="13">
        <v>46337</v>
      </c>
      <c r="N458" s="17" t="s">
        <v>104</v>
      </c>
    </row>
    <row r="459" spans="2:14" x14ac:dyDescent="0.2">
      <c r="B459" s="3" t="s">
        <v>986</v>
      </c>
      <c r="C459" t="s">
        <v>987</v>
      </c>
      <c r="D459" t="s">
        <v>15</v>
      </c>
      <c r="E459" s="6" t="s">
        <v>33</v>
      </c>
      <c r="F459" s="1">
        <v>0.73380000000000001</v>
      </c>
      <c r="G459" s="8">
        <f>F459*[457]Main!$C$4</f>
        <v>69.779790814799995</v>
      </c>
      <c r="H459" s="10">
        <f>G459-[457]Main!$C$7+[457]Main!$C$8</f>
        <v>35.767790814799994</v>
      </c>
      <c r="J459" s="1">
        <f>IF(ISNUMBER([457]Main!$C$11),[457]Main!$C$11,"")</f>
        <v>0.35766810574482999</v>
      </c>
      <c r="K459" s="11">
        <f t="shared" si="7"/>
        <v>-0.51258094065844917</v>
      </c>
      <c r="L459" s="12" t="str">
        <f>[457]Main!$C$15&amp;" ("&amp;[457]Main!$C$14&amp;")"</f>
        <v>Net cash (pre-revenue)</v>
      </c>
      <c r="M459" s="13">
        <v>46331</v>
      </c>
      <c r="N459" s="17" t="s">
        <v>63</v>
      </c>
    </row>
    <row r="460" spans="2:14" x14ac:dyDescent="0.2">
      <c r="B460" s="3" t="s">
        <v>988</v>
      </c>
      <c r="C460" t="s">
        <v>989</v>
      </c>
      <c r="D460" t="s">
        <v>22</v>
      </c>
      <c r="E460" s="6" t="s">
        <v>33</v>
      </c>
      <c r="F460" s="1">
        <v>0.35449999999999998</v>
      </c>
      <c r="G460" s="8">
        <f>F460*[458]Main!$C$4</f>
        <v>67.302642831499995</v>
      </c>
      <c r="H460" s="10">
        <f>G460-[458]Main!$C$7+[458]Main!$C$8</f>
        <v>58.527642831499989</v>
      </c>
      <c r="J460" s="1">
        <f>IF(ISNUMBER([458]Main!$C$11),[458]Main!$C$11,"")</f>
        <v>0.64449841421758247</v>
      </c>
      <c r="K460" s="11">
        <f t="shared" si="7"/>
        <v>0.81804912332181234</v>
      </c>
      <c r="L460" s="12" t="str">
        <f>[458]Main!$C$15&amp;" ("&amp;[458]Main!$C$14&amp;")"</f>
        <v>DCF (Base)</v>
      </c>
      <c r="M460" s="13">
        <v>46329</v>
      </c>
      <c r="N460" s="17" t="s">
        <v>134</v>
      </c>
    </row>
    <row r="461" spans="2:14" x14ac:dyDescent="0.2">
      <c r="B461" s="3" t="s">
        <v>990</v>
      </c>
      <c r="C461" t="s">
        <v>991</v>
      </c>
      <c r="D461" t="s">
        <v>15</v>
      </c>
      <c r="E461" s="6" t="s">
        <v>33</v>
      </c>
      <c r="F461" s="1">
        <v>1.49</v>
      </c>
      <c r="G461" s="8">
        <f>F461*[459]Main!$C$4</f>
        <v>70.613150239999996</v>
      </c>
      <c r="H461" s="10">
        <f>G461-[459]Main!$C$7+[459]Main!$C$8</f>
        <v>74.016877319656601</v>
      </c>
      <c r="J461" s="1">
        <f>IF(ISNUMBER([459]Main!$C$11),[459]Main!$C$11,"")</f>
        <v>-7.1821655477076751E-2</v>
      </c>
      <c r="K461" s="11">
        <f t="shared" si="7"/>
        <v>-1.04820245334032</v>
      </c>
      <c r="L461" s="12" t="str">
        <f>[459]Main!$C$15&amp;" ("&amp;[459]Main!$C$14&amp;")"</f>
        <v>Net cash (small revenue)</v>
      </c>
      <c r="M461" s="13"/>
      <c r="N461" s="17"/>
    </row>
    <row r="462" spans="2:14" x14ac:dyDescent="0.2">
      <c r="B462" s="3" t="s">
        <v>992</v>
      </c>
      <c r="C462" t="s">
        <v>993</v>
      </c>
      <c r="D462" t="s">
        <v>22</v>
      </c>
      <c r="E462" s="6" t="s">
        <v>33</v>
      </c>
      <c r="F462" s="1">
        <v>1.22</v>
      </c>
      <c r="G462" s="8">
        <f>F462*[460]Main!$C$4</f>
        <v>71.046488940000003</v>
      </c>
      <c r="H462" s="10">
        <f>G462-[460]Main!$C$7+[460]Main!$C$8</f>
        <v>20.363488940000003</v>
      </c>
      <c r="J462" s="1">
        <f>IF(ISNUMBER([460]Main!$C$11),[460]Main!$C$11,"")</f>
        <v>0.87032112244447812</v>
      </c>
      <c r="K462" s="11">
        <f t="shared" si="7"/>
        <v>-0.28662203078321469</v>
      </c>
      <c r="L462" s="12" t="str">
        <f>[460]Main!$C$15&amp;" ("&amp;[460]Main!$C$14&amp;")"</f>
        <v>Net cash (small revenue)</v>
      </c>
      <c r="M462" s="13">
        <v>46338</v>
      </c>
      <c r="N462" s="17" t="s">
        <v>190</v>
      </c>
    </row>
    <row r="463" spans="2:14" x14ac:dyDescent="0.2">
      <c r="B463" s="3" t="s">
        <v>994</v>
      </c>
      <c r="C463" t="s">
        <v>995</v>
      </c>
      <c r="D463" t="s">
        <v>22</v>
      </c>
      <c r="E463" s="6" t="s">
        <v>16</v>
      </c>
      <c r="F463" s="1">
        <v>1.27</v>
      </c>
      <c r="G463" s="8">
        <f>F463*[461]Main!$C$4</f>
        <v>58.579797749999997</v>
      </c>
      <c r="H463" s="10">
        <f>G463-[461]Main!$C$7+[461]Main!$C$8</f>
        <v>58.374762749999995</v>
      </c>
      <c r="J463" s="1">
        <f>IF(ISNUMBER([461]Main!$C$11),[461]Main!$C$11,"")</f>
        <v>4.4451237457541412E-3</v>
      </c>
      <c r="K463" s="11">
        <f t="shared" si="7"/>
        <v>-0.99649990256239829</v>
      </c>
      <c r="L463" s="12" t="str">
        <f>[461]Main!$C$15&amp;" ("&amp;[461]Main!$C$14&amp;")"</f>
        <v>Net cash (pre-revenue)</v>
      </c>
      <c r="M463" s="13">
        <v>46339</v>
      </c>
      <c r="N463" s="17" t="s">
        <v>156</v>
      </c>
    </row>
    <row r="464" spans="2:14" x14ac:dyDescent="0.2">
      <c r="B464" s="3" t="s">
        <v>996</v>
      </c>
      <c r="C464" t="s">
        <v>997</v>
      </c>
      <c r="D464" t="s">
        <v>22</v>
      </c>
      <c r="E464" s="6" t="s">
        <v>33</v>
      </c>
      <c r="F464" s="1">
        <v>1.39</v>
      </c>
      <c r="G464" s="8">
        <f>F464*[462]Main!$C$4</f>
        <v>74.306700620000001</v>
      </c>
      <c r="H464" s="10">
        <f>G464-[462]Main!$C$7+[462]Main!$C$8</f>
        <v>-5.1242993799999965</v>
      </c>
      <c r="J464" s="1">
        <f>IF(ISNUMBER([462]Main!$C$11),[462]Main!$C$11,"")</f>
        <v>1.4858564446916496</v>
      </c>
      <c r="K464" s="11">
        <f t="shared" si="7"/>
        <v>6.8961471001186769E-2</v>
      </c>
      <c r="L464" s="12" t="str">
        <f>[462]Main!$C$15&amp;" ("&amp;[462]Main!$C$14&amp;")"</f>
        <v>Net cash (pre-revenue)</v>
      </c>
      <c r="M464" s="13">
        <v>46337</v>
      </c>
      <c r="N464" s="17" t="s">
        <v>104</v>
      </c>
    </row>
    <row r="465" spans="2:14" x14ac:dyDescent="0.2">
      <c r="B465" s="3" t="s">
        <v>998</v>
      </c>
      <c r="C465" t="s">
        <v>999</v>
      </c>
      <c r="D465" t="s">
        <v>22</v>
      </c>
      <c r="E465" s="6" t="s">
        <v>33</v>
      </c>
      <c r="F465" s="1">
        <v>2.02</v>
      </c>
      <c r="G465" s="8">
        <f>F465*[463]Main!$C$4</f>
        <v>61.585216620000004</v>
      </c>
      <c r="H465" s="10">
        <f>G465-[463]Main!$C$7+[463]Main!$C$8</f>
        <v>-47.942783380000002</v>
      </c>
      <c r="J465" s="1">
        <f>IF(ISNUMBER([463]Main!$C$11),[463]Main!$C$11,"")</f>
        <v>3.5925271054116821</v>
      </c>
      <c r="K465" s="11">
        <f t="shared" si="7"/>
        <v>0.77847876505528824</v>
      </c>
      <c r="L465" s="12" t="str">
        <f>[463]Main!$C$15&amp;" ("&amp;[463]Main!$C$14&amp;")"</f>
        <v>Net cash (pre-revenue)</v>
      </c>
      <c r="M465" s="13">
        <v>46337</v>
      </c>
      <c r="N465" s="17" t="s">
        <v>104</v>
      </c>
    </row>
    <row r="466" spans="2:14" x14ac:dyDescent="0.2">
      <c r="B466" s="3" t="s">
        <v>1000</v>
      </c>
      <c r="C466" t="s">
        <v>1001</v>
      </c>
      <c r="D466" t="s">
        <v>22</v>
      </c>
      <c r="E466" s="6" t="s">
        <v>33</v>
      </c>
      <c r="F466" s="1">
        <v>0.49859999999999999</v>
      </c>
      <c r="G466" s="8">
        <f>F466*[464]Main!$C$4</f>
        <v>63.576737792999992</v>
      </c>
      <c r="H466" s="10">
        <f>G466-[464]Main!$C$7+[464]Main!$C$8</f>
        <v>59.46173779299999</v>
      </c>
      <c r="J466" s="1">
        <f>IF(ISNUMBER([464]Main!$C$11),[464]Main!$C$11,"")</f>
        <v>3.2271850856523551E-2</v>
      </c>
      <c r="K466" s="11">
        <f t="shared" si="7"/>
        <v>-0.93527506847869324</v>
      </c>
      <c r="L466" s="12" t="str">
        <f>[464]Main!$C$15&amp;" ("&amp;[464]Main!$C$14&amp;")"</f>
        <v>Net cash (pre-revenue)</v>
      </c>
      <c r="M466" s="13">
        <v>46337</v>
      </c>
      <c r="N466" s="17" t="s">
        <v>104</v>
      </c>
    </row>
    <row r="467" spans="2:14" x14ac:dyDescent="0.2">
      <c r="B467" s="3" t="s">
        <v>1002</v>
      </c>
      <c r="C467" t="s">
        <v>1003</v>
      </c>
      <c r="D467" t="s">
        <v>15</v>
      </c>
      <c r="E467" s="6" t="s">
        <v>33</v>
      </c>
      <c r="F467" s="1">
        <v>4.53</v>
      </c>
      <c r="G467" s="8">
        <f>F467*[465]Main!$C$4</f>
        <v>65.874471780000007</v>
      </c>
      <c r="H467" s="10">
        <f>G467-[465]Main!$C$7+[465]Main!$C$8</f>
        <v>42.538945780000006</v>
      </c>
      <c r="J467" s="1">
        <f>IF(ISNUMBER([465]Main!$C$11),[465]Main!$C$11,"")</f>
        <v>1.6047177293965698</v>
      </c>
      <c r="K467" s="11">
        <f t="shared" si="7"/>
        <v>-0.64575767562989639</v>
      </c>
      <c r="L467" s="12" t="str">
        <f>[465]Main!$C$15&amp;" ("&amp;[465]Main!$C$14&amp;")"</f>
        <v>Net cash (pre-revenue)</v>
      </c>
      <c r="M467" s="13">
        <v>46338</v>
      </c>
      <c r="N467" s="17" t="s">
        <v>190</v>
      </c>
    </row>
    <row r="468" spans="2:14" x14ac:dyDescent="0.2">
      <c r="B468" s="3" t="s">
        <v>1004</v>
      </c>
      <c r="C468" t="s">
        <v>1005</v>
      </c>
      <c r="D468" t="s">
        <v>22</v>
      </c>
      <c r="E468" s="6" t="s">
        <v>33</v>
      </c>
      <c r="F468" s="1">
        <v>0.96050000000000002</v>
      </c>
      <c r="G468" s="8">
        <f>F468*[466]Main!$C$4</f>
        <v>53.760470149000007</v>
      </c>
      <c r="H468" s="10">
        <f>G468-[466]Main!$C$7+[466]Main!$C$8</f>
        <v>52.486716149000003</v>
      </c>
      <c r="J468" s="1">
        <f>IF(ISNUMBER([466]Main!$C$11),[466]Main!$C$11,"")</f>
        <v>2.2757254793515928E-2</v>
      </c>
      <c r="K468" s="11">
        <f t="shared" si="7"/>
        <v>-0.97630686643048836</v>
      </c>
      <c r="L468" s="12" t="str">
        <f>[466]Main!$C$15&amp;" ("&amp;[466]Main!$C$14&amp;")"</f>
        <v>Net cash (pre-revenue)</v>
      </c>
      <c r="M468" s="13">
        <v>46338</v>
      </c>
      <c r="N468" s="17" t="s">
        <v>190</v>
      </c>
    </row>
    <row r="469" spans="2:14" x14ac:dyDescent="0.2">
      <c r="B469" s="3" t="s">
        <v>1006</v>
      </c>
      <c r="C469" t="s">
        <v>1007</v>
      </c>
      <c r="D469" t="s">
        <v>22</v>
      </c>
      <c r="E469" s="6" t="s">
        <v>33</v>
      </c>
      <c r="F469" s="1">
        <v>3.72</v>
      </c>
      <c r="G469" s="8">
        <f>F469*[467]Main!$C$4</f>
        <v>59.895972960000009</v>
      </c>
      <c r="H469" s="10">
        <f>G469-[467]Main!$C$7+[467]Main!$C$8</f>
        <v>47.225829960000013</v>
      </c>
      <c r="J469" s="1">
        <f>IF(ISNUMBER([467]Main!$C$11),[467]Main!$C$11,"")</f>
        <v>0.7869132035216545</v>
      </c>
      <c r="K469" s="11">
        <f t="shared" si="7"/>
        <v>-0.78846419260170575</v>
      </c>
      <c r="L469" s="12" t="str">
        <f>[467]Main!$C$15&amp;" ("&amp;[467]Main!$C$14&amp;")"</f>
        <v>Net cash (pre-revenue)</v>
      </c>
      <c r="M469" s="13">
        <v>46337</v>
      </c>
      <c r="N469" s="17" t="s">
        <v>104</v>
      </c>
    </row>
    <row r="470" spans="2:14" x14ac:dyDescent="0.2">
      <c r="B470" s="3" t="s">
        <v>1008</v>
      </c>
      <c r="C470" t="s">
        <v>1009</v>
      </c>
      <c r="D470" t="s">
        <v>22</v>
      </c>
      <c r="E470" s="6" t="s">
        <v>33</v>
      </c>
      <c r="F470" s="1">
        <v>1.94</v>
      </c>
      <c r="G470" s="8">
        <f>F470*[468]Main!$C$4</f>
        <v>64.623363279999992</v>
      </c>
      <c r="H470" s="10">
        <f>G470-[468]Main!$C$7+[468]Main!$C$8</f>
        <v>-92.350636719999983</v>
      </c>
      <c r="J470" s="1">
        <f>IF(ISNUMBER([468]Main!$C$11),[468]Main!$C$11,"")</f>
        <v>4.7202139080263921</v>
      </c>
      <c r="K470" s="11">
        <f t="shared" si="7"/>
        <v>1.4330999525909238</v>
      </c>
      <c r="L470" s="12" t="str">
        <f>[468]Main!$C$15&amp;" ("&amp;[468]Main!$C$14&amp;")"</f>
        <v>DCF (Base)</v>
      </c>
      <c r="M470" s="13">
        <v>46339</v>
      </c>
      <c r="N470" s="17" t="s">
        <v>156</v>
      </c>
    </row>
    <row r="471" spans="2:14" x14ac:dyDescent="0.2">
      <c r="B471" s="3" t="s">
        <v>1010</v>
      </c>
      <c r="C471" t="s">
        <v>1011</v>
      </c>
      <c r="D471" t="s">
        <v>15</v>
      </c>
      <c r="E471" s="6" t="s">
        <v>33</v>
      </c>
      <c r="F471" s="1">
        <v>3.47</v>
      </c>
      <c r="G471" s="8">
        <f>F471*[469]Main!$C$4</f>
        <v>59.610387420000002</v>
      </c>
      <c r="H471" s="10">
        <f>G471-[469]Main!$C$7+[469]Main!$C$8</f>
        <v>48.412387420000002</v>
      </c>
      <c r="J471" s="1">
        <f>IF(ISNUMBER([469]Main!$C$11),[469]Main!$C$11,"")</f>
        <v>0.6518504858259484</v>
      </c>
      <c r="K471" s="11">
        <f t="shared" si="7"/>
        <v>-0.8121468340559227</v>
      </c>
      <c r="L471" s="12" t="str">
        <f>[469]Main!$C$15&amp;" ("&amp;[469]Main!$C$14&amp;")"</f>
        <v>Net cash (small revenue)</v>
      </c>
      <c r="M471" s="13">
        <v>46339</v>
      </c>
      <c r="N471" s="17" t="s">
        <v>156</v>
      </c>
    </row>
    <row r="472" spans="2:14" x14ac:dyDescent="0.2">
      <c r="B472" s="3" t="s">
        <v>1012</v>
      </c>
      <c r="C472" t="s">
        <v>1013</v>
      </c>
      <c r="D472" t="s">
        <v>22</v>
      </c>
      <c r="E472" s="6" t="s">
        <v>33</v>
      </c>
      <c r="F472" s="1">
        <v>0.73560000000000003</v>
      </c>
      <c r="G472" s="8">
        <f>F472*[470]Main!$C$4</f>
        <v>53.319121531200004</v>
      </c>
      <c r="H472" s="10">
        <f>G472-[470]Main!$C$7+[470]Main!$C$8</f>
        <v>18.495121531200006</v>
      </c>
      <c r="J472" s="1">
        <f>IF(ISNUMBER([470]Main!$C$11),[470]Main!$C$11,"")</f>
        <v>0.48043804294506864</v>
      </c>
      <c r="K472" s="11">
        <f t="shared" si="7"/>
        <v>-0.34687596119484965</v>
      </c>
      <c r="L472" s="12" t="str">
        <f>[470]Main!$C$15&amp;" ("&amp;[470]Main!$C$14&amp;")"</f>
        <v>Net cash (pre-revenue)</v>
      </c>
      <c r="M472" s="13">
        <v>46329</v>
      </c>
      <c r="N472" s="17" t="s">
        <v>134</v>
      </c>
    </row>
    <row r="473" spans="2:14" x14ac:dyDescent="0.2">
      <c r="B473" s="3" t="s">
        <v>1014</v>
      </c>
      <c r="C473" t="s">
        <v>1015</v>
      </c>
      <c r="D473" t="s">
        <v>22</v>
      </c>
      <c r="E473" s="6" t="s">
        <v>33</v>
      </c>
      <c r="F473" s="1">
        <v>1.19</v>
      </c>
      <c r="G473" s="8">
        <f>F473*[471]Main!$C$4</f>
        <v>51.935906609999996</v>
      </c>
      <c r="H473" s="10">
        <f>G473-[471]Main!$C$7+[471]Main!$C$8</f>
        <v>39.195448609999993</v>
      </c>
      <c r="J473" s="1">
        <f>IF(ISNUMBER([471]Main!$C$11),[471]Main!$C$11,"")</f>
        <v>0.29192029194462538</v>
      </c>
      <c r="K473" s="11">
        <f t="shared" si="7"/>
        <v>-0.75468883029863409</v>
      </c>
      <c r="L473" s="12" t="str">
        <f>[471]Main!$C$15&amp;" ("&amp;[471]Main!$C$14&amp;")"</f>
        <v>Net cash (pre-revenue)</v>
      </c>
      <c r="M473" s="13">
        <v>46337</v>
      </c>
      <c r="N473" s="17" t="s">
        <v>104</v>
      </c>
    </row>
    <row r="474" spans="2:14" x14ac:dyDescent="0.2">
      <c r="B474" s="3" t="s">
        <v>1016</v>
      </c>
      <c r="C474" t="s">
        <v>1017</v>
      </c>
      <c r="D474" t="s">
        <v>22</v>
      </c>
      <c r="E474" s="6" t="s">
        <v>33</v>
      </c>
      <c r="F474" s="1">
        <v>0.87519999999999998</v>
      </c>
      <c r="G474" s="8">
        <f>F474*[472]Main!$C$4</f>
        <v>55.115115236799994</v>
      </c>
      <c r="H474" s="10">
        <f>G474-[472]Main!$C$7+[472]Main!$C$8</f>
        <v>23.629115236799993</v>
      </c>
      <c r="J474" s="1">
        <f>IF(ISNUMBER([472]Main!$C$11),[472]Main!$C$11,"")</f>
        <v>0.49998166712714548</v>
      </c>
      <c r="K474" s="11">
        <f t="shared" si="7"/>
        <v>-0.42872295803571125</v>
      </c>
      <c r="L474" s="12" t="str">
        <f>[472]Main!$C$15&amp;" ("&amp;[472]Main!$C$14&amp;")"</f>
        <v>Net cash (pre-revenue)</v>
      </c>
      <c r="M474" s="13">
        <v>46337</v>
      </c>
      <c r="N474" s="17" t="s">
        <v>104</v>
      </c>
    </row>
    <row r="475" spans="2:14" x14ac:dyDescent="0.2">
      <c r="B475" s="3" t="s">
        <v>1018</v>
      </c>
      <c r="C475" t="s">
        <v>1019</v>
      </c>
      <c r="D475" t="s">
        <v>22</v>
      </c>
      <c r="E475" s="6" t="s">
        <v>33</v>
      </c>
      <c r="F475" s="1">
        <v>8.5399999999999991</v>
      </c>
      <c r="G475" s="8">
        <f>F475*[473]Main!$C$4</f>
        <v>56.194472459999993</v>
      </c>
      <c r="H475" s="10">
        <f>G475-[473]Main!$C$7+[473]Main!$C$8</f>
        <v>-79.845527540000006</v>
      </c>
      <c r="J475" s="1">
        <f>IF(ISNUMBER([473]Main!$C$11),[473]Main!$C$11,"")</f>
        <v>20.674303879744972</v>
      </c>
      <c r="K475" s="11">
        <f t="shared" si="7"/>
        <v>1.4208786744432054</v>
      </c>
      <c r="L475" s="12" t="str">
        <f>[473]Main!$C$15&amp;" ("&amp;[473]Main!$C$14&amp;")"</f>
        <v>Net cash (revenue jump)</v>
      </c>
      <c r="M475" s="13">
        <v>46338</v>
      </c>
      <c r="N475" s="17" t="s">
        <v>190</v>
      </c>
    </row>
    <row r="476" spans="2:14" x14ac:dyDescent="0.2">
      <c r="B476" s="3" t="s">
        <v>1020</v>
      </c>
      <c r="C476" t="s">
        <v>1021</v>
      </c>
      <c r="D476" t="s">
        <v>15</v>
      </c>
      <c r="E476" s="6" t="s">
        <v>33</v>
      </c>
      <c r="F476" s="1">
        <v>0.91239999999999999</v>
      </c>
      <c r="G476" s="8">
        <f>F476*[474]Main!$C$4</f>
        <v>56.497538822800003</v>
      </c>
      <c r="H476" s="10">
        <f>G476-[474]Main!$C$7+[474]Main!$C$8</f>
        <v>-101.60346117719999</v>
      </c>
      <c r="J476" s="1">
        <f>IF(ISNUMBER([474]Main!$C$11),[474]Main!$C$11,"")</f>
        <v>2.5532325019047786</v>
      </c>
      <c r="K476" s="11">
        <f t="shared" si="7"/>
        <v>1.7983696864366272</v>
      </c>
      <c r="L476" s="12" t="str">
        <f>[474]Main!$C$15&amp;" ("&amp;[474]Main!$C$14&amp;")"</f>
        <v>Net cash (pre-revenue)</v>
      </c>
      <c r="M476" s="13">
        <v>46331</v>
      </c>
      <c r="N476" s="17" t="s">
        <v>63</v>
      </c>
    </row>
    <row r="477" spans="2:14" x14ac:dyDescent="0.2">
      <c r="B477" s="3" t="s">
        <v>1022</v>
      </c>
      <c r="C477" t="s">
        <v>1023</v>
      </c>
      <c r="D477" t="s">
        <v>15</v>
      </c>
      <c r="E477" s="6" t="s">
        <v>33</v>
      </c>
      <c r="F477" s="1">
        <v>1.07</v>
      </c>
      <c r="G477" s="8">
        <f>F477*[475]Main!$C$4</f>
        <v>55.539201720000008</v>
      </c>
      <c r="H477" s="10">
        <f>G477-[475]Main!$C$7+[475]Main!$C$8</f>
        <v>38.463201720000008</v>
      </c>
      <c r="J477" s="1">
        <f>IF(ISNUMBER([475]Main!$C$11),[475]Main!$C$11,"")</f>
        <v>0.3289806017039022</v>
      </c>
      <c r="K477" s="11">
        <f t="shared" si="7"/>
        <v>-0.69254149373467089</v>
      </c>
      <c r="L477" s="12" t="str">
        <f>[475]Main!$C$15&amp;" ("&amp;[475]Main!$C$14&amp;")"</f>
        <v>Net cash (pre-revenue)</v>
      </c>
      <c r="M477" s="13">
        <v>46337</v>
      </c>
      <c r="N477" s="17" t="s">
        <v>104</v>
      </c>
    </row>
    <row r="478" spans="2:14" x14ac:dyDescent="0.2">
      <c r="B478" s="3" t="s">
        <v>1024</v>
      </c>
      <c r="C478" t="s">
        <v>1025</v>
      </c>
      <c r="D478" t="s">
        <v>22</v>
      </c>
      <c r="E478" s="6" t="s">
        <v>33</v>
      </c>
      <c r="F478" s="1">
        <v>1.62</v>
      </c>
      <c r="G478" s="8">
        <f>F478*[476]Main!$C$4</f>
        <v>57.382689060000004</v>
      </c>
      <c r="H478" s="10">
        <f>G478-[476]Main!$C$7+[476]Main!$C$8</f>
        <v>47.461598060000007</v>
      </c>
      <c r="J478" s="1">
        <f>IF(ISNUMBER([476]Main!$C$11),[476]Main!$C$11,"")</f>
        <v>0.28008738668895</v>
      </c>
      <c r="K478" s="11">
        <f t="shared" si="7"/>
        <v>-0.82710655142657408</v>
      </c>
      <c r="L478" s="12" t="str">
        <f>[476]Main!$C$15&amp;" ("&amp;[476]Main!$C$14&amp;")"</f>
        <v>Net cash (pre-revenue)</v>
      </c>
      <c r="M478" s="13">
        <v>46335</v>
      </c>
      <c r="N478" s="17" t="s">
        <v>87</v>
      </c>
    </row>
    <row r="479" spans="2:14" x14ac:dyDescent="0.2">
      <c r="B479" s="3" t="s">
        <v>1026</v>
      </c>
      <c r="C479" t="s">
        <v>1027</v>
      </c>
      <c r="D479" t="s">
        <v>22</v>
      </c>
      <c r="E479" s="6" t="s">
        <v>33</v>
      </c>
      <c r="F479" s="1">
        <v>0.59509999999999996</v>
      </c>
      <c r="G479" s="8">
        <f>F479*[477]Main!$C$4</f>
        <v>51.337510743199999</v>
      </c>
      <c r="H479" s="10">
        <f>G479-[477]Main!$C$7+[477]Main!$C$8</f>
        <v>7.7105107431999969</v>
      </c>
      <c r="J479" s="1">
        <f>IF(ISNUMBER([477]Main!$C$11),[477]Main!$C$11,"")</f>
        <v>0.50572042399696793</v>
      </c>
      <c r="K479" s="11">
        <f t="shared" si="7"/>
        <v>-0.15019253235259966</v>
      </c>
      <c r="L479" s="12" t="str">
        <f>[477]Main!$C$15&amp;" ("&amp;[477]Main!$C$14&amp;")"</f>
        <v>Net cash (pre-revenue)</v>
      </c>
      <c r="M479" s="13">
        <v>46339</v>
      </c>
      <c r="N479" s="17" t="s">
        <v>156</v>
      </c>
    </row>
    <row r="480" spans="2:14" x14ac:dyDescent="0.2">
      <c r="B480" s="3" t="s">
        <v>1028</v>
      </c>
      <c r="C480" t="s">
        <v>1029</v>
      </c>
      <c r="D480" t="s">
        <v>22</v>
      </c>
      <c r="E480" s="6" t="s">
        <v>33</v>
      </c>
      <c r="F480" s="1">
        <v>1.2</v>
      </c>
      <c r="G480" s="8">
        <f>F480*[478]Main!$C$4</f>
        <v>54.155409599999999</v>
      </c>
      <c r="H480" s="10">
        <f>G480-[478]Main!$C$7+[478]Main!$C$8</f>
        <v>44.6764096</v>
      </c>
      <c r="J480" s="1">
        <f>IF(ISNUMBER([478]Main!$C$11),[478]Main!$C$11,"")</f>
        <v>0.21003995877819007</v>
      </c>
      <c r="K480" s="11">
        <f t="shared" si="7"/>
        <v>-0.82496670101817493</v>
      </c>
      <c r="L480" s="12" t="str">
        <f>[478]Main!$C$15&amp;" ("&amp;[478]Main!$C$14&amp;")"</f>
        <v>Net cash (pre-revenue)</v>
      </c>
      <c r="M480" s="13">
        <v>46338</v>
      </c>
      <c r="N480" s="17" t="s">
        <v>190</v>
      </c>
    </row>
    <row r="481" spans="2:14" x14ac:dyDescent="0.2">
      <c r="B481" s="3" t="s">
        <v>1030</v>
      </c>
      <c r="C481" t="s">
        <v>1031</v>
      </c>
      <c r="D481" t="s">
        <v>22</v>
      </c>
      <c r="E481" s="6" t="s">
        <v>33</v>
      </c>
      <c r="F481" s="1">
        <v>20.21</v>
      </c>
      <c r="G481" s="8">
        <f>F481*[479]Main!$C$4</f>
        <v>53.955566660000002</v>
      </c>
      <c r="H481" s="10">
        <f>G481-[479]Main!$C$7+[479]Main!$C$8</f>
        <v>31.030566660000002</v>
      </c>
      <c r="J481" s="1">
        <f>IF(ISNUMBER([479]Main!$C$11),[479]Main!$C$11,"")</f>
        <v>8.5869592088535764</v>
      </c>
      <c r="K481" s="11">
        <f t="shared" si="7"/>
        <v>-0.57511334938873948</v>
      </c>
      <c r="L481" s="12" t="str">
        <f>[479]Main!$C$15&amp;" ("&amp;[479]Main!$C$14&amp;")"</f>
        <v>Net cash (pre-revenue)</v>
      </c>
      <c r="M481" s="13">
        <v>46331</v>
      </c>
      <c r="N481" s="17" t="s">
        <v>63</v>
      </c>
    </row>
    <row r="482" spans="2:14" x14ac:dyDescent="0.2">
      <c r="B482" s="3" t="s">
        <v>1032</v>
      </c>
      <c r="C482" t="s">
        <v>1033</v>
      </c>
      <c r="D482" t="s">
        <v>22</v>
      </c>
      <c r="E482" s="6" t="s">
        <v>33</v>
      </c>
      <c r="F482" s="1">
        <v>2.4300000000000002</v>
      </c>
      <c r="G482" s="8">
        <f>F482*[480]Main!$C$4</f>
        <v>55.277603550000002</v>
      </c>
      <c r="H482" s="10">
        <f>G482-[480]Main!$C$7+[480]Main!$C$8</f>
        <v>-17.348396450000003</v>
      </c>
      <c r="J482" s="1">
        <f>IF(ISNUMBER([480]Main!$C$11),[480]Main!$C$11,"")</f>
        <v>3.1926344245435367</v>
      </c>
      <c r="K482" s="11">
        <f t="shared" si="7"/>
        <v>0.31384132697264877</v>
      </c>
      <c r="L482" s="12" t="str">
        <f>[480]Main!$C$15&amp;" ("&amp;[480]Main!$C$14&amp;")"</f>
        <v>Net cash (pre-revenue)</v>
      </c>
      <c r="M482" s="13">
        <v>46330</v>
      </c>
      <c r="N482" s="17" t="s">
        <v>40</v>
      </c>
    </row>
    <row r="483" spans="2:14" x14ac:dyDescent="0.2">
      <c r="B483" s="3" t="s">
        <v>1034</v>
      </c>
      <c r="C483" t="s">
        <v>1035</v>
      </c>
      <c r="D483" t="s">
        <v>22</v>
      </c>
      <c r="E483" s="6" t="s">
        <v>33</v>
      </c>
      <c r="F483" s="1">
        <v>2.0699999999999998</v>
      </c>
      <c r="G483" s="8">
        <f>F483*[481]Main!$C$4</f>
        <v>49.276310670000001</v>
      </c>
      <c r="H483" s="10">
        <f>G483-[481]Main!$C$7+[481]Main!$C$8</f>
        <v>-44.26168933000001</v>
      </c>
      <c r="J483" s="1">
        <f>IF(ISNUMBER([481]Main!$C$11),[481]Main!$C$11,"")</f>
        <v>3.9293457113030255</v>
      </c>
      <c r="K483" s="11">
        <f t="shared" si="7"/>
        <v>0.89823464314155843</v>
      </c>
      <c r="L483" s="12" t="str">
        <f>[481]Main!$C$15&amp;" ("&amp;[481]Main!$C$14&amp;")"</f>
        <v>Net cash (pre-revenue)</v>
      </c>
      <c r="M483" s="13">
        <v>46337</v>
      </c>
      <c r="N483" s="17" t="s">
        <v>104</v>
      </c>
    </row>
    <row r="484" spans="2:14" x14ac:dyDescent="0.2">
      <c r="B484" s="3" t="s">
        <v>1036</v>
      </c>
      <c r="C484" t="s">
        <v>1037</v>
      </c>
      <c r="D484" t="s">
        <v>22</v>
      </c>
      <c r="E484" s="6" t="s">
        <v>33</v>
      </c>
      <c r="F484" s="1">
        <v>1.63</v>
      </c>
      <c r="G484" s="8">
        <f>F484*[482]Main!$C$4</f>
        <v>61.000984709999997</v>
      </c>
      <c r="H484" s="10">
        <f>G484-[482]Main!$C$7+[482]Main!$C$8</f>
        <v>-56.999015290000003</v>
      </c>
      <c r="J484" s="1">
        <f>IF(ISNUMBER([482]Main!$C$11),[482]Main!$C$11,"")</f>
        <v>3.1530638548605157</v>
      </c>
      <c r="K484" s="11">
        <f t="shared" si="7"/>
        <v>0.93439500298191147</v>
      </c>
      <c r="L484" s="12" t="str">
        <f>[482]Main!$C$15&amp;" ("&amp;[482]Main!$C$14&amp;")"</f>
        <v>Net cash (pre-revenue)</v>
      </c>
      <c r="M484" s="13">
        <v>46337</v>
      </c>
      <c r="N484" s="17" t="s">
        <v>104</v>
      </c>
    </row>
    <row r="485" spans="2:14" x14ac:dyDescent="0.2">
      <c r="B485" s="3" t="s">
        <v>1038</v>
      </c>
      <c r="C485" t="s">
        <v>1039</v>
      </c>
      <c r="D485" t="s">
        <v>22</v>
      </c>
      <c r="E485" s="6" t="s">
        <v>33</v>
      </c>
      <c r="F485" s="1">
        <v>9.86</v>
      </c>
      <c r="G485" s="8">
        <f>F485*[483]Main!$C$4</f>
        <v>50.315599719999994</v>
      </c>
      <c r="H485" s="10">
        <f>G485-[483]Main!$C$7+[483]Main!$C$8</f>
        <v>41.508622719999991</v>
      </c>
      <c r="J485" s="1">
        <f>IF(ISNUMBER([483]Main!$C$11),[483]Main!$C$11,"")</f>
        <v>1.7258423571066599</v>
      </c>
      <c r="K485" s="11">
        <f t="shared" si="7"/>
        <v>-0.82496527818390875</v>
      </c>
      <c r="L485" s="12" t="str">
        <f>[483]Main!$C$15&amp;" ("&amp;[483]Main!$C$14&amp;")"</f>
        <v>Net cash (pre-revenue)</v>
      </c>
      <c r="M485" s="13">
        <v>46339</v>
      </c>
      <c r="N485" s="17" t="s">
        <v>156</v>
      </c>
    </row>
    <row r="486" spans="2:14" x14ac:dyDescent="0.2">
      <c r="B486" s="3" t="s">
        <v>1040</v>
      </c>
      <c r="C486" t="s">
        <v>1041</v>
      </c>
      <c r="D486" t="s">
        <v>22</v>
      </c>
      <c r="E486" s="6" t="s">
        <v>33</v>
      </c>
      <c r="F486" s="1">
        <v>0.51900000000000002</v>
      </c>
      <c r="G486" s="8">
        <f>F486*[484]Main!$C$4</f>
        <v>55.640699247000008</v>
      </c>
      <c r="H486" s="10">
        <f>G486-[484]Main!$C$7+[484]Main!$C$8</f>
        <v>-58.159300752999989</v>
      </c>
      <c r="J486" s="1">
        <f>IF(ISNUMBER([484]Main!$C$11),[484]Main!$C$11,"")</f>
        <v>1.0614927705673014</v>
      </c>
      <c r="K486" s="11">
        <f t="shared" si="7"/>
        <v>1.0452654538869006</v>
      </c>
      <c r="L486" s="12" t="str">
        <f>[484]Main!$C$15&amp;" ("&amp;[484]Main!$C$14&amp;")"</f>
        <v>Net cash (small revenue)</v>
      </c>
      <c r="M486" s="13">
        <v>46337</v>
      </c>
      <c r="N486" s="17" t="s">
        <v>104</v>
      </c>
    </row>
    <row r="487" spans="2:14" x14ac:dyDescent="0.2">
      <c r="B487" s="3" t="s">
        <v>1042</v>
      </c>
      <c r="C487" t="s">
        <v>1043</v>
      </c>
      <c r="D487" t="s">
        <v>15</v>
      </c>
      <c r="E487" s="6" t="s">
        <v>33</v>
      </c>
      <c r="F487" s="1">
        <v>5.27</v>
      </c>
      <c r="G487" s="8">
        <f>F487*[485]Main!$C$4</f>
        <v>49.65216401</v>
      </c>
      <c r="H487" s="10">
        <f>G487-[485]Main!$C$7+[485]Main!$C$8</f>
        <v>-1.4148359900000003</v>
      </c>
      <c r="J487" s="1">
        <f>IF(ISNUMBER([485]Main!$C$11),[485]Main!$C$11,"")</f>
        <v>5.4201683927773683</v>
      </c>
      <c r="K487" s="11">
        <f t="shared" si="7"/>
        <v>2.8494951191151641E-2</v>
      </c>
      <c r="L487" s="12" t="str">
        <f>[485]Main!$C$15&amp;" ("&amp;[485]Main!$C$14&amp;")"</f>
        <v>Net cash (pre-revenue)</v>
      </c>
      <c r="M487" s="13">
        <v>46331</v>
      </c>
      <c r="N487" s="17" t="s">
        <v>63</v>
      </c>
    </row>
    <row r="488" spans="2:14" x14ac:dyDescent="0.2">
      <c r="B488" s="3" t="s">
        <v>1044</v>
      </c>
      <c r="C488" t="s">
        <v>1045</v>
      </c>
      <c r="D488" t="s">
        <v>22</v>
      </c>
      <c r="E488" s="6" t="s">
        <v>33</v>
      </c>
      <c r="F488" s="1">
        <v>2.37</v>
      </c>
      <c r="G488" s="8">
        <f>F488*[486]Main!$C$4</f>
        <v>42.958000245000001</v>
      </c>
      <c r="H488" s="10">
        <f>G488-[486]Main!$C$7+[486]Main!$C$8</f>
        <v>19.853616111388309</v>
      </c>
      <c r="J488" s="1">
        <f>IF(ISNUMBER([486]Main!$C$11),[486]Main!$C$11,"")</f>
        <v>1.2746727055348224</v>
      </c>
      <c r="K488" s="11">
        <f t="shared" si="7"/>
        <v>-0.46216341538615091</v>
      </c>
      <c r="L488" s="12" t="str">
        <f>[486]Main!$C$15&amp;" ("&amp;[486]Main!$C$14&amp;")"</f>
        <v>Net cash (small revenue)</v>
      </c>
      <c r="M488" s="13"/>
      <c r="N488" s="17"/>
    </row>
    <row r="489" spans="2:14" x14ac:dyDescent="0.2">
      <c r="B489" s="3" t="s">
        <v>1046</v>
      </c>
      <c r="C489" t="s">
        <v>1047</v>
      </c>
      <c r="D489" t="s">
        <v>22</v>
      </c>
      <c r="E489" s="6" t="s">
        <v>33</v>
      </c>
      <c r="F489" s="1">
        <v>0.82099999999999995</v>
      </c>
      <c r="G489" s="8">
        <f>F489*[487]Main!$C$4</f>
        <v>52.79625717599999</v>
      </c>
      <c r="H489" s="10">
        <f>G489-[487]Main!$C$7+[487]Main!$C$8</f>
        <v>-35.242742824000011</v>
      </c>
      <c r="J489" s="1">
        <f>IF(ISNUMBER([487]Main!$C$11),[487]Main!$C$11,"")</f>
        <v>1.3690368004506366</v>
      </c>
      <c r="K489" s="11">
        <f t="shared" si="7"/>
        <v>0.66752350846606179</v>
      </c>
      <c r="L489" s="12" t="str">
        <f>[487]Main!$C$15&amp;" ("&amp;[487]Main!$C$14&amp;")"</f>
        <v>Net cash (pre-revenue)</v>
      </c>
      <c r="M489" s="13">
        <v>46337</v>
      </c>
      <c r="N489" s="17" t="s">
        <v>104</v>
      </c>
    </row>
    <row r="490" spans="2:14" x14ac:dyDescent="0.2">
      <c r="B490" s="3" t="s">
        <v>1048</v>
      </c>
      <c r="C490" t="s">
        <v>1049</v>
      </c>
      <c r="D490" t="s">
        <v>15</v>
      </c>
      <c r="E490" s="6" t="s">
        <v>33</v>
      </c>
      <c r="F490" s="1">
        <v>2.9750000000000001</v>
      </c>
      <c r="G490" s="8">
        <f>F490*[488]Main!$C$4</f>
        <v>46.229816149999998</v>
      </c>
      <c r="H490" s="10">
        <f>G490-[488]Main!$C$7+[488]Main!$C$8</f>
        <v>45.031277149999994</v>
      </c>
      <c r="J490" s="1">
        <f>IF(ISNUMBER([488]Main!$C$11),[488]Main!$C$11,"")</f>
        <v>7.71288709743225E-2</v>
      </c>
      <c r="K490" s="11">
        <f t="shared" si="7"/>
        <v>-0.97407432908426139</v>
      </c>
      <c r="L490" s="12" t="str">
        <f>[488]Main!$C$15&amp;" ("&amp;[488]Main!$C$14&amp;")"</f>
        <v>Net cash (pre-revenue)</v>
      </c>
      <c r="M490" s="13">
        <v>46338</v>
      </c>
      <c r="N490" s="17" t="s">
        <v>190</v>
      </c>
    </row>
    <row r="491" spans="2:14" x14ac:dyDescent="0.2">
      <c r="B491" s="3" t="s">
        <v>1050</v>
      </c>
      <c r="C491" t="s">
        <v>1051</v>
      </c>
      <c r="D491" t="s">
        <v>22</v>
      </c>
      <c r="E491" s="6" t="s">
        <v>33</v>
      </c>
      <c r="F491" s="1">
        <v>0.22370000000000001</v>
      </c>
      <c r="G491" s="8">
        <f>F491*[489]Main!$C$4</f>
        <v>53.102241102600004</v>
      </c>
      <c r="H491" s="10">
        <f>G491-[489]Main!$C$7+[489]Main!$C$8</f>
        <v>47.347241102600002</v>
      </c>
      <c r="J491" s="1">
        <f>IF(ISNUMBER([489]Main!$C$11),[489]Main!$C$11,"")</f>
        <v>2.42436754696021E-2</v>
      </c>
      <c r="K491" s="11">
        <f t="shared" si="7"/>
        <v>-0.89162415972462183</v>
      </c>
      <c r="L491" s="12" t="str">
        <f>[489]Main!$C$15&amp;" ("&amp;[489]Main!$C$14&amp;")"</f>
        <v>Net cash (pre-revenue)</v>
      </c>
      <c r="M491" s="13">
        <v>46339</v>
      </c>
      <c r="N491" s="17" t="s">
        <v>156</v>
      </c>
    </row>
    <row r="492" spans="2:14" x14ac:dyDescent="0.2">
      <c r="B492" s="3" t="s">
        <v>1052</v>
      </c>
      <c r="C492" t="s">
        <v>1053</v>
      </c>
      <c r="D492" t="s">
        <v>22</v>
      </c>
      <c r="E492" s="6" t="s">
        <v>33</v>
      </c>
      <c r="F492" s="1">
        <v>0.29509999999999997</v>
      </c>
      <c r="G492" s="8">
        <f>F492*[490]Main!$C$4</f>
        <v>47.124806073279998</v>
      </c>
      <c r="H492" s="10">
        <f>G492-[490]Main!$C$7+[490]Main!$C$8</f>
        <v>17.00680607328</v>
      </c>
      <c r="J492" s="1">
        <f>IF(ISNUMBER([490]Main!$C$11),[490]Main!$C$11,"")</f>
        <v>0.1886017692291245</v>
      </c>
      <c r="K492" s="11">
        <f t="shared" si="7"/>
        <v>-0.36088861664139438</v>
      </c>
      <c r="L492" s="12" t="str">
        <f>[490]Main!$C$15&amp;" ("&amp;[490]Main!$C$14&amp;")"</f>
        <v>Net cash (pre-revenue)</v>
      </c>
      <c r="M492" s="13">
        <v>46335</v>
      </c>
      <c r="N492" s="17" t="s">
        <v>87</v>
      </c>
    </row>
    <row r="493" spans="2:14" x14ac:dyDescent="0.2">
      <c r="B493" s="3" t="s">
        <v>1054</v>
      </c>
      <c r="C493" t="s">
        <v>1055</v>
      </c>
      <c r="D493" t="s">
        <v>22</v>
      </c>
      <c r="E493" s="6" t="s">
        <v>33</v>
      </c>
      <c r="F493" s="1">
        <v>1.05</v>
      </c>
      <c r="G493" s="8">
        <f>F493*[491]Main!$C$4</f>
        <v>51.029019300000002</v>
      </c>
      <c r="H493" s="10">
        <f>G493-[491]Main!$C$7+[491]Main!$C$8</f>
        <v>29.042019300000003</v>
      </c>
      <c r="J493" s="1">
        <f>IF(ISNUMBER([491]Main!$C$11),[491]Main!$C$11,"")</f>
        <v>0.45241610198846205</v>
      </c>
      <c r="K493" s="11">
        <f t="shared" si="7"/>
        <v>-0.56912752191575045</v>
      </c>
      <c r="L493" s="12" t="str">
        <f>[491]Main!$C$15&amp;" ("&amp;[491]Main!$C$14&amp;")"</f>
        <v>Net cash (pre-revenue)</v>
      </c>
      <c r="M493" s="13">
        <v>46329</v>
      </c>
      <c r="N493" s="17" t="s">
        <v>134</v>
      </c>
    </row>
    <row r="494" spans="2:14" x14ac:dyDescent="0.2">
      <c r="B494" s="3" t="s">
        <v>1056</v>
      </c>
      <c r="C494" t="s">
        <v>1057</v>
      </c>
      <c r="D494" t="s">
        <v>22</v>
      </c>
      <c r="E494" s="6" t="s">
        <v>33</v>
      </c>
      <c r="F494" s="1">
        <v>3.88</v>
      </c>
      <c r="G494" s="8">
        <f>F494*[492]Main!$C$4</f>
        <v>49.675663279999995</v>
      </c>
      <c r="H494" s="10">
        <f>G494-[492]Main!$C$7+[492]Main!$C$8</f>
        <v>44.084663279999994</v>
      </c>
      <c r="J494" s="1">
        <f>IF(ISNUMBER([492]Main!$C$11),[492]Main!$C$11,"")</f>
        <v>0.43669432006827147</v>
      </c>
      <c r="K494" s="11">
        <f t="shared" si="7"/>
        <v>-0.88744991750817748</v>
      </c>
      <c r="L494" s="12" t="str">
        <f>[492]Main!$C$15&amp;" ("&amp;[492]Main!$C$14&amp;")"</f>
        <v>Net cash (pre-revenue)</v>
      </c>
      <c r="M494" s="13">
        <v>46351</v>
      </c>
      <c r="N494" s="17" t="s">
        <v>977</v>
      </c>
    </row>
    <row r="495" spans="2:14" x14ac:dyDescent="0.2">
      <c r="B495" s="3" t="s">
        <v>1058</v>
      </c>
      <c r="C495" t="s">
        <v>1059</v>
      </c>
      <c r="D495" t="s">
        <v>22</v>
      </c>
      <c r="E495" s="6" t="s">
        <v>33</v>
      </c>
      <c r="F495" s="1">
        <v>1.57</v>
      </c>
      <c r="G495" s="8">
        <f>F495*[493]Main!$C$4</f>
        <v>41.262554739999999</v>
      </c>
      <c r="H495" s="10">
        <f>G495-[493]Main!$C$7+[493]Main!$C$8</f>
        <v>27.317554739999999</v>
      </c>
      <c r="J495" s="1">
        <f>IF(ISNUMBER([493]Main!$C$11),[493]Main!$C$11,"")</f>
        <v>0.53059366144327114</v>
      </c>
      <c r="K495" s="11">
        <f t="shared" si="7"/>
        <v>-0.66204225385778903</v>
      </c>
      <c r="L495" s="12" t="str">
        <f>[493]Main!$C$15&amp;" ("&amp;[493]Main!$C$14&amp;")"</f>
        <v>Net cash (pre-revenue)</v>
      </c>
      <c r="M495" s="13">
        <v>46338</v>
      </c>
      <c r="N495" s="17" t="s">
        <v>190</v>
      </c>
    </row>
    <row r="496" spans="2:14" x14ac:dyDescent="0.2">
      <c r="B496" s="3" t="s">
        <v>1060</v>
      </c>
      <c r="C496" t="s">
        <v>1061</v>
      </c>
      <c r="D496" t="s">
        <v>22</v>
      </c>
      <c r="E496" s="6" t="s">
        <v>33</v>
      </c>
      <c r="F496" s="1">
        <v>6.43</v>
      </c>
      <c r="G496" s="8">
        <f>F496*[494]Main!$C$4</f>
        <v>41.869202199999997</v>
      </c>
      <c r="H496" s="10">
        <f>G496-[494]Main!$C$7+[494]Main!$C$8</f>
        <v>42.4380472</v>
      </c>
      <c r="J496" s="1">
        <f>IF(ISNUMBER([494]Main!$C$11),[494]Main!$C$11,"")</f>
        <v>-8.7359518639215927E-2</v>
      </c>
      <c r="K496" s="11">
        <f t="shared" si="7"/>
        <v>-1.0135862392907022</v>
      </c>
      <c r="L496" s="12" t="str">
        <f>[494]Main!$C$15&amp;" ("&amp;[494]Main!$C$14&amp;")"</f>
        <v>Net cash (pre-revenue)</v>
      </c>
      <c r="M496" s="13">
        <v>46339</v>
      </c>
      <c r="N496" s="17" t="s">
        <v>156</v>
      </c>
    </row>
    <row r="497" spans="2:14" x14ac:dyDescent="0.2">
      <c r="B497" s="3" t="s">
        <v>1062</v>
      </c>
      <c r="C497" t="s">
        <v>1063</v>
      </c>
      <c r="D497" t="s">
        <v>22</v>
      </c>
      <c r="E497" s="6" t="s">
        <v>33</v>
      </c>
      <c r="F497" s="1">
        <v>1.6</v>
      </c>
      <c r="G497" s="8">
        <f>F497*[495]Main!$C$4</f>
        <v>44.406062400000003</v>
      </c>
      <c r="H497" s="10">
        <f>G497-[495]Main!$C$7+[495]Main!$C$8</f>
        <v>25.995062400000002</v>
      </c>
      <c r="J497" s="1">
        <f>IF(ISNUMBER([495]Main!$C$11),[495]Main!$C$11,"")</f>
        <v>0.66336888271363603</v>
      </c>
      <c r="K497" s="11">
        <f t="shared" si="7"/>
        <v>-0.58539444830397747</v>
      </c>
      <c r="L497" s="12" t="str">
        <f>[495]Main!$C$15&amp;" ("&amp;[495]Main!$C$14&amp;")"</f>
        <v>Net cash (pre-revenue)</v>
      </c>
      <c r="M497" s="13">
        <v>46324</v>
      </c>
      <c r="N497" s="17" t="s">
        <v>214</v>
      </c>
    </row>
    <row r="498" spans="2:14" x14ac:dyDescent="0.2">
      <c r="B498" s="3" t="s">
        <v>1064</v>
      </c>
      <c r="C498" t="s">
        <v>1065</v>
      </c>
      <c r="D498" t="s">
        <v>22</v>
      </c>
      <c r="E498" s="6" t="s">
        <v>33</v>
      </c>
      <c r="F498" s="1">
        <v>4.13</v>
      </c>
      <c r="G498" s="8">
        <f>F498*[496]Main!$C$4</f>
        <v>46.88151328</v>
      </c>
      <c r="H498" s="10">
        <f>G498-[496]Main!$C$7+[496]Main!$C$8</f>
        <v>-89.271486720000013</v>
      </c>
      <c r="J498" s="1">
        <f>IF(ISNUMBER([496]Main!$C$11),[496]Main!$C$11,"")</f>
        <v>11.994320376170247</v>
      </c>
      <c r="K498" s="11">
        <f t="shared" si="7"/>
        <v>1.9041937956828687</v>
      </c>
      <c r="L498" s="12" t="str">
        <f>[496]Main!$C$15&amp;" ("&amp;[496]Main!$C$14&amp;")"</f>
        <v>Net cash (pre-revenue)</v>
      </c>
      <c r="M498" s="13">
        <v>46337</v>
      </c>
      <c r="N498" s="17" t="s">
        <v>104</v>
      </c>
    </row>
    <row r="499" spans="2:14" x14ac:dyDescent="0.2">
      <c r="B499" s="3" t="s">
        <v>1066</v>
      </c>
      <c r="C499" t="s">
        <v>1067</v>
      </c>
      <c r="D499" t="s">
        <v>22</v>
      </c>
      <c r="E499" s="6" t="s">
        <v>16</v>
      </c>
      <c r="F499" s="1">
        <v>1.66</v>
      </c>
      <c r="G499" s="8">
        <f>F499*[497]Main!$C$4</f>
        <v>42.164785180000003</v>
      </c>
      <c r="H499" s="10">
        <f>G499-[497]Main!$C$7+[497]Main!$C$8</f>
        <v>22.227785180000001</v>
      </c>
      <c r="J499" s="1">
        <f>IF(ISNUMBER([497]Main!$C$11),[497]Main!$C$11,"")</f>
        <v>0.78490664327392645</v>
      </c>
      <c r="K499" s="11">
        <f t="shared" si="7"/>
        <v>-0.52716467272655032</v>
      </c>
      <c r="L499" s="12" t="str">
        <f>[497]Main!$C$15&amp;" ("&amp;[497]Main!$C$14&amp;")"</f>
        <v>Net cash (pre-revenue)</v>
      </c>
      <c r="M499" s="13">
        <v>46338</v>
      </c>
      <c r="N499" s="17" t="s">
        <v>190</v>
      </c>
    </row>
    <row r="500" spans="2:14" x14ac:dyDescent="0.2">
      <c r="B500" s="3" t="s">
        <v>1068</v>
      </c>
      <c r="C500" t="s">
        <v>1069</v>
      </c>
      <c r="D500" t="s">
        <v>15</v>
      </c>
      <c r="E500" s="6" t="s">
        <v>16</v>
      </c>
      <c r="F500" s="1">
        <v>0.89349999999999996</v>
      </c>
      <c r="G500" s="8">
        <f>F500*[498]Main!$C$4</f>
        <v>45.224892959499996</v>
      </c>
      <c r="H500" s="10">
        <f>G500-[498]Main!$C$7+[498]Main!$C$8</f>
        <v>38.256892959499993</v>
      </c>
      <c r="J500" s="1">
        <f>IF(ISNUMBER([498]Main!$C$11),[498]Main!$C$11,"")</f>
        <v>0.13766551101791336</v>
      </c>
      <c r="K500" s="11">
        <f t="shared" si="7"/>
        <v>-0.84592556125583285</v>
      </c>
      <c r="L500" s="12" t="str">
        <f>[498]Main!$C$15&amp;" ("&amp;[498]Main!$C$14&amp;")"</f>
        <v>Net cash (pre-revenue)</v>
      </c>
      <c r="M500" s="13">
        <v>46332</v>
      </c>
      <c r="N500" s="17" t="s">
        <v>361</v>
      </c>
    </row>
    <row r="501" spans="2:14" x14ac:dyDescent="0.2">
      <c r="B501" s="3" t="s">
        <v>1070</v>
      </c>
      <c r="C501" t="s">
        <v>1071</v>
      </c>
      <c r="D501" t="s">
        <v>22</v>
      </c>
      <c r="E501" s="6" t="s">
        <v>33</v>
      </c>
      <c r="F501" s="1">
        <v>1.5</v>
      </c>
      <c r="G501" s="8">
        <f>F501*[499]Main!$C$4</f>
        <v>47.822968500000002</v>
      </c>
      <c r="H501" s="10">
        <f>G501-[499]Main!$C$7+[499]Main!$C$8</f>
        <v>37.745968500000004</v>
      </c>
      <c r="J501" s="1">
        <f>IF(ISNUMBER([499]Main!$C$11),[499]Main!$C$11,"")</f>
        <v>0.31607197282201333</v>
      </c>
      <c r="K501" s="11">
        <f t="shared" si="7"/>
        <v>-0.78928535145199108</v>
      </c>
      <c r="L501" s="12" t="str">
        <f>[499]Main!$C$15&amp;" ("&amp;[499]Main!$C$14&amp;")"</f>
        <v>Net cash (pre-revenue)</v>
      </c>
      <c r="M501" s="13">
        <v>46329</v>
      </c>
      <c r="N501" s="17" t="s">
        <v>134</v>
      </c>
    </row>
    <row r="502" spans="2:14" x14ac:dyDescent="0.2">
      <c r="B502" s="3" t="s">
        <v>1072</v>
      </c>
      <c r="C502" t="s">
        <v>1073</v>
      </c>
      <c r="D502" t="s">
        <v>22</v>
      </c>
      <c r="E502" s="6" t="s">
        <v>33</v>
      </c>
      <c r="F502" s="1">
        <v>4.5199999999999996</v>
      </c>
      <c r="G502" s="8">
        <f>F502*[500]Main!$C$4</f>
        <v>42.313934799999998</v>
      </c>
      <c r="H502" s="10">
        <f>G502-[500]Main!$C$7+[500]Main!$C$8</f>
        <v>-75.876065199999999</v>
      </c>
      <c r="J502" s="1">
        <f>IF(ISNUMBER([500]Main!$C$11),[500]Main!$C$11,"")</f>
        <v>12.625126982990956</v>
      </c>
      <c r="K502" s="11">
        <f t="shared" si="7"/>
        <v>1.793169686502424</v>
      </c>
      <c r="L502" s="12" t="str">
        <f>[500]Main!$C$15&amp;" ("&amp;[500]Main!$C$14&amp;")"</f>
        <v>Net cash (pre-revenue)</v>
      </c>
      <c r="M502" s="13">
        <v>46330</v>
      </c>
      <c r="N502" s="17" t="s">
        <v>40</v>
      </c>
    </row>
    <row r="503" spans="2:14" x14ac:dyDescent="0.2">
      <c r="B503" s="3" t="s">
        <v>1074</v>
      </c>
      <c r="C503" t="s">
        <v>1075</v>
      </c>
      <c r="D503" t="s">
        <v>22</v>
      </c>
      <c r="E503" s="6" t="s">
        <v>16</v>
      </c>
      <c r="F503" s="1">
        <v>0.99319999999999997</v>
      </c>
      <c r="G503" s="8">
        <f>F503*[501]Main!$C$4</f>
        <v>42.316430166400004</v>
      </c>
      <c r="H503" s="10">
        <f>G503-[501]Main!$C$7+[501]Main!$C$8</f>
        <v>23.587485166400004</v>
      </c>
      <c r="J503" s="1">
        <f>IF(ISNUMBER([501]Main!$C$11),[501]Main!$C$11,"")</f>
        <v>0.43958311466381661</v>
      </c>
      <c r="K503" s="11">
        <f t="shared" si="7"/>
        <v>-0.55740725466792529</v>
      </c>
      <c r="L503" s="12" t="str">
        <f>[501]Main!$C$15&amp;" ("&amp;[501]Main!$C$14&amp;")"</f>
        <v>Net cash (pre-revenue)</v>
      </c>
      <c r="M503" s="13">
        <v>46337</v>
      </c>
      <c r="N503" s="17" t="s">
        <v>104</v>
      </c>
    </row>
    <row r="504" spans="2:14" x14ac:dyDescent="0.2">
      <c r="B504" s="3" t="s">
        <v>1076</v>
      </c>
      <c r="C504" t="s">
        <v>1077</v>
      </c>
      <c r="D504" t="s">
        <v>22</v>
      </c>
      <c r="E504" s="6" t="s">
        <v>33</v>
      </c>
      <c r="F504" s="1">
        <v>0.66510000000000002</v>
      </c>
      <c r="G504" s="8">
        <f>F504*[502]Main!$C$4</f>
        <v>40.123102607100002</v>
      </c>
      <c r="H504" s="10">
        <f>G504-[502]Main!$C$7+[502]Main!$C$8</f>
        <v>-4.9666833928999949</v>
      </c>
      <c r="J504" s="1">
        <f>IF(ISNUMBER([502]Main!$C$11),[502]Main!$C$11,"")</f>
        <v>0.74743015170749139</v>
      </c>
      <c r="K504" s="11">
        <f t="shared" si="7"/>
        <v>0.12378612495488106</v>
      </c>
      <c r="L504" s="12" t="str">
        <f>[502]Main!$C$15&amp;" ("&amp;[502]Main!$C$14&amp;")"</f>
        <v>Net cash (pre-revenue)</v>
      </c>
      <c r="M504" s="13">
        <v>46330</v>
      </c>
      <c r="N504" s="17" t="s">
        <v>40</v>
      </c>
    </row>
    <row r="505" spans="2:14" x14ac:dyDescent="0.2">
      <c r="B505" s="3" t="s">
        <v>1078</v>
      </c>
      <c r="C505" t="s">
        <v>1079</v>
      </c>
      <c r="D505" t="s">
        <v>22</v>
      </c>
      <c r="E505" s="6" t="s">
        <v>33</v>
      </c>
      <c r="F505" s="1">
        <v>1.1499999999999999</v>
      </c>
      <c r="G505" s="8">
        <f>F505*[503]Main!$C$4</f>
        <v>39.091435949999997</v>
      </c>
      <c r="H505" s="10">
        <f>G505-[503]Main!$C$7+[503]Main!$C$8</f>
        <v>29.481402949999996</v>
      </c>
      <c r="J505" s="1">
        <f>IF(ISNUMBER([503]Main!$C$11),[503]Main!$C$11,"")</f>
        <v>0.28270995120607739</v>
      </c>
      <c r="K505" s="11">
        <f t="shared" si="7"/>
        <v>-0.75416525982080218</v>
      </c>
      <c r="L505" s="12" t="str">
        <f>[503]Main!$C$15&amp;" ("&amp;[503]Main!$C$14&amp;")"</f>
        <v>Net cash (pre-revenue)</v>
      </c>
      <c r="M505" s="13">
        <v>46331</v>
      </c>
      <c r="N505" s="17" t="s">
        <v>63</v>
      </c>
    </row>
    <row r="506" spans="2:14" x14ac:dyDescent="0.2">
      <c r="B506" s="3" t="s">
        <v>1080</v>
      </c>
      <c r="C506" t="s">
        <v>1081</v>
      </c>
      <c r="D506" t="s">
        <v>22</v>
      </c>
      <c r="E506" s="6" t="s">
        <v>33</v>
      </c>
      <c r="F506" s="1">
        <v>1.26</v>
      </c>
      <c r="G506" s="8">
        <f>F506*[504]Main!$C$4</f>
        <v>40.886706420000003</v>
      </c>
      <c r="H506" s="10">
        <f>G506-[504]Main!$C$7+[504]Main!$C$8</f>
        <v>40.518706420000001</v>
      </c>
      <c r="J506" s="1">
        <f>IF(ISNUMBER([504]Main!$C$11),[504]Main!$C$11,"")</f>
        <v>1.1340605311588215E-2</v>
      </c>
      <c r="K506" s="11">
        <f t="shared" si="7"/>
        <v>-0.99099951959397758</v>
      </c>
      <c r="L506" s="12" t="str">
        <f>[504]Main!$C$15&amp;" ("&amp;[504]Main!$C$14&amp;")"</f>
        <v>Net cash (small revenue)</v>
      </c>
      <c r="M506" s="13">
        <v>46339</v>
      </c>
      <c r="N506" s="17" t="s">
        <v>156</v>
      </c>
    </row>
    <row r="507" spans="2:14" x14ac:dyDescent="0.2">
      <c r="B507" s="3" t="s">
        <v>1082</v>
      </c>
      <c r="C507" t="s">
        <v>1083</v>
      </c>
      <c r="D507" t="s">
        <v>22</v>
      </c>
      <c r="E507" s="6" t="s">
        <v>33</v>
      </c>
      <c r="F507" s="1">
        <v>5.94</v>
      </c>
      <c r="G507" s="8">
        <f>F507*[505]Main!$C$4</f>
        <v>40.284937440000007</v>
      </c>
      <c r="H507" s="10">
        <f>G507-[505]Main!$C$7+[505]Main!$C$8</f>
        <v>119.93593744</v>
      </c>
      <c r="J507" s="1">
        <f>IF(ISNUMBER([505]Main!$C$11),[505]Main!$C$11,"")</f>
        <v>-11.744512218857748</v>
      </c>
      <c r="K507" s="11">
        <f t="shared" si="7"/>
        <v>-2.9771906092353113</v>
      </c>
      <c r="L507" s="12" t="str">
        <f>[505]Main!$C$15&amp;" ("&amp;[505]Main!$C$14&amp;")"</f>
        <v>Net cash (pre-revenue)</v>
      </c>
      <c r="M507" s="13">
        <v>46338</v>
      </c>
      <c r="N507" s="17" t="s">
        <v>190</v>
      </c>
    </row>
    <row r="508" spans="2:14" x14ac:dyDescent="0.2">
      <c r="B508" s="3" t="s">
        <v>1084</v>
      </c>
      <c r="C508" t="s">
        <v>1085</v>
      </c>
      <c r="D508" t="s">
        <v>22</v>
      </c>
      <c r="E508" s="6" t="s">
        <v>33</v>
      </c>
      <c r="F508" s="1">
        <v>3.73</v>
      </c>
      <c r="G508" s="8">
        <f>F508*[506]Main!$C$4</f>
        <v>47.92495349</v>
      </c>
      <c r="H508" s="10">
        <f>G508-[506]Main!$C$7+[506]Main!$C$8</f>
        <v>43.598953490000007</v>
      </c>
      <c r="J508" s="1">
        <f>IF(ISNUMBER([506]Main!$C$11),[506]Main!$C$11,"")</f>
        <v>0.33669265852009483</v>
      </c>
      <c r="K508" s="11">
        <f t="shared" si="7"/>
        <v>-0.9097338717104303</v>
      </c>
      <c r="L508" s="12" t="str">
        <f>[506]Main!$C$15&amp;" ("&amp;[506]Main!$C$14&amp;")"</f>
        <v>Net cash (pre-revenue)</v>
      </c>
      <c r="M508" s="13">
        <v>46338</v>
      </c>
      <c r="N508" s="17" t="s">
        <v>190</v>
      </c>
    </row>
    <row r="509" spans="2:14" x14ac:dyDescent="0.2">
      <c r="B509" s="3" t="s">
        <v>1086</v>
      </c>
      <c r="C509" t="s">
        <v>1087</v>
      </c>
      <c r="D509" t="s">
        <v>15</v>
      </c>
      <c r="E509" s="6" t="s">
        <v>33</v>
      </c>
      <c r="F509" s="1">
        <v>1.98</v>
      </c>
      <c r="G509" s="8">
        <f>F509*[507]Main!$C$4</f>
        <v>41.6511414</v>
      </c>
      <c r="H509" s="10">
        <f>G509-[507]Main!$C$7+[507]Main!$C$8</f>
        <v>27.8951414</v>
      </c>
      <c r="J509" s="1">
        <f>IF(ISNUMBER([507]Main!$C$11),[507]Main!$C$11,"")</f>
        <v>0.65392877804784477</v>
      </c>
      <c r="K509" s="11">
        <f t="shared" si="7"/>
        <v>-0.66973294037987641</v>
      </c>
      <c r="L509" s="12" t="str">
        <f>[507]Main!$C$15&amp;" ("&amp;[507]Main!$C$14&amp;")"</f>
        <v>Net cash (pre-revenue)</v>
      </c>
      <c r="M509" s="13">
        <v>46338</v>
      </c>
      <c r="N509" s="17" t="s">
        <v>190</v>
      </c>
    </row>
    <row r="510" spans="2:14" x14ac:dyDescent="0.2">
      <c r="B510" s="3" t="s">
        <v>1088</v>
      </c>
      <c r="C510" t="s">
        <v>1089</v>
      </c>
      <c r="D510" t="s">
        <v>15</v>
      </c>
      <c r="E510" s="6" t="s">
        <v>33</v>
      </c>
      <c r="F510" s="1">
        <v>2.38</v>
      </c>
      <c r="G510" s="8">
        <f>F510*[508]Main!$C$4</f>
        <v>40.579761599999998</v>
      </c>
      <c r="H510" s="10">
        <f>G510-[508]Main!$C$7+[508]Main!$C$8</f>
        <v>16.699619599999998</v>
      </c>
      <c r="J510" s="1">
        <f>IF(ISNUMBER([508]Main!$C$11),[508]Main!$C$11,"")</f>
        <v>1.4005685523790756</v>
      </c>
      <c r="K510" s="11">
        <f t="shared" si="7"/>
        <v>-0.41152581832811941</v>
      </c>
      <c r="L510" s="12" t="str">
        <f>[508]Main!$C$15&amp;" ("&amp;[508]Main!$C$14&amp;")"</f>
        <v>Net cash (pre-revenue)</v>
      </c>
      <c r="M510" s="13"/>
      <c r="N510" s="17"/>
    </row>
    <row r="511" spans="2:14" x14ac:dyDescent="0.2">
      <c r="B511" s="3" t="s">
        <v>1090</v>
      </c>
      <c r="C511" t="s">
        <v>1091</v>
      </c>
      <c r="D511" t="s">
        <v>15</v>
      </c>
      <c r="E511" s="6" t="s">
        <v>33</v>
      </c>
      <c r="F511" s="1">
        <v>1.07</v>
      </c>
      <c r="G511" s="8">
        <f>F511*[509]Main!$C$4</f>
        <v>38.442390760000002</v>
      </c>
      <c r="H511" s="10">
        <f>G511-[509]Main!$C$7+[509]Main!$C$8</f>
        <v>148.77639076</v>
      </c>
      <c r="J511" s="1">
        <f>IF(ISNUMBER([509]Main!$C$11),[509]Main!$C$11,"")</f>
        <v>1.8771717917677544</v>
      </c>
      <c r="K511" s="11">
        <f t="shared" si="7"/>
        <v>0.75436616053061156</v>
      </c>
      <c r="L511" s="12" t="str">
        <f>[509]Main!$C$15&amp;" ("&amp;[509]Main!$C$14&amp;")"</f>
        <v>DCF (Base)</v>
      </c>
      <c r="M511" s="13">
        <v>46330</v>
      </c>
      <c r="N511" s="17" t="s">
        <v>40</v>
      </c>
    </row>
    <row r="512" spans="2:14" x14ac:dyDescent="0.2">
      <c r="B512" s="3" t="s">
        <v>1092</v>
      </c>
      <c r="C512" t="s">
        <v>1093</v>
      </c>
      <c r="D512" t="s">
        <v>22</v>
      </c>
      <c r="E512" s="6" t="s">
        <v>33</v>
      </c>
      <c r="F512" s="1">
        <v>1.56</v>
      </c>
      <c r="G512" s="8">
        <f>F512*[510]Main!$C$4</f>
        <v>39.745945200000001</v>
      </c>
      <c r="H512" s="10">
        <f>G512-[510]Main!$C$7+[510]Main!$C$8</f>
        <v>36.1539152</v>
      </c>
      <c r="J512" s="1">
        <f>IF(ISNUMBER([510]Main!$C$11),[510]Main!$C$11,"")</f>
        <v>0.14098461545707561</v>
      </c>
      <c r="K512" s="11">
        <f t="shared" si="7"/>
        <v>-0.9096252465018746</v>
      </c>
      <c r="L512" s="12" t="str">
        <f>[510]Main!$C$15&amp;" ("&amp;[510]Main!$C$14&amp;")"</f>
        <v>Net cash (pre-revenue)</v>
      </c>
      <c r="M512" s="13">
        <v>46337</v>
      </c>
      <c r="N512" s="17" t="s">
        <v>104</v>
      </c>
    </row>
    <row r="513" spans="2:14" x14ac:dyDescent="0.2">
      <c r="B513" s="3" t="s">
        <v>1094</v>
      </c>
      <c r="C513" t="s">
        <v>1095</v>
      </c>
      <c r="D513" t="s">
        <v>22</v>
      </c>
      <c r="E513" s="6" t="s">
        <v>33</v>
      </c>
      <c r="F513" s="1">
        <v>4.12</v>
      </c>
      <c r="G513" s="8">
        <f>F513*[511]Main!$C$4</f>
        <v>38.239199079999999</v>
      </c>
      <c r="H513" s="10">
        <f>G513-[511]Main!$C$7+[511]Main!$C$8</f>
        <v>32.58650308</v>
      </c>
      <c r="J513" s="1">
        <f>IF(ISNUMBER([511]Main!$C$11),[511]Main!$C$11,"")</f>
        <v>0.60903753426626417</v>
      </c>
      <c r="K513" s="11">
        <f t="shared" si="7"/>
        <v>-0.85217535576061554</v>
      </c>
      <c r="L513" s="12" t="str">
        <f>[511]Main!$C$15&amp;" ("&amp;[511]Main!$C$14&amp;")"</f>
        <v>Net cash (pre-revenue)</v>
      </c>
      <c r="M513" s="13">
        <v>46338</v>
      </c>
      <c r="N513" s="17" t="s">
        <v>190</v>
      </c>
    </row>
    <row r="514" spans="2:14" x14ac:dyDescent="0.2">
      <c r="B514" s="3" t="s">
        <v>1096</v>
      </c>
      <c r="C514" t="s">
        <v>1097</v>
      </c>
      <c r="D514" t="s">
        <v>15</v>
      </c>
      <c r="E514" s="6" t="s">
        <v>33</v>
      </c>
      <c r="F514" s="1">
        <v>1.64</v>
      </c>
      <c r="G514" s="8">
        <f>F514*[512]Main!$C$4</f>
        <v>29.273132440000001</v>
      </c>
      <c r="H514" s="10">
        <f>G514-[512]Main!$C$7+[512]Main!$C$8</f>
        <v>23.31064044</v>
      </c>
      <c r="J514" s="1">
        <f>IF(ISNUMBER([512]Main!$C$11),[512]Main!$C$11,"")</f>
        <v>0.33404306491772218</v>
      </c>
      <c r="K514" s="11">
        <f t="shared" si="7"/>
        <v>-0.79631520431846203</v>
      </c>
      <c r="L514" s="12" t="str">
        <f>[512]Main!$C$15&amp;" ("&amp;[512]Main!$C$14&amp;")"</f>
        <v>Net cash (small revenue)</v>
      </c>
      <c r="M514" s="13">
        <v>46338</v>
      </c>
      <c r="N514" s="17" t="s">
        <v>190</v>
      </c>
    </row>
    <row r="515" spans="2:14" x14ac:dyDescent="0.2">
      <c r="B515" s="3" t="s">
        <v>1098</v>
      </c>
      <c r="C515" t="s">
        <v>1099</v>
      </c>
      <c r="D515" t="s">
        <v>15</v>
      </c>
      <c r="E515" s="6" t="s">
        <v>33</v>
      </c>
      <c r="F515" s="1">
        <v>3.8</v>
      </c>
      <c r="G515" s="8">
        <f>F515*[513]Main!$C$4</f>
        <v>37.808514199999998</v>
      </c>
      <c r="H515" s="10">
        <f>G515-[513]Main!$C$7+[513]Main!$C$8</f>
        <v>-33.291485799999997</v>
      </c>
      <c r="J515" s="1">
        <f>IF(ISNUMBER([513]Main!$C$11),[513]Main!$C$11,"")</f>
        <v>7.1460094562509937</v>
      </c>
      <c r="K515" s="11">
        <f t="shared" ref="K515:K578" si="8">IFERROR(J515/F515-1,"")</f>
        <v>0.88052880427657731</v>
      </c>
      <c r="L515" s="12" t="str">
        <f>[513]Main!$C$15&amp;" ("&amp;[513]Main!$C$14&amp;")"</f>
        <v>Net cash (small revenue)</v>
      </c>
      <c r="M515" s="13">
        <v>46330</v>
      </c>
      <c r="N515" s="17" t="s">
        <v>40</v>
      </c>
    </row>
    <row r="516" spans="2:14" x14ac:dyDescent="0.2">
      <c r="B516" s="3" t="s">
        <v>1100</v>
      </c>
      <c r="C516" t="s">
        <v>1101</v>
      </c>
      <c r="D516" t="s">
        <v>22</v>
      </c>
      <c r="E516" s="6" t="s">
        <v>16</v>
      </c>
      <c r="F516" s="1">
        <v>1.7</v>
      </c>
      <c r="G516" s="8">
        <f>F516*[514]Main!$C$4</f>
        <v>24.977753199999999</v>
      </c>
      <c r="H516" s="10">
        <f>G516-[514]Main!$C$7+[514]Main!$C$8</f>
        <v>24.216753199999999</v>
      </c>
      <c r="J516" s="1">
        <f>IF(ISNUMBER([514]Main!$C$11),[514]Main!$C$11,"")</f>
        <v>5.1794090110554865E-2</v>
      </c>
      <c r="K516" s="11">
        <f t="shared" si="8"/>
        <v>-0.96953288817026184</v>
      </c>
      <c r="L516" s="12" t="str">
        <f>[514]Main!$C$15&amp;" ("&amp;[514]Main!$C$14&amp;")"</f>
        <v>Net cash (pre-revenue)</v>
      </c>
      <c r="M516" s="13">
        <v>46335</v>
      </c>
      <c r="N516" s="17" t="s">
        <v>87</v>
      </c>
    </row>
    <row r="517" spans="2:14" x14ac:dyDescent="0.2">
      <c r="B517" s="3" t="s">
        <v>1102</v>
      </c>
      <c r="C517" t="s">
        <v>1103</v>
      </c>
      <c r="D517" t="s">
        <v>15</v>
      </c>
      <c r="E517" s="6" t="s">
        <v>33</v>
      </c>
      <c r="F517" s="1">
        <v>1.0649999999999999</v>
      </c>
      <c r="G517" s="8">
        <f>F517*[515]Main!$C$4</f>
        <v>36.3606549</v>
      </c>
      <c r="H517" s="10">
        <f>G517-[515]Main!$C$7+[515]Main!$C$8</f>
        <v>17.743654899999999</v>
      </c>
      <c r="J517" s="1">
        <f>IF(ISNUMBER([515]Main!$C$11),[515]Main!$C$11,"")</f>
        <v>0.54529009597129119</v>
      </c>
      <c r="K517" s="11">
        <f t="shared" si="8"/>
        <v>-0.48799052021474998</v>
      </c>
      <c r="L517" s="12" t="str">
        <f>[515]Main!$C$15&amp;" ("&amp;[515]Main!$C$14&amp;")"</f>
        <v>Net cash (pre-revenue)</v>
      </c>
      <c r="M517" s="13">
        <v>46337</v>
      </c>
      <c r="N517" s="17" t="s">
        <v>104</v>
      </c>
    </row>
    <row r="518" spans="2:14" x14ac:dyDescent="0.2">
      <c r="B518" s="3" t="s">
        <v>1104</v>
      </c>
      <c r="C518" t="s">
        <v>1105</v>
      </c>
      <c r="D518" t="s">
        <v>15</v>
      </c>
      <c r="E518" s="6" t="s">
        <v>33</v>
      </c>
      <c r="F518" s="1">
        <v>2.78</v>
      </c>
      <c r="G518" s="8">
        <f>F518*[516]Main!$C$4</f>
        <v>34.874063059999997</v>
      </c>
      <c r="H518" s="10">
        <f>G518-[516]Main!$C$7+[516]Main!$C$8</f>
        <v>-32.836936940000001</v>
      </c>
      <c r="J518" s="1">
        <f>IF(ISNUMBER([516]Main!$C$11),[516]Main!$C$11,"")</f>
        <v>5.3976096698610485</v>
      </c>
      <c r="K518" s="11">
        <f t="shared" si="8"/>
        <v>0.94158621218023342</v>
      </c>
      <c r="L518" s="12" t="str">
        <f>[516]Main!$C$15&amp;" ("&amp;[516]Main!$C$14&amp;")"</f>
        <v>Net cash (pre-revenue)</v>
      </c>
      <c r="M518" s="13">
        <v>46339</v>
      </c>
      <c r="N518" s="17" t="s">
        <v>156</v>
      </c>
    </row>
    <row r="519" spans="2:14" x14ac:dyDescent="0.2">
      <c r="B519" s="3" t="s">
        <v>1106</v>
      </c>
      <c r="C519" t="s">
        <v>1107</v>
      </c>
      <c r="D519" t="s">
        <v>22</v>
      </c>
      <c r="E519" s="6" t="s">
        <v>16</v>
      </c>
      <c r="F519" s="1">
        <v>1.5</v>
      </c>
      <c r="G519" s="8">
        <f>F519*[517]Main!$C$4</f>
        <v>38.287499999999994</v>
      </c>
      <c r="H519" s="10">
        <f>G519-[517]Main!$C$7+[517]Main!$C$8</f>
        <v>35.493389999999991</v>
      </c>
      <c r="J519" s="1">
        <f>IF(ISNUMBER([517]Main!$C$11),[517]Main!$C$11,"")</f>
        <v>0.10946562193927523</v>
      </c>
      <c r="K519" s="11">
        <f t="shared" si="8"/>
        <v>-0.92702291870714981</v>
      </c>
      <c r="L519" s="12" t="str">
        <f>[517]Main!$C$15&amp;" ("&amp;[517]Main!$C$14&amp;")"</f>
        <v>Net cash (pre-revenue)</v>
      </c>
      <c r="M519" s="13">
        <v>46339</v>
      </c>
      <c r="N519" s="17" t="s">
        <v>156</v>
      </c>
    </row>
    <row r="520" spans="2:14" x14ac:dyDescent="0.2">
      <c r="B520" s="3" t="s">
        <v>1108</v>
      </c>
      <c r="C520" t="s">
        <v>1109</v>
      </c>
      <c r="D520" t="s">
        <v>22</v>
      </c>
      <c r="E520" s="6" t="s">
        <v>33</v>
      </c>
      <c r="F520" s="1">
        <v>0.8105</v>
      </c>
      <c r="G520" s="8">
        <f>F520*[518]Main!$C$4</f>
        <v>35.896420915</v>
      </c>
      <c r="H520" s="10">
        <f>G520-[518]Main!$C$7+[518]Main!$C$8</f>
        <v>16.000420914999999</v>
      </c>
      <c r="J520" s="1">
        <f>IF(ISNUMBER([518]Main!$C$11),[518]Main!$C$11,"")</f>
        <v>0.4492288531545931</v>
      </c>
      <c r="K520" s="11">
        <f t="shared" si="8"/>
        <v>-0.44573861424479566</v>
      </c>
      <c r="L520" s="12" t="str">
        <f>[518]Main!$C$15&amp;" ("&amp;[518]Main!$C$14&amp;")"</f>
        <v>Net cash (small revenue)</v>
      </c>
      <c r="M520" s="13">
        <v>46331</v>
      </c>
      <c r="N520" s="17" t="s">
        <v>63</v>
      </c>
    </row>
    <row r="521" spans="2:14" x14ac:dyDescent="0.2">
      <c r="B521" s="3" t="s">
        <v>1110</v>
      </c>
      <c r="C521" t="s">
        <v>1111</v>
      </c>
      <c r="D521" t="s">
        <v>22</v>
      </c>
      <c r="E521" s="6" t="s">
        <v>33</v>
      </c>
      <c r="F521" s="1">
        <v>1.19</v>
      </c>
      <c r="G521" s="8">
        <f>F521*[519]Main!$C$4</f>
        <v>36.184648919999994</v>
      </c>
      <c r="H521" s="10">
        <f>G521-[519]Main!$C$7+[519]Main!$C$8</f>
        <v>30.478648919999994</v>
      </c>
      <c r="J521" s="1">
        <f>IF(ISNUMBER([519]Main!$C$11),[519]Main!$C$11,"")</f>
        <v>0.18765250465776803</v>
      </c>
      <c r="K521" s="11">
        <f t="shared" si="8"/>
        <v>-0.842308819615321</v>
      </c>
      <c r="L521" s="12" t="str">
        <f>[519]Main!$C$15&amp;" ("&amp;[519]Main!$C$14&amp;")"</f>
        <v>Net cash (pre-revenue)</v>
      </c>
      <c r="M521" s="13">
        <v>46339</v>
      </c>
      <c r="N521" s="17" t="s">
        <v>156</v>
      </c>
    </row>
    <row r="522" spans="2:14" x14ac:dyDescent="0.2">
      <c r="B522" s="3" t="s">
        <v>1112</v>
      </c>
      <c r="C522" t="s">
        <v>1113</v>
      </c>
      <c r="D522" t="s">
        <v>15</v>
      </c>
      <c r="E522" s="6" t="s">
        <v>33</v>
      </c>
      <c r="F522" s="1">
        <v>0.6885</v>
      </c>
      <c r="G522" s="8">
        <f>F522*[520]Main!$C$4</f>
        <v>33.259986396000002</v>
      </c>
      <c r="H522" s="10">
        <f>G522-[520]Main!$C$7+[520]Main!$C$8</f>
        <v>-53.313013603999991</v>
      </c>
      <c r="J522" s="1">
        <f>IF(ISNUMBER([520]Main!$C$11),[520]Main!$C$11,"")</f>
        <v>1.7921086855035042</v>
      </c>
      <c r="K522" s="11">
        <f t="shared" si="8"/>
        <v>1.6029174807603548</v>
      </c>
      <c r="L522" s="12" t="str">
        <f>[520]Main!$C$15&amp;" ("&amp;[520]Main!$C$14&amp;")"</f>
        <v>Net cash (pre-revenue)</v>
      </c>
      <c r="M522" s="13">
        <v>46337</v>
      </c>
      <c r="N522" s="17" t="s">
        <v>104</v>
      </c>
    </row>
    <row r="523" spans="2:14" x14ac:dyDescent="0.2">
      <c r="B523" s="3" t="s">
        <v>1114</v>
      </c>
      <c r="C523" t="s">
        <v>1115</v>
      </c>
      <c r="D523" t="s">
        <v>22</v>
      </c>
      <c r="E523" s="6" t="s">
        <v>33</v>
      </c>
      <c r="F523" s="1">
        <v>2.29</v>
      </c>
      <c r="G523" s="8">
        <f>F523*[521]Main!$C$4</f>
        <v>34.622729840000005</v>
      </c>
      <c r="H523" s="10">
        <f>G523-[521]Main!$C$7+[521]Main!$C$8</f>
        <v>9.6845578400000036</v>
      </c>
      <c r="J523" s="1">
        <f>IF(ISNUMBER([521]Main!$C$11),[521]Main!$C$11,"")</f>
        <v>1.649448617827415</v>
      </c>
      <c r="K523" s="11">
        <f t="shared" si="8"/>
        <v>-0.27971676077405461</v>
      </c>
      <c r="L523" s="12" t="str">
        <f>[521]Main!$C$15&amp;" ("&amp;[521]Main!$C$14&amp;")"</f>
        <v>Net cash (pre-revenue)</v>
      </c>
      <c r="M523" s="13">
        <v>46332</v>
      </c>
      <c r="N523" s="17" t="s">
        <v>361</v>
      </c>
    </row>
    <row r="524" spans="2:14" x14ac:dyDescent="0.2">
      <c r="B524" s="3" t="s">
        <v>1116</v>
      </c>
      <c r="C524" t="s">
        <v>1117</v>
      </c>
      <c r="D524" t="s">
        <v>22</v>
      </c>
      <c r="E524" s="6" t="s">
        <v>16</v>
      </c>
      <c r="F524" s="1">
        <v>1.395</v>
      </c>
      <c r="G524" s="8">
        <f>F524*[522]Main!$C$4</f>
        <v>43.860803220000001</v>
      </c>
      <c r="H524" s="10">
        <f>G524-[522]Main!$C$7+[522]Main!$C$8</f>
        <v>7.3878032200000021</v>
      </c>
      <c r="J524" s="1">
        <f>IF(ISNUMBER([522]Main!$C$11),[522]Main!$C$11,"")</f>
        <v>1.1600297136555722</v>
      </c>
      <c r="K524" s="11">
        <f t="shared" si="8"/>
        <v>-0.16843748125048597</v>
      </c>
      <c r="L524" s="12" t="str">
        <f>[522]Main!$C$15&amp;" ("&amp;[522]Main!$C$14&amp;")"</f>
        <v>Net cash (pre-revenue)</v>
      </c>
      <c r="M524" s="13">
        <v>46339</v>
      </c>
      <c r="N524" s="17" t="s">
        <v>156</v>
      </c>
    </row>
    <row r="525" spans="2:14" x14ac:dyDescent="0.2">
      <c r="B525" s="3" t="s">
        <v>1118</v>
      </c>
      <c r="C525" t="s">
        <v>1119</v>
      </c>
      <c r="D525" t="s">
        <v>22</v>
      </c>
      <c r="E525" s="6" t="s">
        <v>33</v>
      </c>
      <c r="F525" s="1">
        <v>40.270000000000003</v>
      </c>
      <c r="G525" s="8">
        <f>F525*[523]Main!$C$4</f>
        <v>40.957127010000008</v>
      </c>
      <c r="H525" s="10">
        <f>G525-[523]Main!$C$7+[523]Main!$C$8</f>
        <v>-75.023872989999987</v>
      </c>
      <c r="J525" s="1">
        <f>IF(ISNUMBER([523]Main!$C$11),[523]Main!$C$11,"")</f>
        <v>114.03521709078001</v>
      </c>
      <c r="K525" s="11">
        <f t="shared" si="8"/>
        <v>1.8317660067241124</v>
      </c>
      <c r="L525" s="12" t="str">
        <f>[523]Main!$C$15&amp;" ("&amp;[523]Main!$C$14&amp;")"</f>
        <v>Net cash (pre-revenue)</v>
      </c>
      <c r="M525" s="13">
        <v>46337</v>
      </c>
      <c r="N525" s="17" t="s">
        <v>1120</v>
      </c>
    </row>
    <row r="526" spans="2:14" x14ac:dyDescent="0.2">
      <c r="B526" s="3" t="s">
        <v>1121</v>
      </c>
      <c r="C526" t="s">
        <v>1122</v>
      </c>
      <c r="D526" t="s">
        <v>22</v>
      </c>
      <c r="E526" s="6" t="s">
        <v>33</v>
      </c>
      <c r="F526" s="1">
        <v>3.66</v>
      </c>
      <c r="G526" s="8">
        <f>F526*[524]Main!$C$4</f>
        <v>29.652313500000002</v>
      </c>
      <c r="H526" s="10">
        <f>G526-[524]Main!$C$7+[524]Main!$C$8</f>
        <v>27.281620500000002</v>
      </c>
      <c r="J526" s="1">
        <f>IF(ISNUMBER([524]Main!$C$11),[524]Main!$C$11,"")</f>
        <v>0.2926158318135953</v>
      </c>
      <c r="K526" s="11">
        <f t="shared" si="8"/>
        <v>-0.92005031917661328</v>
      </c>
      <c r="L526" s="12" t="str">
        <f>[524]Main!$C$15&amp;" ("&amp;[524]Main!$C$14&amp;")"</f>
        <v>Net cash (small revenue)</v>
      </c>
      <c r="M526" s="13">
        <v>46339</v>
      </c>
      <c r="N526" s="17" t="s">
        <v>156</v>
      </c>
    </row>
    <row r="527" spans="2:14" x14ac:dyDescent="0.2">
      <c r="B527" s="3" t="s">
        <v>1123</v>
      </c>
      <c r="C527" t="s">
        <v>1124</v>
      </c>
      <c r="D527" t="s">
        <v>22</v>
      </c>
      <c r="E527" s="6" t="s">
        <v>16</v>
      </c>
      <c r="F527" s="1">
        <v>1.56</v>
      </c>
      <c r="G527" s="8">
        <f>F527*[525]Main!$C$4</f>
        <v>27.438819720000001</v>
      </c>
      <c r="H527" s="10">
        <f>G527-[525]Main!$C$7+[525]Main!$C$8</f>
        <v>20.91143872</v>
      </c>
      <c r="J527" s="1">
        <f>IF(ISNUMBER([525]Main!$C$11),[525]Main!$C$11,"")</f>
        <v>0.37110613590197095</v>
      </c>
      <c r="K527" s="11">
        <f t="shared" si="8"/>
        <v>-0.76211145134489044</v>
      </c>
      <c r="L527" s="12" t="str">
        <f>[525]Main!$C$15&amp;" ("&amp;[525]Main!$C$14&amp;")"</f>
        <v>Net cash (pre-revenue)</v>
      </c>
      <c r="M527" s="13"/>
      <c r="N527" s="17"/>
    </row>
    <row r="528" spans="2:14" x14ac:dyDescent="0.2">
      <c r="B528" s="3" t="s">
        <v>1125</v>
      </c>
      <c r="C528" t="s">
        <v>1126</v>
      </c>
      <c r="D528" t="s">
        <v>22</v>
      </c>
      <c r="E528" s="6" t="s">
        <v>33</v>
      </c>
      <c r="F528" s="1">
        <v>5.03</v>
      </c>
      <c r="G528" s="8">
        <f>F528*[526]Main!$C$4</f>
        <v>31.371244840000003</v>
      </c>
      <c r="H528" s="10">
        <f>G528-[526]Main!$C$7+[526]Main!$C$8</f>
        <v>0.99024484000000257</v>
      </c>
      <c r="J528" s="1">
        <f>IF(ISNUMBER([526]Main!$C$11),[526]Main!$C$11,"")</f>
        <v>4.8712262066550496</v>
      </c>
      <c r="K528" s="11">
        <f t="shared" si="8"/>
        <v>-3.1565366470169165E-2</v>
      </c>
      <c r="L528" s="12" t="str">
        <f>[526]Main!$C$15&amp;" ("&amp;[526]Main!$C$14&amp;")"</f>
        <v>Net cash (pre-revenue)</v>
      </c>
      <c r="M528" s="13">
        <v>46331</v>
      </c>
      <c r="N528" s="17" t="s">
        <v>63</v>
      </c>
    </row>
    <row r="529" spans="2:14" x14ac:dyDescent="0.2">
      <c r="B529" s="3" t="s">
        <v>1127</v>
      </c>
      <c r="C529" t="s">
        <v>1128</v>
      </c>
      <c r="D529" t="s">
        <v>22</v>
      </c>
      <c r="E529" s="6" t="s">
        <v>33</v>
      </c>
      <c r="F529" s="1">
        <v>4.63</v>
      </c>
      <c r="G529" s="8">
        <f>F529*[527]Main!$C$4</f>
        <v>33.01709949</v>
      </c>
      <c r="H529" s="10">
        <f>G529-[527]Main!$C$7+[527]Main!$C$8</f>
        <v>33.313739490000003</v>
      </c>
      <c r="J529" s="1">
        <f>IF(ISNUMBER([527]Main!$C$11),[527]Main!$C$11,"")</f>
        <v>-4.1597936257725468E-2</v>
      </c>
      <c r="K529" s="11">
        <f t="shared" si="8"/>
        <v>-1.0089844354768305</v>
      </c>
      <c r="L529" s="12" t="str">
        <f>[527]Main!$C$15&amp;" ("&amp;[527]Main!$C$14&amp;")"</f>
        <v>Net cash (pre-revenue)</v>
      </c>
      <c r="M529" s="13">
        <v>46344</v>
      </c>
      <c r="N529" s="17" t="s">
        <v>1129</v>
      </c>
    </row>
    <row r="530" spans="2:14" x14ac:dyDescent="0.2">
      <c r="B530" s="3" t="s">
        <v>1130</v>
      </c>
      <c r="C530" t="s">
        <v>1131</v>
      </c>
      <c r="D530" t="s">
        <v>22</v>
      </c>
      <c r="E530" s="6" t="s">
        <v>33</v>
      </c>
      <c r="F530" s="1">
        <v>0.83130000000000004</v>
      </c>
      <c r="G530" s="8">
        <f>F530*[528]Main!$C$4</f>
        <v>31.404107386500002</v>
      </c>
      <c r="H530" s="10">
        <f>G530-[528]Main!$C$7+[528]Main!$C$8</f>
        <v>-89.259892613499986</v>
      </c>
      <c r="J530" s="1">
        <f>IF(ISNUMBER([528]Main!$C$11),[528]Main!$C$11,"")</f>
        <v>3.1941039420569677</v>
      </c>
      <c r="K530" s="11">
        <f t="shared" si="8"/>
        <v>2.8422999423276405</v>
      </c>
      <c r="L530" s="12" t="str">
        <f>[528]Main!$C$15&amp;" ("&amp;[528]Main!$C$14&amp;")"</f>
        <v>Net cash (small revenue)</v>
      </c>
      <c r="M530" s="13">
        <v>46336</v>
      </c>
      <c r="N530" s="17" t="s">
        <v>217</v>
      </c>
    </row>
    <row r="531" spans="2:14" x14ac:dyDescent="0.2">
      <c r="B531" s="3" t="s">
        <v>1132</v>
      </c>
      <c r="C531" t="s">
        <v>1133</v>
      </c>
      <c r="D531" t="s">
        <v>22</v>
      </c>
      <c r="E531" s="6" t="s">
        <v>33</v>
      </c>
      <c r="F531" s="1">
        <v>3.46</v>
      </c>
      <c r="G531" s="8">
        <f>F531*[529]Main!$C$4</f>
        <v>30.101263020000001</v>
      </c>
      <c r="H531" s="10">
        <f>G531-[529]Main!$C$7+[529]Main!$C$8</f>
        <v>7.2968380200000027</v>
      </c>
      <c r="J531" s="1">
        <f>IF(ISNUMBER([529]Main!$C$11),[529]Main!$C$11,"")</f>
        <v>2.6212624515979526</v>
      </c>
      <c r="K531" s="11">
        <f t="shared" si="8"/>
        <v>-0.24240969606995588</v>
      </c>
      <c r="L531" s="12" t="str">
        <f>[529]Main!$C$15&amp;" ("&amp;[529]Main!$C$14&amp;")"</f>
        <v>Net cash (pre-revenue)</v>
      </c>
      <c r="M531" s="13">
        <v>46316</v>
      </c>
      <c r="N531" s="17" t="s">
        <v>1134</v>
      </c>
    </row>
    <row r="532" spans="2:14" x14ac:dyDescent="0.2">
      <c r="B532" s="3" t="s">
        <v>1135</v>
      </c>
      <c r="C532" t="s">
        <v>1136</v>
      </c>
      <c r="D532" t="s">
        <v>15</v>
      </c>
      <c r="E532" s="6" t="s">
        <v>16</v>
      </c>
      <c r="F532" s="1">
        <v>0.72430000000000005</v>
      </c>
      <c r="G532" s="8">
        <f>F532*[530]Main!$C$4</f>
        <v>31.160836048600004</v>
      </c>
      <c r="H532" s="10">
        <f>G532-[530]Main!$C$7+[530]Main!$C$8</f>
        <v>34.460362048600004</v>
      </c>
      <c r="J532" s="1">
        <f>IF(ISNUMBER([530]Main!$C$11),[530]Main!$C$11,"")</f>
        <v>-7.6693920473528868E-2</v>
      </c>
      <c r="K532" s="11">
        <f t="shared" si="8"/>
        <v>-1.1058869535738352</v>
      </c>
      <c r="L532" s="12" t="str">
        <f>[530]Main!$C$15&amp;" ("&amp;[530]Main!$C$14&amp;")"</f>
        <v>Net cash (pre-revenue)</v>
      </c>
      <c r="M532" s="13">
        <v>46337</v>
      </c>
      <c r="N532" s="17" t="s">
        <v>104</v>
      </c>
    </row>
    <row r="533" spans="2:14" x14ac:dyDescent="0.2">
      <c r="B533" s="3" t="s">
        <v>1137</v>
      </c>
      <c r="C533" t="s">
        <v>1138</v>
      </c>
      <c r="D533" t="s">
        <v>22</v>
      </c>
      <c r="E533" s="6" t="s">
        <v>33</v>
      </c>
      <c r="F533" s="1">
        <v>2.54</v>
      </c>
      <c r="G533" s="8">
        <f>F533*[531]Main!$C$4</f>
        <v>25.347416920000001</v>
      </c>
      <c r="H533" s="10">
        <f>G533-[531]Main!$C$7+[531]Main!$C$8</f>
        <v>-0.74658308000000062</v>
      </c>
      <c r="J533" s="1">
        <f>IF(ISNUMBER([531]Main!$C$11),[531]Main!$C$11,"")</f>
        <v>2.6148131862581918</v>
      </c>
      <c r="K533" s="11">
        <f t="shared" si="8"/>
        <v>2.9454010337870873E-2</v>
      </c>
      <c r="L533" s="12" t="str">
        <f>[531]Main!$C$15&amp;" ("&amp;[531]Main!$C$14&amp;")"</f>
        <v>Net cash (pre-revenue)</v>
      </c>
      <c r="M533" s="13">
        <v>46337</v>
      </c>
      <c r="N533" s="17" t="s">
        <v>104</v>
      </c>
    </row>
    <row r="534" spans="2:14" x14ac:dyDescent="0.2">
      <c r="B534" s="3" t="s">
        <v>1139</v>
      </c>
      <c r="C534" t="s">
        <v>1140</v>
      </c>
      <c r="D534" t="s">
        <v>22</v>
      </c>
      <c r="E534" s="6" t="s">
        <v>33</v>
      </c>
      <c r="F534" s="1">
        <v>1.66</v>
      </c>
      <c r="G534" s="8">
        <f>F534*[532]Main!$C$4</f>
        <v>28.105026739999996</v>
      </c>
      <c r="H534" s="10">
        <f>G534-[532]Main!$C$7+[532]Main!$C$8</f>
        <v>20.374044739999995</v>
      </c>
      <c r="J534" s="1">
        <f>IF(ISNUMBER([532]Main!$C$11),[532]Main!$C$11,"")</f>
        <v>0.4566240138720466</v>
      </c>
      <c r="K534" s="11">
        <f t="shared" si="8"/>
        <v>-0.72492529284816465</v>
      </c>
      <c r="L534" s="12" t="str">
        <f>[532]Main!$C$15&amp;" ("&amp;[532]Main!$C$14&amp;")"</f>
        <v>Net cash (pre-revenue)</v>
      </c>
      <c r="M534" s="13">
        <v>46339</v>
      </c>
      <c r="N534" s="17" t="s">
        <v>156</v>
      </c>
    </row>
    <row r="535" spans="2:14" x14ac:dyDescent="0.2">
      <c r="B535" s="3" t="s">
        <v>1141</v>
      </c>
      <c r="C535" t="s">
        <v>1142</v>
      </c>
      <c r="D535" t="s">
        <v>22</v>
      </c>
      <c r="E535" s="6" t="s">
        <v>33</v>
      </c>
      <c r="F535" s="1">
        <v>5.44</v>
      </c>
      <c r="G535" s="8">
        <f>F535*[533]Main!$C$4</f>
        <v>24.900832960000002</v>
      </c>
      <c r="H535" s="10">
        <f>G535-[533]Main!$C$7+[533]Main!$C$8</f>
        <v>4.8128329600000015</v>
      </c>
      <c r="J535" s="1">
        <f>IF(ISNUMBER([533]Main!$C$11),[533]Main!$C$11,"")</f>
        <v>4.38855680753902</v>
      </c>
      <c r="K535" s="11">
        <f t="shared" si="8"/>
        <v>-0.19327999861415079</v>
      </c>
      <c r="L535" s="12" t="str">
        <f>[533]Main!$C$15&amp;" ("&amp;[533]Main!$C$14&amp;")"</f>
        <v>Net cash (pre-revenue)</v>
      </c>
      <c r="M535" s="13">
        <v>46330</v>
      </c>
      <c r="N535" s="17" t="s">
        <v>40</v>
      </c>
    </row>
    <row r="536" spans="2:14" x14ac:dyDescent="0.2">
      <c r="B536" s="3" t="s">
        <v>1143</v>
      </c>
      <c r="C536" t="s">
        <v>1144</v>
      </c>
      <c r="D536" t="s">
        <v>15</v>
      </c>
      <c r="E536" s="6" t="s">
        <v>16</v>
      </c>
      <c r="F536" s="1">
        <v>3.24</v>
      </c>
      <c r="G536" s="8">
        <f>F536*[534]Main!$C$4</f>
        <v>29.209840920000001</v>
      </c>
      <c r="H536" s="10">
        <f>G536-[534]Main!$C$7+[534]Main!$C$8</f>
        <v>27.972840920000003</v>
      </c>
      <c r="J536" s="1">
        <f>IF(ISNUMBER([534]Main!$C$11),[534]Main!$C$11,"")</f>
        <v>0.13720992219631714</v>
      </c>
      <c r="K536" s="11">
        <f t="shared" si="8"/>
        <v>-0.95765125858138356</v>
      </c>
      <c r="L536" s="12" t="str">
        <f>[534]Main!$C$15&amp;" ("&amp;[534]Main!$C$14&amp;")"</f>
        <v>Net cash (revenue jump)</v>
      </c>
      <c r="M536" s="13"/>
      <c r="N536" s="17"/>
    </row>
    <row r="537" spans="2:14" x14ac:dyDescent="0.2">
      <c r="B537" s="3" t="s">
        <v>1145</v>
      </c>
      <c r="C537" t="s">
        <v>1146</v>
      </c>
      <c r="D537" t="s">
        <v>15</v>
      </c>
      <c r="E537" s="6" t="s">
        <v>33</v>
      </c>
      <c r="F537" s="1">
        <v>0.65010000000000001</v>
      </c>
      <c r="G537" s="8">
        <f>F537*[535]Main!$C$4</f>
        <v>27.3185587587</v>
      </c>
      <c r="H537" s="10">
        <f>G537-[535]Main!$C$7+[535]Main!$C$8</f>
        <v>19.2051437587</v>
      </c>
      <c r="J537" s="1">
        <f>IF(ISNUMBER([535]Main!$C$11),[535]Main!$C$11,"")</f>
        <v>0.19307501314725278</v>
      </c>
      <c r="K537" s="11">
        <f t="shared" si="8"/>
        <v>-0.70300720943354444</v>
      </c>
      <c r="L537" s="12" t="str">
        <f>[535]Main!$C$15&amp;" ("&amp;[535]Main!$C$14&amp;")"</f>
        <v>Net cash (pre-revenue)</v>
      </c>
      <c r="M537" s="13">
        <v>46338</v>
      </c>
      <c r="N537" s="17" t="s">
        <v>190</v>
      </c>
    </row>
    <row r="538" spans="2:14" x14ac:dyDescent="0.2">
      <c r="B538" s="3" t="s">
        <v>1147</v>
      </c>
      <c r="C538" t="s">
        <v>1148</v>
      </c>
      <c r="D538" t="s">
        <v>22</v>
      </c>
      <c r="E538" s="6" t="s">
        <v>33</v>
      </c>
      <c r="F538" s="1">
        <v>4.91</v>
      </c>
      <c r="G538" s="8">
        <f>F538*[536]Main!$C$4</f>
        <v>23.39465736</v>
      </c>
      <c r="H538" s="10">
        <f>G538-[536]Main!$C$7+[536]Main!$C$8</f>
        <v>23.304419360000001</v>
      </c>
      <c r="J538" s="1">
        <f>IF(ISNUMBER([536]Main!$C$11),[536]Main!$C$11,"")</f>
        <v>1.8938878786810324E-2</v>
      </c>
      <c r="K538" s="11">
        <f t="shared" si="8"/>
        <v>-0.99614279454443777</v>
      </c>
      <c r="L538" s="12" t="str">
        <f>[536]Main!$C$15&amp;" ("&amp;[536]Main!$C$14&amp;")"</f>
        <v>Net cash (pre-revenue)</v>
      </c>
      <c r="M538" s="13">
        <v>46338</v>
      </c>
      <c r="N538" s="17" t="s">
        <v>190</v>
      </c>
    </row>
    <row r="539" spans="2:14" x14ac:dyDescent="0.2">
      <c r="B539" s="3" t="s">
        <v>1149</v>
      </c>
      <c r="C539" t="s">
        <v>1150</v>
      </c>
      <c r="D539" t="s">
        <v>15</v>
      </c>
      <c r="E539" s="6" t="s">
        <v>16</v>
      </c>
      <c r="F539" s="1">
        <v>0.245</v>
      </c>
      <c r="G539" s="8">
        <f>F539*[537]Main!$C$4</f>
        <v>25.32908196</v>
      </c>
      <c r="H539" s="10">
        <f>G539-[537]Main!$C$7+[537]Main!$C$8</f>
        <v>26.057081960000001</v>
      </c>
      <c r="J539" s="1">
        <f>IF(ISNUMBER([537]Main!$C$11),[537]Main!$C$11,"")</f>
        <v>-7.0417080367013822E-3</v>
      </c>
      <c r="K539" s="11">
        <f t="shared" si="8"/>
        <v>-1.028741665455924</v>
      </c>
      <c r="L539" s="12" t="str">
        <f>[537]Main!$C$15&amp;" ("&amp;[537]Main!$C$14&amp;")"</f>
        <v>Net cash (pre-revenue)</v>
      </c>
      <c r="M539" s="13">
        <v>46339</v>
      </c>
      <c r="N539" s="17" t="s">
        <v>156</v>
      </c>
    </row>
    <row r="540" spans="2:14" x14ac:dyDescent="0.2">
      <c r="B540" s="3" t="s">
        <v>1151</v>
      </c>
      <c r="C540" t="s">
        <v>1152</v>
      </c>
      <c r="D540" t="s">
        <v>22</v>
      </c>
      <c r="E540" s="6" t="s">
        <v>33</v>
      </c>
      <c r="F540" s="1">
        <v>1.19</v>
      </c>
      <c r="G540" s="8">
        <f>F540*[538]Main!$C$4</f>
        <v>26.405789409999997</v>
      </c>
      <c r="H540" s="10">
        <f>G540-[538]Main!$C$7+[538]Main!$C$8</f>
        <v>31.685789409999998</v>
      </c>
      <c r="J540" s="1">
        <f>IF(ISNUMBER([538]Main!$C$11),[538]Main!$C$11,"")</f>
        <v>-0.23794781903473491</v>
      </c>
      <c r="K540" s="11">
        <f t="shared" si="8"/>
        <v>-1.199956150449357</v>
      </c>
      <c r="L540" s="12" t="str">
        <f>[538]Main!$C$15&amp;" ("&amp;[538]Main!$C$14&amp;")"</f>
        <v>Net cash (pre-revenue)</v>
      </c>
      <c r="M540" s="13">
        <v>46339</v>
      </c>
      <c r="N540" s="17" t="s">
        <v>156</v>
      </c>
    </row>
    <row r="541" spans="2:14" x14ac:dyDescent="0.2">
      <c r="B541" s="3" t="s">
        <v>1153</v>
      </c>
      <c r="C541" t="s">
        <v>1154</v>
      </c>
      <c r="D541" t="s">
        <v>22</v>
      </c>
      <c r="E541" s="6" t="s">
        <v>33</v>
      </c>
      <c r="F541" s="1">
        <v>2.31</v>
      </c>
      <c r="G541" s="8">
        <f>F541*[539]Main!$C$4</f>
        <v>22.964312910000004</v>
      </c>
      <c r="H541" s="10">
        <f>G541-[539]Main!$C$7+[539]Main!$C$8</f>
        <v>7.3703129100000044</v>
      </c>
      <c r="J541" s="1">
        <f>IF(ISNUMBER([539]Main!$C$11),[539]Main!$C$11,"")</f>
        <v>1.5686138810760524</v>
      </c>
      <c r="K541" s="11">
        <f t="shared" si="8"/>
        <v>-0.32094637182854879</v>
      </c>
      <c r="L541" s="12" t="str">
        <f>[539]Main!$C$15&amp;" ("&amp;[539]Main!$C$14&amp;")"</f>
        <v>Net cash (pre-revenue)</v>
      </c>
      <c r="M541" s="13">
        <v>46330</v>
      </c>
      <c r="N541" s="17" t="s">
        <v>40</v>
      </c>
    </row>
    <row r="542" spans="2:14" x14ac:dyDescent="0.2">
      <c r="B542" s="3" t="s">
        <v>1155</v>
      </c>
      <c r="C542" t="s">
        <v>1156</v>
      </c>
      <c r="D542" t="s">
        <v>22</v>
      </c>
      <c r="E542" s="6" t="s">
        <v>33</v>
      </c>
      <c r="F542" s="1">
        <v>2.82</v>
      </c>
      <c r="G542" s="8">
        <f>F542*[540]Main!$C$4</f>
        <v>27.187707419999999</v>
      </c>
      <c r="H542" s="10">
        <f>G542-[540]Main!$C$7+[540]Main!$C$8</f>
        <v>16.887707419999998</v>
      </c>
      <c r="J542" s="1">
        <f>IF(ISNUMBER([540]Main!$C$11),[540]Main!$C$11,"")</f>
        <v>1.068350469986042</v>
      </c>
      <c r="K542" s="11">
        <f t="shared" si="8"/>
        <v>-0.6211523156077865</v>
      </c>
      <c r="L542" s="12" t="str">
        <f>[540]Main!$C$15&amp;" ("&amp;[540]Main!$C$14&amp;")"</f>
        <v>Net cash (pre-revenue)</v>
      </c>
      <c r="M542" s="13">
        <v>46367</v>
      </c>
      <c r="N542" s="17" t="s">
        <v>1157</v>
      </c>
    </row>
    <row r="543" spans="2:14" x14ac:dyDescent="0.2">
      <c r="B543" s="3" t="s">
        <v>1158</v>
      </c>
      <c r="C543" t="s">
        <v>1159</v>
      </c>
      <c r="D543" t="s">
        <v>22</v>
      </c>
      <c r="E543" s="6" t="s">
        <v>33</v>
      </c>
      <c r="F543" s="1">
        <v>0.51500000000000001</v>
      </c>
      <c r="G543" s="8">
        <f>F543*[541]Main!$C$4</f>
        <v>18.679626285000001</v>
      </c>
      <c r="H543" s="10">
        <f>G543-[541]Main!$C$7+[541]Main!$C$8</f>
        <v>15.644354285</v>
      </c>
      <c r="J543" s="1">
        <f>IF(ISNUMBER([541]Main!$C$11),[541]Main!$C$11,"")</f>
        <v>8.3682888305706804E-2</v>
      </c>
      <c r="K543" s="11">
        <f t="shared" si="8"/>
        <v>-0.83750895474620035</v>
      </c>
      <c r="L543" s="12" t="str">
        <f>[541]Main!$C$15&amp;" ("&amp;[541]Main!$C$14&amp;")"</f>
        <v>Net cash (pre-revenue)</v>
      </c>
      <c r="M543" s="13">
        <v>46339</v>
      </c>
      <c r="N543" s="17" t="s">
        <v>156</v>
      </c>
    </row>
    <row r="544" spans="2:14" x14ac:dyDescent="0.2">
      <c r="B544" s="3" t="s">
        <v>1160</v>
      </c>
      <c r="C544" t="s">
        <v>1161</v>
      </c>
      <c r="D544" t="s">
        <v>22</v>
      </c>
      <c r="E544" s="6" t="s">
        <v>33</v>
      </c>
      <c r="F544" s="1">
        <v>0.93</v>
      </c>
      <c r="G544" s="8">
        <f>F544*[542]Main!$C$4</f>
        <v>24.788559450000001</v>
      </c>
      <c r="H544" s="10">
        <f>G544-[542]Main!$C$7+[542]Main!$C$8</f>
        <v>24.753657450000002</v>
      </c>
      <c r="J544" s="1">
        <f>IF(ISNUMBER([542]Main!$C$11),[542]Main!$C$11,"")</f>
        <v>1.3094290559913923E-3</v>
      </c>
      <c r="K544" s="11">
        <f t="shared" si="8"/>
        <v>-0.99859201176775114</v>
      </c>
      <c r="L544" s="12" t="str">
        <f>[542]Main!$C$15&amp;" ("&amp;[542]Main!$C$14&amp;")"</f>
        <v>Net cash (pre-revenue)</v>
      </c>
      <c r="M544" s="13">
        <v>46325</v>
      </c>
      <c r="N544" s="17" t="s">
        <v>1162</v>
      </c>
    </row>
    <row r="545" spans="2:14" x14ac:dyDescent="0.2">
      <c r="B545" s="3" t="s">
        <v>1163</v>
      </c>
      <c r="C545" t="s">
        <v>1164</v>
      </c>
      <c r="D545" t="s">
        <v>15</v>
      </c>
      <c r="E545" s="6" t="s">
        <v>33</v>
      </c>
      <c r="F545" s="1">
        <v>2.5299999999999998</v>
      </c>
      <c r="G545" s="8">
        <f>F545*[543]Main!$C$4</f>
        <v>21.487289999999998</v>
      </c>
      <c r="H545" s="10">
        <f>G545-[543]Main!$C$7+[543]Main!$C$8</f>
        <v>101.72729</v>
      </c>
      <c r="J545" s="1">
        <f>IF(ISNUMBER([543]Main!$C$11),[543]Main!$C$11,"")</f>
        <v>-9.4477805251383487</v>
      </c>
      <c r="K545" s="11">
        <f t="shared" si="8"/>
        <v>-4.7343006028214818</v>
      </c>
      <c r="L545" s="12" t="str">
        <f>[543]Main!$C$15&amp;" ("&amp;[543]Main!$C$14&amp;")"</f>
        <v>Net cash (small revenue)</v>
      </c>
      <c r="M545" s="13">
        <v>46339</v>
      </c>
      <c r="N545" s="17" t="s">
        <v>156</v>
      </c>
    </row>
    <row r="546" spans="2:14" x14ac:dyDescent="0.2">
      <c r="B546" s="3" t="s">
        <v>1165</v>
      </c>
      <c r="C546" t="s">
        <v>1166</v>
      </c>
      <c r="D546" t="s">
        <v>22</v>
      </c>
      <c r="E546" s="6" t="s">
        <v>33</v>
      </c>
      <c r="F546" s="1">
        <v>1.08</v>
      </c>
      <c r="G546" s="8">
        <f>F546*[544]Main!$C$4</f>
        <v>21.853792439999999</v>
      </c>
      <c r="H546" s="10">
        <f>G546-[544]Main!$C$7+[544]Main!$C$8</f>
        <v>21.752308439999997</v>
      </c>
      <c r="J546" s="1">
        <f>IF(ISNUMBER([544]Main!$C$11),[544]Main!$C$11,"")</f>
        <v>5.0152723057527108E-3</v>
      </c>
      <c r="K546" s="11">
        <f t="shared" si="8"/>
        <v>-0.99535622934652523</v>
      </c>
      <c r="L546" s="12" t="str">
        <f>[544]Main!$C$15&amp;" ("&amp;[544]Main!$C$14&amp;")"</f>
        <v>Net cash (pre-revenue)</v>
      </c>
      <c r="M546" s="13">
        <v>46339</v>
      </c>
      <c r="N546" s="17" t="s">
        <v>156</v>
      </c>
    </row>
    <row r="547" spans="2:14" x14ac:dyDescent="0.2">
      <c r="B547" s="3" t="s">
        <v>1167</v>
      </c>
      <c r="C547" t="s">
        <v>1168</v>
      </c>
      <c r="D547" t="s">
        <v>22</v>
      </c>
      <c r="E547" s="6" t="s">
        <v>33</v>
      </c>
      <c r="F547" s="1">
        <v>4.05</v>
      </c>
      <c r="G547" s="8">
        <f>F547*[545]Main!$C$4</f>
        <v>33.777871235999996</v>
      </c>
      <c r="H547" s="10">
        <f>G547-[545]Main!$C$7+[545]Main!$C$8</f>
        <v>16.080871235999993</v>
      </c>
      <c r="J547" s="1">
        <f>IF(ISNUMBER([545]Main!$C$11),[545]Main!$C$11,"")</f>
        <v>2.1218877145701254</v>
      </c>
      <c r="K547" s="11">
        <f t="shared" si="8"/>
        <v>-0.47607710751354926</v>
      </c>
      <c r="L547" s="12" t="str">
        <f>[545]Main!$C$15&amp;" ("&amp;[545]Main!$C$14&amp;")"</f>
        <v>Net cash (small revenue)</v>
      </c>
      <c r="M547" s="13">
        <v>46345</v>
      </c>
      <c r="N547" s="17" t="s">
        <v>1169</v>
      </c>
    </row>
    <row r="548" spans="2:14" x14ac:dyDescent="0.2">
      <c r="B548" s="3" t="s">
        <v>1170</v>
      </c>
      <c r="C548" t="s">
        <v>1171</v>
      </c>
      <c r="D548" t="s">
        <v>22</v>
      </c>
      <c r="E548" s="6" t="s">
        <v>33</v>
      </c>
      <c r="F548" s="1">
        <v>0.52270000000000005</v>
      </c>
      <c r="G548" s="8">
        <f>F548*[546]Main!$C$4</f>
        <v>21.493329914</v>
      </c>
      <c r="H548" s="10">
        <f>G548-[546]Main!$C$7+[546]Main!$C$8</f>
        <v>14.964329914</v>
      </c>
      <c r="J548" s="1">
        <f>IF(ISNUMBER([546]Main!$C$11),[546]Main!$C$11,"")</f>
        <v>0.15877987792748122</v>
      </c>
      <c r="K548" s="11">
        <f t="shared" si="8"/>
        <v>-0.69623134125218833</v>
      </c>
      <c r="L548" s="12" t="str">
        <f>[546]Main!$C$15&amp;" ("&amp;[546]Main!$C$14&amp;")"</f>
        <v>Net cash (pre-revenue)</v>
      </c>
      <c r="M548" s="13">
        <v>46337</v>
      </c>
      <c r="N548" s="17" t="s">
        <v>104</v>
      </c>
    </row>
    <row r="549" spans="2:14" x14ac:dyDescent="0.2">
      <c r="B549" s="3" t="s">
        <v>1172</v>
      </c>
      <c r="C549" t="s">
        <v>1173</v>
      </c>
      <c r="D549" t="s">
        <v>15</v>
      </c>
      <c r="E549" s="6" t="s">
        <v>33</v>
      </c>
      <c r="F549" s="1">
        <v>0.24379999999999999</v>
      </c>
      <c r="G549" s="8">
        <f>F549*[547]Main!$C$4</f>
        <v>22.400143352599997</v>
      </c>
      <c r="H549" s="10">
        <f>G549-[547]Main!$C$7+[547]Main!$C$8</f>
        <v>-20.590227647400006</v>
      </c>
      <c r="J549" s="1">
        <f>IF(ISNUMBER([547]Main!$C$11),[547]Main!$C$11,"")</f>
        <v>0.4679011328105388</v>
      </c>
      <c r="K549" s="11">
        <f t="shared" si="8"/>
        <v>0.91920070882091398</v>
      </c>
      <c r="L549" s="12" t="str">
        <f>[547]Main!$C$15&amp;" ("&amp;[547]Main!$C$14&amp;")"</f>
        <v>Net cash (pre-revenue)</v>
      </c>
      <c r="M549" s="13">
        <v>46330</v>
      </c>
      <c r="N549" s="17" t="s">
        <v>40</v>
      </c>
    </row>
    <row r="550" spans="2:14" x14ac:dyDescent="0.2">
      <c r="B550" s="3" t="s">
        <v>1174</v>
      </c>
      <c r="C550" t="s">
        <v>1175</v>
      </c>
      <c r="D550" t="s">
        <v>15</v>
      </c>
      <c r="E550" s="6" t="s">
        <v>33</v>
      </c>
      <c r="F550" s="1">
        <v>1.88</v>
      </c>
      <c r="G550" s="8">
        <f>F550*[548]Main!$C$4</f>
        <v>21.759800559999999</v>
      </c>
      <c r="H550" s="10">
        <f>G550-[548]Main!$C$7+[548]Main!$C$8</f>
        <v>12.570800559999999</v>
      </c>
      <c r="J550" s="1">
        <f>IF(ISNUMBER([548]Main!$C$11),[548]Main!$C$11,"")</f>
        <v>0.79390985006344195</v>
      </c>
      <c r="K550" s="11">
        <f t="shared" si="8"/>
        <v>-0.57770752656199886</v>
      </c>
      <c r="L550" s="12" t="str">
        <f>[548]Main!$C$15&amp;" ("&amp;[548]Main!$C$14&amp;")"</f>
        <v>Net cash (pre-revenue)</v>
      </c>
      <c r="M550" s="13">
        <v>46337</v>
      </c>
      <c r="N550" s="17" t="s">
        <v>104</v>
      </c>
    </row>
    <row r="551" spans="2:14" x14ac:dyDescent="0.2">
      <c r="B551" s="3" t="s">
        <v>1176</v>
      </c>
      <c r="C551" t="s">
        <v>1177</v>
      </c>
      <c r="D551" t="s">
        <v>22</v>
      </c>
      <c r="E551" s="6" t="s">
        <v>33</v>
      </c>
      <c r="F551" s="1">
        <v>5.28</v>
      </c>
      <c r="G551" s="8">
        <f>F551*[549]Main!$C$4</f>
        <v>21.379374720000001</v>
      </c>
      <c r="H551" s="10">
        <f>G551-[549]Main!$C$7+[549]Main!$C$8</f>
        <v>-69.938625279999997</v>
      </c>
      <c r="J551" s="1">
        <f>IF(ISNUMBER([549]Main!$C$11),[549]Main!$C$11,"")</f>
        <v>22.552532350207105</v>
      </c>
      <c r="K551" s="11">
        <f t="shared" si="8"/>
        <v>3.2713129451149818</v>
      </c>
      <c r="L551" s="12" t="str">
        <f>[549]Main!$C$15&amp;" ("&amp;[549]Main!$C$14&amp;")"</f>
        <v>Net cash (pre-revenue)</v>
      </c>
      <c r="M551" s="13">
        <v>46335</v>
      </c>
      <c r="N551" s="17" t="s">
        <v>87</v>
      </c>
    </row>
    <row r="552" spans="2:14" x14ac:dyDescent="0.2">
      <c r="B552" s="3" t="s">
        <v>1178</v>
      </c>
      <c r="C552" t="s">
        <v>1179</v>
      </c>
      <c r="D552" t="s">
        <v>15</v>
      </c>
      <c r="E552" s="6" t="s">
        <v>33</v>
      </c>
      <c r="F552" s="1">
        <v>2.0099999999999998</v>
      </c>
      <c r="G552" s="8">
        <f>F552*[550]Main!$C$4</f>
        <v>21.842083079999995</v>
      </c>
      <c r="H552" s="10">
        <f>G552-[550]Main!$C$7+[550]Main!$C$8</f>
        <v>12.566083079999995</v>
      </c>
      <c r="J552" s="1">
        <f>IF(ISNUMBER([550]Main!$C$11),[550]Main!$C$11,"")</f>
        <v>2.897737167774276</v>
      </c>
      <c r="K552" s="11">
        <f t="shared" si="8"/>
        <v>0.44166028247476441</v>
      </c>
      <c r="L552" s="12" t="str">
        <f>[550]Main!$C$15&amp;" ("&amp;[550]Main!$C$14&amp;")"</f>
        <v>DCF (Base)</v>
      </c>
      <c r="M552" s="13">
        <v>46338</v>
      </c>
      <c r="N552" s="17" t="s">
        <v>190</v>
      </c>
    </row>
    <row r="553" spans="2:14" x14ac:dyDescent="0.2">
      <c r="B553" s="3" t="s">
        <v>1180</v>
      </c>
      <c r="C553" t="s">
        <v>1181</v>
      </c>
      <c r="D553" t="s">
        <v>15</v>
      </c>
      <c r="E553" s="6" t="s">
        <v>33</v>
      </c>
      <c r="F553" s="1">
        <v>0.94289999999999996</v>
      </c>
      <c r="G553" s="8">
        <f>F553*[551]Main!$C$4</f>
        <v>18.16327128</v>
      </c>
      <c r="H553" s="10">
        <f>G553-[551]Main!$C$7+[551]Main!$C$8</f>
        <v>15.99427128</v>
      </c>
      <c r="J553" s="1">
        <f>IF(ISNUMBER([551]Main!$C$11),[551]Main!$C$11,"")</f>
        <v>0.11259811453964035</v>
      </c>
      <c r="K553" s="11">
        <f t="shared" si="8"/>
        <v>-0.88058318534347191</v>
      </c>
      <c r="L553" s="12" t="str">
        <f>[551]Main!$C$15&amp;" ("&amp;[551]Main!$C$14&amp;")"</f>
        <v>Net cash (pre-revenue)</v>
      </c>
      <c r="M553" s="13">
        <v>46339</v>
      </c>
      <c r="N553" s="17" t="s">
        <v>156</v>
      </c>
    </row>
    <row r="554" spans="2:14" x14ac:dyDescent="0.2">
      <c r="B554" s="3" t="s">
        <v>1182</v>
      </c>
      <c r="C554" t="s">
        <v>1183</v>
      </c>
      <c r="D554" t="s">
        <v>22</v>
      </c>
      <c r="E554" s="6" t="s">
        <v>33</v>
      </c>
      <c r="F554" s="1">
        <v>0.4</v>
      </c>
      <c r="G554" s="8">
        <f>F554*[552]Main!$C$4</f>
        <v>17.399145600000001</v>
      </c>
      <c r="H554" s="10">
        <f>G554-[552]Main!$C$7+[552]Main!$C$8</f>
        <v>17.299145599999999</v>
      </c>
      <c r="J554" s="1">
        <f>IF(ISNUMBER([552]Main!$C$11),[552]Main!$C$11,"")</f>
        <v>2.2989634617460756E-3</v>
      </c>
      <c r="K554" s="11">
        <f t="shared" si="8"/>
        <v>-0.99425259134563482</v>
      </c>
      <c r="L554" s="12" t="str">
        <f>[552]Main!$C$15&amp;" ("&amp;[552]Main!$C$14&amp;")"</f>
        <v>Net cash (pre-revenue)</v>
      </c>
      <c r="M554" s="13"/>
      <c r="N554" s="17"/>
    </row>
    <row r="555" spans="2:14" x14ac:dyDescent="0.2">
      <c r="B555" s="3" t="s">
        <v>1184</v>
      </c>
      <c r="C555" t="s">
        <v>1185</v>
      </c>
      <c r="D555" t="s">
        <v>15</v>
      </c>
      <c r="E555" s="6" t="s">
        <v>33</v>
      </c>
      <c r="F555" s="1">
        <v>2.63</v>
      </c>
      <c r="G555" s="8">
        <f>F555*[553]Main!$C$4</f>
        <v>13.592629000000001</v>
      </c>
      <c r="H555" s="10">
        <f>G555-[553]Main!$C$7+[553]Main!$C$8</f>
        <v>25.363629000000003</v>
      </c>
      <c r="J555" s="1">
        <f>IF(ISNUMBER([553]Main!$C$11),[553]Main!$C$11,"")</f>
        <v>-2.2775380686105682</v>
      </c>
      <c r="K555" s="11">
        <f t="shared" si="8"/>
        <v>-1.8659840565059196</v>
      </c>
      <c r="L555" s="12" t="str">
        <f>[553]Main!$C$15&amp;" ("&amp;[553]Main!$C$14&amp;")"</f>
        <v>Net cash (small revenue)</v>
      </c>
      <c r="M555" s="13">
        <v>46339</v>
      </c>
      <c r="N555" s="17" t="s">
        <v>156</v>
      </c>
    </row>
    <row r="556" spans="2:14" x14ac:dyDescent="0.2">
      <c r="B556" s="3" t="s">
        <v>1186</v>
      </c>
      <c r="C556" t="s">
        <v>1187</v>
      </c>
      <c r="D556" t="s">
        <v>22</v>
      </c>
      <c r="E556" s="6" t="s">
        <v>33</v>
      </c>
      <c r="F556" s="1">
        <v>3.39</v>
      </c>
      <c r="G556" s="8">
        <f>F556*[554]Main!$C$4</f>
        <v>18.344422260000002</v>
      </c>
      <c r="H556" s="10">
        <f>G556-[554]Main!$C$7+[554]Main!$C$8</f>
        <v>-1.521108739999999</v>
      </c>
      <c r="J556" s="1">
        <f>IF(ISNUMBER([554]Main!$C$11),[554]Main!$C$11,"")</f>
        <v>3.6710968127267694</v>
      </c>
      <c r="K556" s="11">
        <f t="shared" si="8"/>
        <v>8.2919413783707707E-2</v>
      </c>
      <c r="L556" s="12" t="str">
        <f>[554]Main!$C$15&amp;" ("&amp;[554]Main!$C$14&amp;")"</f>
        <v>Net cash (pre-revenue)</v>
      </c>
      <c r="M556" s="13">
        <v>46339</v>
      </c>
      <c r="N556" s="17" t="s">
        <v>156</v>
      </c>
    </row>
    <row r="557" spans="2:14" x14ac:dyDescent="0.2">
      <c r="B557" s="3" t="s">
        <v>1188</v>
      </c>
      <c r="C557" t="s">
        <v>1189</v>
      </c>
      <c r="D557" t="s">
        <v>22</v>
      </c>
      <c r="E557" s="6" t="s">
        <v>33</v>
      </c>
      <c r="F557" s="1">
        <v>1.1599999999999999</v>
      </c>
      <c r="G557" s="8">
        <f>F557*[555]Main!$C$4</f>
        <v>19.340827319999999</v>
      </c>
      <c r="H557" s="10">
        <f>G557-[555]Main!$C$7+[555]Main!$C$8</f>
        <v>8.0098043199999989</v>
      </c>
      <c r="J557" s="1">
        <f>IF(ISNUMBER([555]Main!$C$11),[555]Main!$C$11,"")</f>
        <v>0.67959795424097713</v>
      </c>
      <c r="K557" s="11">
        <f t="shared" si="8"/>
        <v>-0.41413969461984723</v>
      </c>
      <c r="L557" s="12" t="str">
        <f>[555]Main!$C$15&amp;" ("&amp;[555]Main!$C$14&amp;")"</f>
        <v>Net cash (pre-revenue)</v>
      </c>
      <c r="M557" s="13">
        <v>46338</v>
      </c>
      <c r="N557" s="17" t="s">
        <v>190</v>
      </c>
    </row>
    <row r="558" spans="2:14" x14ac:dyDescent="0.2">
      <c r="B558" s="3" t="s">
        <v>1190</v>
      </c>
      <c r="C558" t="s">
        <v>1191</v>
      </c>
      <c r="D558" t="s">
        <v>22</v>
      </c>
      <c r="E558" s="6" t="s">
        <v>33</v>
      </c>
      <c r="F558" s="1">
        <v>0.17330000000000001</v>
      </c>
      <c r="G558" s="8">
        <f>F558*[556]Main!$C$4</f>
        <v>16.998550752500002</v>
      </c>
      <c r="H558" s="10">
        <f>G558-[556]Main!$C$7+[556]Main!$C$8</f>
        <v>-40.419449247500005</v>
      </c>
      <c r="J558" s="1">
        <f>IF(ISNUMBER([556]Main!$C$11),[556]Main!$C$11,"")</f>
        <v>0.58537575025544819</v>
      </c>
      <c r="K558" s="11">
        <f t="shared" si="8"/>
        <v>2.3778173701987777</v>
      </c>
      <c r="L558" s="12" t="str">
        <f>[556]Main!$C$15&amp;" ("&amp;[556]Main!$C$14&amp;")"</f>
        <v>Net cash (pre-revenue)</v>
      </c>
      <c r="M558" s="13">
        <v>46331</v>
      </c>
      <c r="N558" s="17" t="s">
        <v>63</v>
      </c>
    </row>
    <row r="559" spans="2:14" x14ac:dyDescent="0.2">
      <c r="B559" s="3" t="s">
        <v>1192</v>
      </c>
      <c r="C559" t="s">
        <v>1193</v>
      </c>
      <c r="D559" t="s">
        <v>22</v>
      </c>
      <c r="E559" s="6" t="s">
        <v>33</v>
      </c>
      <c r="F559" s="1">
        <v>9.2899999999999991</v>
      </c>
      <c r="G559" s="8">
        <f>F559*[557]Main!$C$4</f>
        <v>18.087459242019623</v>
      </c>
      <c r="H559" s="10">
        <f>G559-[557]Main!$C$7+[557]Main!$C$8</f>
        <v>11.086459242019624</v>
      </c>
      <c r="J559" s="1">
        <f>IF(ISNUMBER([557]Main!$C$11),[557]Main!$C$11,"")</f>
        <v>3.595822339099175</v>
      </c>
      <c r="K559" s="11">
        <f t="shared" si="8"/>
        <v>-0.61293623906359795</v>
      </c>
      <c r="L559" s="12" t="str">
        <f>[557]Main!$C$15&amp;" ("&amp;[557]Main!$C$14&amp;")"</f>
        <v>Net cash (pre-revenue)</v>
      </c>
      <c r="M559" s="13">
        <v>46338</v>
      </c>
      <c r="N559" s="17" t="s">
        <v>190</v>
      </c>
    </row>
    <row r="560" spans="2:14" x14ac:dyDescent="0.2">
      <c r="B560" s="3" t="s">
        <v>1194</v>
      </c>
      <c r="C560" t="s">
        <v>1195</v>
      </c>
      <c r="D560" t="s">
        <v>22</v>
      </c>
      <c r="E560" s="6" t="s">
        <v>33</v>
      </c>
      <c r="F560" s="1">
        <v>0.49990000000000001</v>
      </c>
      <c r="G560" s="8">
        <f>F560*[558]Main!$C$4</f>
        <v>16.6339530439</v>
      </c>
      <c r="H560" s="10">
        <f>G560-[558]Main!$C$7+[558]Main!$C$8</f>
        <v>9.7199530439000004</v>
      </c>
      <c r="J560" s="1">
        <f>IF(ISNUMBER([558]Main!$C$11),[558]Main!$C$11,"")</f>
        <v>0.20778636268108841</v>
      </c>
      <c r="K560" s="11">
        <f t="shared" si="8"/>
        <v>-0.58434414346651642</v>
      </c>
      <c r="L560" s="12" t="str">
        <f>[558]Main!$C$15&amp;" ("&amp;[558]Main!$C$14&amp;")"</f>
        <v>Net cash (pre-revenue)</v>
      </c>
      <c r="M560" s="13">
        <v>46335</v>
      </c>
      <c r="N560" s="17" t="s">
        <v>87</v>
      </c>
    </row>
    <row r="561" spans="2:14" x14ac:dyDescent="0.2">
      <c r="B561" s="3" t="s">
        <v>1196</v>
      </c>
      <c r="C561" t="s">
        <v>1197</v>
      </c>
      <c r="D561" t="s">
        <v>22</v>
      </c>
      <c r="E561" s="6" t="s">
        <v>16</v>
      </c>
      <c r="F561" s="1">
        <v>0.5837</v>
      </c>
      <c r="G561" s="8">
        <f>F561*[559]Main!$C$4</f>
        <v>13.832337567100002</v>
      </c>
      <c r="H561" s="10">
        <f>G561-[559]Main!$C$7+[559]Main!$C$8</f>
        <v>11.206337567100002</v>
      </c>
      <c r="J561" s="1">
        <f>IF(ISNUMBER([559]Main!$C$11),[559]Main!$C$11,"")</f>
        <v>0.11081252120724207</v>
      </c>
      <c r="K561" s="11">
        <f t="shared" si="8"/>
        <v>-0.81015500906759974</v>
      </c>
      <c r="L561" s="12" t="str">
        <f>[559]Main!$C$15&amp;" ("&amp;[559]Main!$C$14&amp;")"</f>
        <v>Net cash (pre-revenue)</v>
      </c>
      <c r="M561" s="13">
        <v>46339</v>
      </c>
      <c r="N561" s="17" t="s">
        <v>156</v>
      </c>
    </row>
    <row r="562" spans="2:14" x14ac:dyDescent="0.2">
      <c r="B562" s="3" t="s">
        <v>1198</v>
      </c>
      <c r="C562" t="s">
        <v>1199</v>
      </c>
      <c r="D562" t="s">
        <v>22</v>
      </c>
      <c r="E562" s="6" t="s">
        <v>33</v>
      </c>
      <c r="F562" s="1">
        <v>0.61499999999999999</v>
      </c>
      <c r="G562" s="8">
        <f>F562*[560]Main!$C$4</f>
        <v>14.410792545</v>
      </c>
      <c r="H562" s="10">
        <f>G562-[560]Main!$C$7+[560]Main!$C$8</f>
        <v>-8.710796382024137</v>
      </c>
      <c r="J562" s="1">
        <f>IF(ISNUMBER([560]Main!$C$11),[560]Main!$C$11,"")</f>
        <v>0.98674497920335191</v>
      </c>
      <c r="K562" s="11">
        <f t="shared" si="8"/>
        <v>0.60446338081845852</v>
      </c>
      <c r="L562" s="12" t="str">
        <f>[560]Main!$C$15&amp;" ("&amp;[560]Main!$C$14&amp;")"</f>
        <v>Net cash (pre-revenue)</v>
      </c>
      <c r="M562" s="13"/>
      <c r="N562" s="17"/>
    </row>
    <row r="563" spans="2:14" x14ac:dyDescent="0.2">
      <c r="B563" s="3" t="s">
        <v>1200</v>
      </c>
      <c r="C563" t="s">
        <v>1201</v>
      </c>
      <c r="D563" t="s">
        <v>22</v>
      </c>
      <c r="E563" s="6" t="s">
        <v>33</v>
      </c>
      <c r="F563" s="1">
        <v>0.224</v>
      </c>
      <c r="G563" s="8">
        <f>F563*[561]Main!$C$4</f>
        <v>15.182553120000001</v>
      </c>
      <c r="H563" s="10">
        <f>G563-[561]Main!$C$7+[561]Main!$C$8</f>
        <v>-52.194446880000015</v>
      </c>
      <c r="J563" s="1">
        <f>IF(ISNUMBER([561]Main!$C$11),[561]Main!$C$11,"")</f>
        <v>0.99406521951296167</v>
      </c>
      <c r="K563" s="11">
        <f t="shared" si="8"/>
        <v>3.4377911585400076</v>
      </c>
      <c r="L563" s="12" t="str">
        <f>[561]Main!$C$15&amp;" ("&amp;[561]Main!$C$14&amp;")"</f>
        <v>Net cash (small revenue)</v>
      </c>
      <c r="M563" s="13">
        <v>46337</v>
      </c>
      <c r="N563" s="17" t="s">
        <v>104</v>
      </c>
    </row>
    <row r="564" spans="2:14" x14ac:dyDescent="0.2">
      <c r="B564" s="3" t="s">
        <v>1202</v>
      </c>
      <c r="C564" t="s">
        <v>1203</v>
      </c>
      <c r="D564" t="s">
        <v>22</v>
      </c>
      <c r="E564" s="6" t="s">
        <v>33</v>
      </c>
      <c r="F564" s="1">
        <v>0.3851</v>
      </c>
      <c r="G564" s="8">
        <f>F564*[562]Main!$C$4</f>
        <v>14.032544525299999</v>
      </c>
      <c r="H564" s="10">
        <f>G564-[562]Main!$C$7+[562]Main!$C$8</f>
        <v>9.2325445252999998</v>
      </c>
      <c r="J564" s="1">
        <f>IF(ISNUMBER([562]Main!$C$11),[562]Main!$C$11,"")</f>
        <v>0.13172806946504106</v>
      </c>
      <c r="K564" s="11">
        <f t="shared" si="8"/>
        <v>-0.65793801748885727</v>
      </c>
      <c r="L564" s="12" t="str">
        <f>[562]Main!$C$15&amp;" ("&amp;[562]Main!$C$14&amp;")"</f>
        <v>Net cash (pre-revenue)</v>
      </c>
      <c r="M564" s="13">
        <v>46337</v>
      </c>
      <c r="N564" s="17" t="s">
        <v>104</v>
      </c>
    </row>
    <row r="565" spans="2:14" x14ac:dyDescent="0.2">
      <c r="B565" s="3" t="s">
        <v>1204</v>
      </c>
      <c r="C565" t="s">
        <v>1205</v>
      </c>
      <c r="D565" t="s">
        <v>22</v>
      </c>
      <c r="E565" s="6" t="s">
        <v>33</v>
      </c>
      <c r="F565" s="1">
        <v>9.15</v>
      </c>
      <c r="G565" s="8">
        <f>F565*[563]Main!$C$4</f>
        <v>14.7156339</v>
      </c>
      <c r="H565" s="10">
        <f>G565-[563]Main!$C$7+[563]Main!$C$8</f>
        <v>13.409633899999999</v>
      </c>
      <c r="J565" s="1">
        <f>IF(ISNUMBER([563]Main!$C$11),[563]Main!$C$11,"")</f>
        <v>0.81205472229096431</v>
      </c>
      <c r="K565" s="11">
        <f t="shared" si="8"/>
        <v>-0.91125085002284545</v>
      </c>
      <c r="L565" s="12" t="str">
        <f>[563]Main!$C$15&amp;" ("&amp;[563]Main!$C$14&amp;")"</f>
        <v>Net cash (pre-revenue)</v>
      </c>
      <c r="M565" s="13"/>
      <c r="N565" s="17"/>
    </row>
    <row r="566" spans="2:14" x14ac:dyDescent="0.2">
      <c r="B566" s="3" t="s">
        <v>1206</v>
      </c>
      <c r="C566" t="s">
        <v>1207</v>
      </c>
      <c r="D566" t="s">
        <v>22</v>
      </c>
      <c r="E566" s="6" t="s">
        <v>33</v>
      </c>
      <c r="F566" s="1">
        <v>0.61609999999999998</v>
      </c>
      <c r="G566" s="8">
        <f>F566*[564]Main!$C$4</f>
        <v>14.7951498522</v>
      </c>
      <c r="H566" s="10">
        <f>G566-[564]Main!$C$7+[564]Main!$C$8</f>
        <v>10.3693088522</v>
      </c>
      <c r="J566" s="1">
        <f>IF(ISNUMBER([564]Main!$C$11),[564]Main!$C$11,"")</f>
        <v>0.18430098156082805</v>
      </c>
      <c r="K566" s="11">
        <f t="shared" si="8"/>
        <v>-0.70085865677515335</v>
      </c>
      <c r="L566" s="12" t="str">
        <f>[564]Main!$C$15&amp;" ("&amp;[564]Main!$C$14&amp;")"</f>
        <v>Net cash (pre-revenue)</v>
      </c>
      <c r="M566" s="13">
        <v>46338</v>
      </c>
      <c r="N566" s="17" t="s">
        <v>190</v>
      </c>
    </row>
    <row r="567" spans="2:14" x14ac:dyDescent="0.2">
      <c r="B567" s="3" t="s">
        <v>1208</v>
      </c>
      <c r="C567" t="s">
        <v>1209</v>
      </c>
      <c r="D567" t="s">
        <v>22</v>
      </c>
      <c r="E567" s="6" t="s">
        <v>33</v>
      </c>
      <c r="F567" s="1">
        <v>0.87580000000000002</v>
      </c>
      <c r="G567" s="8">
        <f>F567*[565]Main!$C$4</f>
        <v>13.934612079200001</v>
      </c>
      <c r="H567" s="10">
        <f>G567-[565]Main!$C$7+[565]Main!$C$8</f>
        <v>19.238612079199999</v>
      </c>
      <c r="J567" s="1">
        <f>IF(ISNUMBER([565]Main!$C$11),[565]Main!$C$11,"")</f>
        <v>-0.33336006582729977</v>
      </c>
      <c r="K567" s="11">
        <f t="shared" si="8"/>
        <v>-1.3806349233013242</v>
      </c>
      <c r="L567" s="12" t="str">
        <f>[565]Main!$C$15&amp;" ("&amp;[565]Main!$C$14&amp;")"</f>
        <v>Net cash (pre-revenue)</v>
      </c>
      <c r="M567" s="13">
        <v>46339</v>
      </c>
      <c r="N567" s="17" t="s">
        <v>156</v>
      </c>
    </row>
    <row r="568" spans="2:14" x14ac:dyDescent="0.2">
      <c r="B568" s="3" t="s">
        <v>1210</v>
      </c>
      <c r="C568" t="s">
        <v>1211</v>
      </c>
      <c r="D568" t="s">
        <v>22</v>
      </c>
      <c r="E568" s="6" t="s">
        <v>33</v>
      </c>
      <c r="F568" s="1">
        <v>0.41</v>
      </c>
      <c r="G568" s="8">
        <f>F568*[566]Main!$C$4</f>
        <v>13.699923679999999</v>
      </c>
      <c r="H568" s="10">
        <f>G568-[566]Main!$C$7+[566]Main!$C$8</f>
        <v>-31.96385832</v>
      </c>
      <c r="J568" s="1">
        <f>IF(ISNUMBER([566]Main!$C$11),[566]Main!$C$11,"")</f>
        <v>1.3665879502184204</v>
      </c>
      <c r="K568" s="11">
        <f t="shared" si="8"/>
        <v>2.3331413419961473</v>
      </c>
      <c r="L568" s="12" t="str">
        <f>[566]Main!$C$15&amp;" ("&amp;[566]Main!$C$14&amp;")"</f>
        <v>Net cash (pre-revenue)</v>
      </c>
      <c r="M568" s="13">
        <v>46338</v>
      </c>
      <c r="N568" s="17" t="s">
        <v>190</v>
      </c>
    </row>
    <row r="569" spans="2:14" x14ac:dyDescent="0.2">
      <c r="B569" s="3" t="s">
        <v>1212</v>
      </c>
      <c r="C569" t="s">
        <v>1213</v>
      </c>
      <c r="D569" t="s">
        <v>22</v>
      </c>
      <c r="E569" s="6" t="s">
        <v>33</v>
      </c>
      <c r="F569" s="1">
        <v>1.04</v>
      </c>
      <c r="G569" s="8">
        <f>F569*[567]Main!$C$4</f>
        <v>15.744333280000001</v>
      </c>
      <c r="H569" s="10">
        <f>G569-[567]Main!$C$7+[567]Main!$C$8</f>
        <v>11.627333280000002</v>
      </c>
      <c r="J569" s="1">
        <f>IF(ISNUMBER([567]Main!$C$11),[567]Main!$C$11,"")</f>
        <v>0.27195054397374901</v>
      </c>
      <c r="K569" s="11">
        <f t="shared" si="8"/>
        <v>-0.7385090923329336</v>
      </c>
      <c r="L569" s="12" t="str">
        <f>[567]Main!$C$15&amp;" ("&amp;[567]Main!$C$14&amp;")"</f>
        <v>Net cash (pre-revenue)</v>
      </c>
      <c r="M569" s="13">
        <v>46337</v>
      </c>
      <c r="N569" s="17" t="s">
        <v>104</v>
      </c>
    </row>
    <row r="570" spans="2:14" x14ac:dyDescent="0.2">
      <c r="B570" s="3" t="s">
        <v>1214</v>
      </c>
      <c r="C570" t="s">
        <v>1215</v>
      </c>
      <c r="D570" t="s">
        <v>15</v>
      </c>
      <c r="E570" s="6" t="s">
        <v>33</v>
      </c>
      <c r="F570" s="1">
        <v>1.62</v>
      </c>
      <c r="G570" s="8">
        <f>F570*[568]Main!$C$4</f>
        <v>13.355689860000002</v>
      </c>
      <c r="H570" s="10">
        <f>G570-[568]Main!$C$7+[568]Main!$C$8</f>
        <v>-9.9109191399999972</v>
      </c>
      <c r="J570" s="1">
        <f>IF(ISNUMBER([568]Main!$C$11),[568]Main!$C$11,"")</f>
        <v>2.8221609647350703</v>
      </c>
      <c r="K570" s="11">
        <f t="shared" si="8"/>
        <v>0.74207466958954948</v>
      </c>
      <c r="L570" s="12" t="str">
        <f>[568]Main!$C$15&amp;" ("&amp;[568]Main!$C$14&amp;")"</f>
        <v>Net cash (pre-revenue)</v>
      </c>
      <c r="M570" s="13">
        <v>46331</v>
      </c>
      <c r="N570" s="17" t="s">
        <v>63</v>
      </c>
    </row>
    <row r="571" spans="2:14" x14ac:dyDescent="0.2">
      <c r="B571" s="3" t="s">
        <v>1216</v>
      </c>
      <c r="C571" t="s">
        <v>1217</v>
      </c>
      <c r="D571" t="s">
        <v>22</v>
      </c>
      <c r="E571" s="6" t="s">
        <v>33</v>
      </c>
      <c r="F571" s="1">
        <v>2.61</v>
      </c>
      <c r="G571" s="8">
        <f>F571*[569]Main!$C$4</f>
        <v>12.52148805</v>
      </c>
      <c r="H571" s="10">
        <f>G571-[569]Main!$C$7+[569]Main!$C$8</f>
        <v>10.67548805</v>
      </c>
      <c r="J571" s="1">
        <f>IF(ISNUMBER([569]Main!$C$11),[569]Main!$C$11,"")</f>
        <v>0.38478334050720114</v>
      </c>
      <c r="K571" s="11">
        <f t="shared" si="8"/>
        <v>-0.85257343275586162</v>
      </c>
      <c r="L571" s="12" t="str">
        <f>[569]Main!$C$15&amp;" ("&amp;[569]Main!$C$14&amp;")"</f>
        <v>Net cash (pre-revenue)</v>
      </c>
      <c r="M571" s="13"/>
      <c r="N571" s="17"/>
    </row>
    <row r="572" spans="2:14" x14ac:dyDescent="0.2">
      <c r="B572" s="3" t="s">
        <v>1218</v>
      </c>
      <c r="C572" t="s">
        <v>1219</v>
      </c>
      <c r="D572" t="s">
        <v>15</v>
      </c>
      <c r="E572" s="6" t="s">
        <v>33</v>
      </c>
      <c r="F572" s="1">
        <v>0.99199999999999999</v>
      </c>
      <c r="G572" s="8">
        <f>F572*[570]Main!$C$4</f>
        <v>13.232231456000001</v>
      </c>
      <c r="H572" s="10">
        <f>G572-[570]Main!$C$7+[570]Main!$C$8</f>
        <v>-2.5327685439999996</v>
      </c>
      <c r="J572" s="1">
        <f>IF(ISNUMBER([570]Main!$C$11),[570]Main!$C$11,"")</f>
        <v>1.1818777544817456</v>
      </c>
      <c r="K572" s="11">
        <f t="shared" si="8"/>
        <v>0.19140902669530813</v>
      </c>
      <c r="L572" s="12" t="str">
        <f>[570]Main!$C$15&amp;" ("&amp;[570]Main!$C$14&amp;")"</f>
        <v>Net cash (pre-revenue)</v>
      </c>
      <c r="M572" s="13">
        <v>46338</v>
      </c>
      <c r="N572" s="17" t="s">
        <v>190</v>
      </c>
    </row>
    <row r="573" spans="2:14" x14ac:dyDescent="0.2">
      <c r="B573" s="3" t="s">
        <v>1220</v>
      </c>
      <c r="C573" t="s">
        <v>1221</v>
      </c>
      <c r="D573" t="s">
        <v>15</v>
      </c>
      <c r="E573" s="6" t="s">
        <v>33</v>
      </c>
      <c r="F573" s="1">
        <v>0.53110000000000002</v>
      </c>
      <c r="G573" s="8">
        <f>F573*[571]Main!$C$4</f>
        <v>13.2231052691</v>
      </c>
      <c r="H573" s="10">
        <f>G573-[571]Main!$C$7+[571]Main!$C$8</f>
        <v>5.3311942690999992</v>
      </c>
      <c r="J573" s="1">
        <f>IF(ISNUMBER([571]Main!$C$11),[571]Main!$C$11,"")</f>
        <v>0.31697501054419708</v>
      </c>
      <c r="K573" s="11">
        <f t="shared" si="8"/>
        <v>-0.40317264066240432</v>
      </c>
      <c r="L573" s="12" t="str">
        <f>[571]Main!$C$15&amp;" ("&amp;[571]Main!$C$14&amp;")"</f>
        <v>Net cash (pre-revenue)</v>
      </c>
      <c r="M573" s="13">
        <v>46337</v>
      </c>
      <c r="N573" s="17" t="s">
        <v>104</v>
      </c>
    </row>
    <row r="574" spans="2:14" x14ac:dyDescent="0.2">
      <c r="B574" s="3" t="s">
        <v>1222</v>
      </c>
      <c r="C574" t="s">
        <v>1223</v>
      </c>
      <c r="D574" t="s">
        <v>15</v>
      </c>
      <c r="E574" s="6" t="s">
        <v>33</v>
      </c>
      <c r="F574" s="1">
        <v>1.84</v>
      </c>
      <c r="G574" s="8">
        <f>F574*[572]Main!$C$4</f>
        <v>12.914091519999999</v>
      </c>
      <c r="H574" s="10">
        <f>G574-[572]Main!$C$7+[572]Main!$C$8</f>
        <v>5.0265815199999997</v>
      </c>
      <c r="J574" s="1">
        <f>IF(ISNUMBER([572]Main!$C$11),[572]Main!$C$11,"")</f>
        <v>1.1238125715249694</v>
      </c>
      <c r="K574" s="11">
        <f t="shared" si="8"/>
        <v>-0.38923229808425575</v>
      </c>
      <c r="L574" s="12" t="str">
        <f>[572]Main!$C$15&amp;" ("&amp;[572]Main!$C$14&amp;")"</f>
        <v>Net cash (pre-revenue)</v>
      </c>
      <c r="M574" s="13">
        <v>46339</v>
      </c>
      <c r="N574" s="17" t="s">
        <v>156</v>
      </c>
    </row>
    <row r="575" spans="2:14" x14ac:dyDescent="0.2">
      <c r="B575" s="3" t="s">
        <v>1224</v>
      </c>
      <c r="C575" t="s">
        <v>1225</v>
      </c>
      <c r="D575" t="s">
        <v>22</v>
      </c>
      <c r="E575" s="6" t="s">
        <v>33</v>
      </c>
      <c r="F575" s="1">
        <v>1.68</v>
      </c>
      <c r="G575" s="8">
        <f>F575*[573]Main!$C$4</f>
        <v>12.75057</v>
      </c>
      <c r="H575" s="10">
        <f>G575-[573]Main!$C$7+[573]Main!$C$8</f>
        <v>4.16357</v>
      </c>
      <c r="J575" s="1">
        <f>IF(ISNUMBER([573]Main!$C$11),[573]Main!$C$11,"")</f>
        <v>1.1314129485975921</v>
      </c>
      <c r="K575" s="11">
        <f t="shared" si="8"/>
        <v>-0.32653991154905226</v>
      </c>
      <c r="L575" s="12" t="str">
        <f>[573]Main!$C$15&amp;" ("&amp;[573]Main!$C$14&amp;")"</f>
        <v>Net cash (pre-revenue)</v>
      </c>
      <c r="M575" s="13">
        <v>46324</v>
      </c>
      <c r="N575" s="17" t="s">
        <v>214</v>
      </c>
    </row>
    <row r="576" spans="2:14" x14ac:dyDescent="0.2">
      <c r="B576" s="3" t="s">
        <v>1226</v>
      </c>
      <c r="C576" t="s">
        <v>1227</v>
      </c>
      <c r="D576" t="s">
        <v>15</v>
      </c>
      <c r="E576" s="6" t="s">
        <v>33</v>
      </c>
      <c r="F576" s="1">
        <v>0.41749999999999998</v>
      </c>
      <c r="G576" s="8">
        <f>F576*[574]Main!$C$4</f>
        <v>11.461447975</v>
      </c>
      <c r="H576" s="10">
        <f>G576-[574]Main!$C$7+[574]Main!$C$8</f>
        <v>-5.5460750249999986</v>
      </c>
      <c r="J576" s="1">
        <f>IF(ISNUMBER([574]Main!$C$11),[574]Main!$C$11,"")</f>
        <v>0.61952389157007881</v>
      </c>
      <c r="K576" s="11">
        <f t="shared" si="8"/>
        <v>0.48388956064689537</v>
      </c>
      <c r="L576" s="12" t="str">
        <f>[574]Main!$C$15&amp;" ("&amp;[574]Main!$C$14&amp;")"</f>
        <v>Net cash (pre-revenue)</v>
      </c>
      <c r="M576" s="13"/>
      <c r="N576" s="17"/>
    </row>
    <row r="577" spans="2:14" x14ac:dyDescent="0.2">
      <c r="B577" s="3" t="s">
        <v>1228</v>
      </c>
      <c r="C577" t="s">
        <v>1229</v>
      </c>
      <c r="D577" t="s">
        <v>15</v>
      </c>
      <c r="E577" s="6" t="s">
        <v>33</v>
      </c>
      <c r="F577" s="1">
        <v>2.62</v>
      </c>
      <c r="G577" s="8">
        <f>F577*[575]Main!$C$4</f>
        <v>12.039078160000001</v>
      </c>
      <c r="H577" s="10">
        <f>G577-[575]Main!$C$7+[575]Main!$C$8</f>
        <v>7.8410781600000004</v>
      </c>
      <c r="J577" s="1">
        <f>IF(ISNUMBER([575]Main!$C$11),[575]Main!$C$11,"")</f>
        <v>0.91358822111011195</v>
      </c>
      <c r="K577" s="11">
        <f t="shared" si="8"/>
        <v>-0.65130220568316344</v>
      </c>
      <c r="L577" s="12" t="str">
        <f>[575]Main!$C$15&amp;" ("&amp;[575]Main!$C$14&amp;")"</f>
        <v>Net cash (pre-revenue)</v>
      </c>
      <c r="M577" s="13">
        <v>46337</v>
      </c>
      <c r="N577" s="17" t="s">
        <v>104</v>
      </c>
    </row>
    <row r="578" spans="2:14" x14ac:dyDescent="0.2">
      <c r="B578" s="3" t="s">
        <v>1230</v>
      </c>
      <c r="C578" t="s">
        <v>1231</v>
      </c>
      <c r="D578" t="s">
        <v>15</v>
      </c>
      <c r="E578" s="6" t="s">
        <v>33</v>
      </c>
      <c r="F578" s="1">
        <v>0.80400000000000005</v>
      </c>
      <c r="G578" s="8">
        <f>F578*[576]Main!$C$4</f>
        <v>11.941296636000001</v>
      </c>
      <c r="H578" s="10">
        <f>G578-[576]Main!$C$7+[576]Main!$C$8</f>
        <v>11.902296636000001</v>
      </c>
      <c r="J578" s="1">
        <f>IF(ISNUMBER([576]Main!$C$11),[576]Main!$C$11,"")</f>
        <v>2.6258454970015002E-3</v>
      </c>
      <c r="K578" s="11">
        <f t="shared" si="8"/>
        <v>-0.99673402301367975</v>
      </c>
      <c r="L578" s="12" t="str">
        <f>[576]Main!$C$15&amp;" ("&amp;[576]Main!$C$14&amp;")"</f>
        <v>Net cash (small revenue)</v>
      </c>
      <c r="M578" s="13">
        <v>46337</v>
      </c>
      <c r="N578" s="17" t="s">
        <v>104</v>
      </c>
    </row>
    <row r="579" spans="2:14" x14ac:dyDescent="0.2">
      <c r="B579" s="3" t="s">
        <v>1232</v>
      </c>
      <c r="C579" t="s">
        <v>1233</v>
      </c>
      <c r="D579" t="s">
        <v>22</v>
      </c>
      <c r="E579" s="6" t="s">
        <v>16</v>
      </c>
      <c r="F579" s="1">
        <v>0.23150000000000001</v>
      </c>
      <c r="G579" s="8">
        <f>F579*[577]Main!$C$4</f>
        <v>11.547865885</v>
      </c>
      <c r="H579" s="10">
        <f>G579-[577]Main!$C$7+[577]Main!$C$8</f>
        <v>9.8718658849999983</v>
      </c>
      <c r="J579" s="1">
        <f>IF(ISNUMBER([577]Main!$C$11),[577]Main!$C$11,"")</f>
        <v>3.3598762218392357E-2</v>
      </c>
      <c r="K579" s="11">
        <f t="shared" ref="K579:K642" si="9">IFERROR(J579/F579-1,"")</f>
        <v>-0.85486495801990348</v>
      </c>
      <c r="L579" s="12" t="str">
        <f>[577]Main!$C$15&amp;" ("&amp;[577]Main!$C$14&amp;")"</f>
        <v>Net cash (pre-revenue)</v>
      </c>
      <c r="M579" s="13">
        <v>46339</v>
      </c>
      <c r="N579" s="17" t="s">
        <v>156</v>
      </c>
    </row>
    <row r="580" spans="2:14" x14ac:dyDescent="0.2">
      <c r="B580" s="3" t="s">
        <v>1234</v>
      </c>
      <c r="C580" t="s">
        <v>1235</v>
      </c>
      <c r="D580" t="s">
        <v>15</v>
      </c>
      <c r="E580" s="6" t="s">
        <v>33</v>
      </c>
      <c r="F580" s="1">
        <v>8.7200000000000006</v>
      </c>
      <c r="G580" s="8">
        <f>F580*[578]Main!$C$4</f>
        <v>12.230297040000002</v>
      </c>
      <c r="H580" s="10">
        <f>G580-[578]Main!$C$7+[578]Main!$C$8</f>
        <v>6.3161040000002444E-2</v>
      </c>
      <c r="J580" s="1">
        <f>IF(ISNUMBER([578]Main!$C$11),[578]Main!$C$11,"")</f>
        <v>8.6749672205835484</v>
      </c>
      <c r="K580" s="11">
        <f t="shared" si="9"/>
        <v>-5.1643095661069172E-3</v>
      </c>
      <c r="L580" s="12" t="str">
        <f>[578]Main!$C$15&amp;" ("&amp;[578]Main!$C$14&amp;")"</f>
        <v>Net cash (pre-revenue)</v>
      </c>
      <c r="M580" s="13">
        <v>46339</v>
      </c>
      <c r="N580" s="17" t="s">
        <v>156</v>
      </c>
    </row>
    <row r="581" spans="2:14" x14ac:dyDescent="0.2">
      <c r="B581" s="3" t="s">
        <v>1236</v>
      </c>
      <c r="C581" t="s">
        <v>1237</v>
      </c>
      <c r="D581" t="s">
        <v>22</v>
      </c>
      <c r="E581" s="6" t="s">
        <v>33</v>
      </c>
      <c r="F581" s="1">
        <v>7.88</v>
      </c>
      <c r="G581" s="8">
        <f>F581*[579]Main!$C$4</f>
        <v>12.756439247839999</v>
      </c>
      <c r="H581" s="10">
        <f>G581-[579]Main!$C$7+[579]Main!$C$8</f>
        <v>-35.51148002843</v>
      </c>
      <c r="J581" s="1">
        <f>IF(ISNUMBER([579]Main!$C$11),[579]Main!$C$11,"")</f>
        <v>29.816408521791146</v>
      </c>
      <c r="K581" s="11">
        <f t="shared" si="9"/>
        <v>2.7838081880445618</v>
      </c>
      <c r="L581" s="12" t="str">
        <f>[579]Main!$C$15&amp;" ("&amp;[579]Main!$C$14&amp;")"</f>
        <v>Net cash (pre-revenue)</v>
      </c>
      <c r="M581" s="13"/>
      <c r="N581" s="17"/>
    </row>
    <row r="582" spans="2:14" x14ac:dyDescent="0.2">
      <c r="B582" s="3" t="s">
        <v>1238</v>
      </c>
      <c r="C582" t="s">
        <v>1239</v>
      </c>
      <c r="D582" t="s">
        <v>22</v>
      </c>
      <c r="E582" s="6" t="s">
        <v>33</v>
      </c>
      <c r="F582" s="1">
        <v>0.49859999999999999</v>
      </c>
      <c r="G582" s="8">
        <f>F582*[580]Main!$C$4</f>
        <v>9.7011574883999998</v>
      </c>
      <c r="H582" s="10">
        <f>G582-[580]Main!$C$7+[580]Main!$C$8</f>
        <v>9.2212954883999991</v>
      </c>
      <c r="J582" s="1">
        <f>IF(ISNUMBER([580]Main!$C$11),[580]Main!$C$11,"")</f>
        <v>2.4662953208015672E-2</v>
      </c>
      <c r="K582" s="11">
        <f t="shared" si="9"/>
        <v>-0.95053559324505477</v>
      </c>
      <c r="L582" s="12" t="str">
        <f>[580]Main!$C$15&amp;" ("&amp;[580]Main!$C$14&amp;")"</f>
        <v>Net cash (pre-revenue)</v>
      </c>
      <c r="M582" s="13">
        <v>46339</v>
      </c>
      <c r="N582" s="17" t="s">
        <v>156</v>
      </c>
    </row>
    <row r="583" spans="2:14" x14ac:dyDescent="0.2">
      <c r="B583" s="3" t="s">
        <v>1240</v>
      </c>
      <c r="C583" t="s">
        <v>1241</v>
      </c>
      <c r="D583" t="s">
        <v>22</v>
      </c>
      <c r="E583" s="6" t="s">
        <v>33</v>
      </c>
      <c r="F583" s="1">
        <v>5.52</v>
      </c>
      <c r="G583" s="8">
        <f>F583*[581]Main!$C$4</f>
        <v>9.8307832800000003</v>
      </c>
      <c r="H583" s="10">
        <f>G583-[581]Main!$C$7+[581]Main!$C$8</f>
        <v>2.3387692800000002</v>
      </c>
      <c r="J583" s="1">
        <f>IF(ISNUMBER([581]Main!$C$11),[581]Main!$C$11,"")</f>
        <v>4.2067774359481147</v>
      </c>
      <c r="K583" s="11">
        <f t="shared" si="9"/>
        <v>-0.23790263841519654</v>
      </c>
      <c r="L583" s="12" t="str">
        <f>[581]Main!$C$15&amp;" ("&amp;[581]Main!$C$14&amp;")"</f>
        <v>Net cash (small revenue)</v>
      </c>
      <c r="M583" s="13">
        <v>46339</v>
      </c>
      <c r="N583" s="17" t="s">
        <v>156</v>
      </c>
    </row>
    <row r="584" spans="2:14" x14ac:dyDescent="0.2">
      <c r="B584" s="3" t="s">
        <v>1242</v>
      </c>
      <c r="C584" t="s">
        <v>1243</v>
      </c>
      <c r="D584" t="s">
        <v>22</v>
      </c>
      <c r="E584" s="6" t="s">
        <v>33</v>
      </c>
      <c r="F584" s="1">
        <v>3.6</v>
      </c>
      <c r="G584" s="8">
        <f>F584*[582]Main!$C$4</f>
        <v>11.584116</v>
      </c>
      <c r="H584" s="10">
        <f>G584-[582]Main!$C$7+[582]Main!$C$8</f>
        <v>-12.570884000000001</v>
      </c>
      <c r="J584" s="1">
        <f>IF(ISNUMBER([582]Main!$C$11),[582]Main!$C$11,"")</f>
        <v>7.5066582551486887</v>
      </c>
      <c r="K584" s="11">
        <f t="shared" si="9"/>
        <v>1.0851828486524133</v>
      </c>
      <c r="L584" s="12" t="str">
        <f>[582]Main!$C$15&amp;" ("&amp;[582]Main!$C$14&amp;")"</f>
        <v>Net cash (pre-revenue)</v>
      </c>
      <c r="M584" s="13">
        <v>46335</v>
      </c>
      <c r="N584" s="17" t="s">
        <v>87</v>
      </c>
    </row>
    <row r="585" spans="2:14" x14ac:dyDescent="0.2">
      <c r="B585" s="3" t="s">
        <v>1244</v>
      </c>
      <c r="C585" t="s">
        <v>1245</v>
      </c>
      <c r="D585" t="s">
        <v>15</v>
      </c>
      <c r="E585" s="6" t="s">
        <v>33</v>
      </c>
      <c r="F585" s="1">
        <v>0.68899999999999995</v>
      </c>
      <c r="G585" s="8">
        <f>F585*[583]Main!$C$4</f>
        <v>10.534466878</v>
      </c>
      <c r="H585" s="10">
        <f>G585-[583]Main!$C$7+[583]Main!$C$8</f>
        <v>-2.0831271220000005</v>
      </c>
      <c r="J585" s="1">
        <f>IF(ISNUMBER([583]Main!$C$11),[583]Main!$C$11,"")</f>
        <v>0.82524558353829969</v>
      </c>
      <c r="K585" s="11">
        <f t="shared" si="9"/>
        <v>0.19774395288577606</v>
      </c>
      <c r="L585" s="12" t="str">
        <f>[583]Main!$C$15&amp;" ("&amp;[583]Main!$C$14&amp;")"</f>
        <v>Net cash (pre-revenue)</v>
      </c>
      <c r="M585" s="13">
        <v>46338</v>
      </c>
      <c r="N585" s="17" t="s">
        <v>190</v>
      </c>
    </row>
    <row r="586" spans="2:14" x14ac:dyDescent="0.2">
      <c r="B586" s="3" t="s">
        <v>1246</v>
      </c>
      <c r="C586" t="s">
        <v>1247</v>
      </c>
      <c r="D586" t="s">
        <v>22</v>
      </c>
      <c r="E586" s="6" t="s">
        <v>33</v>
      </c>
      <c r="F586" s="1">
        <v>0.9</v>
      </c>
      <c r="G586" s="8">
        <f>F586*[584]Main!$C$4</f>
        <v>11.1102624</v>
      </c>
      <c r="H586" s="10">
        <f>G586-[584]Main!$C$7+[584]Main!$C$8</f>
        <v>29.690262400000002</v>
      </c>
      <c r="J586" s="1">
        <f>IF(ISNUMBER([584]Main!$C$11),[584]Main!$C$11,"")</f>
        <v>-1.5050949651738197</v>
      </c>
      <c r="K586" s="11">
        <f t="shared" si="9"/>
        <v>-2.6723277390820219</v>
      </c>
      <c r="L586" s="12" t="str">
        <f>[584]Main!$C$15&amp;" ("&amp;[584]Main!$C$14&amp;")"</f>
        <v>Net cash (pre-revenue)</v>
      </c>
      <c r="M586" s="13">
        <v>46337</v>
      </c>
      <c r="N586" s="17" t="s">
        <v>104</v>
      </c>
    </row>
    <row r="587" spans="2:14" x14ac:dyDescent="0.2">
      <c r="B587" s="3" t="s">
        <v>1248</v>
      </c>
      <c r="C587" t="s">
        <v>1249</v>
      </c>
      <c r="D587" t="s">
        <v>22</v>
      </c>
      <c r="E587" s="6" t="s">
        <v>33</v>
      </c>
      <c r="F587" s="1">
        <v>1.1399999999999999</v>
      </c>
      <c r="G587" s="8">
        <f>F587*[585]Main!$C$4</f>
        <v>11.238556619999999</v>
      </c>
      <c r="H587" s="10">
        <f>G587-[585]Main!$C$7+[585]Main!$C$8</f>
        <v>-6.7174433800000006</v>
      </c>
      <c r="J587" s="1">
        <f>IF(ISNUMBER([585]Main!$C$11),[585]Main!$C$11,"")</f>
        <v>1.8213940359184666</v>
      </c>
      <c r="K587" s="11">
        <f t="shared" si="9"/>
        <v>0.59771406659514636</v>
      </c>
      <c r="L587" s="12" t="str">
        <f>[585]Main!$C$15&amp;" ("&amp;[585]Main!$C$14&amp;")"</f>
        <v>Net cash (pre-revenue)</v>
      </c>
      <c r="M587" s="13">
        <v>46331</v>
      </c>
      <c r="N587" s="17" t="s">
        <v>63</v>
      </c>
    </row>
    <row r="588" spans="2:14" x14ac:dyDescent="0.2">
      <c r="B588" s="3" t="s">
        <v>1250</v>
      </c>
      <c r="C588" t="s">
        <v>1251</v>
      </c>
      <c r="D588" t="s">
        <v>22</v>
      </c>
      <c r="E588" s="6" t="s">
        <v>33</v>
      </c>
      <c r="F588" s="1">
        <v>3.28</v>
      </c>
      <c r="G588" s="8">
        <f>F588*[586]Main!$C$4</f>
        <v>10.708803119999999</v>
      </c>
      <c r="H588" s="10">
        <f>G588-[586]Main!$C$7+[586]Main!$C$8</f>
        <v>1.179803119999999</v>
      </c>
      <c r="J588" s="1">
        <f>IF(ISNUMBER([586]Main!$C$11),[586]Main!$C$11,"")</f>
        <v>2.9186380260953007</v>
      </c>
      <c r="K588" s="11">
        <f t="shared" si="9"/>
        <v>-0.11017133350753028</v>
      </c>
      <c r="L588" s="12" t="str">
        <f>[586]Main!$C$15&amp;" ("&amp;[586]Main!$C$14&amp;")"</f>
        <v>Net cash (pre-revenue)</v>
      </c>
      <c r="M588" s="13">
        <v>46331</v>
      </c>
      <c r="N588" s="17" t="s">
        <v>63</v>
      </c>
    </row>
    <row r="589" spans="2:14" x14ac:dyDescent="0.2">
      <c r="B589" s="3" t="s">
        <v>1252</v>
      </c>
      <c r="C589" t="s">
        <v>1253</v>
      </c>
      <c r="D589" t="s">
        <v>22</v>
      </c>
      <c r="E589" s="6" t="s">
        <v>33</v>
      </c>
      <c r="F589" s="1">
        <v>1.23</v>
      </c>
      <c r="G589" s="8">
        <f>F589*[587]Main!$C$4</f>
        <v>11.62609284</v>
      </c>
      <c r="H589" s="10">
        <f>G589-[587]Main!$C$7+[587]Main!$C$8</f>
        <v>-22.367889160000004</v>
      </c>
      <c r="J589" s="1">
        <f>IF(ISNUMBER([587]Main!$C$11),[587]Main!$C$11,"")</f>
        <v>3.596444517984771</v>
      </c>
      <c r="K589" s="11">
        <f t="shared" si="9"/>
        <v>1.9239386325079439</v>
      </c>
      <c r="L589" s="12" t="str">
        <f>[587]Main!$C$15&amp;" ("&amp;[587]Main!$C$14&amp;")"</f>
        <v>Net cash (pre-revenue)</v>
      </c>
      <c r="M589" s="13">
        <v>46338</v>
      </c>
      <c r="N589" s="17" t="s">
        <v>190</v>
      </c>
    </row>
    <row r="590" spans="2:14" x14ac:dyDescent="0.2">
      <c r="B590" s="3" t="s">
        <v>1254</v>
      </c>
      <c r="C590" t="s">
        <v>1255</v>
      </c>
      <c r="D590" t="s">
        <v>15</v>
      </c>
      <c r="E590" s="6" t="s">
        <v>33</v>
      </c>
      <c r="F590" s="1">
        <v>2.33</v>
      </c>
      <c r="G590" s="8">
        <f>F590*[588]Main!$C$4</f>
        <v>10.30882171</v>
      </c>
      <c r="H590" s="10">
        <f>G590-[588]Main!$C$7+[588]Main!$C$8</f>
        <v>-6.529705289999999</v>
      </c>
      <c r="J590" s="1">
        <f>IF(ISNUMBER([588]Main!$C$11),[588]Main!$C$11,"")</f>
        <v>3.8058440638217221</v>
      </c>
      <c r="K590" s="11">
        <f t="shared" si="9"/>
        <v>0.63340946945138277</v>
      </c>
      <c r="L590" s="12" t="str">
        <f>[588]Main!$C$15&amp;" ("&amp;[588]Main!$C$14&amp;")"</f>
        <v>Net cash (pre-revenue)</v>
      </c>
      <c r="M590" s="13">
        <v>46332</v>
      </c>
      <c r="N590" s="17" t="s">
        <v>361</v>
      </c>
    </row>
    <row r="591" spans="2:14" x14ac:dyDescent="0.2">
      <c r="B591" s="3" t="s">
        <v>1256</v>
      </c>
      <c r="C591" t="s">
        <v>1257</v>
      </c>
      <c r="D591" t="s">
        <v>22</v>
      </c>
      <c r="E591" s="6" t="s">
        <v>33</v>
      </c>
      <c r="F591" s="1">
        <v>0.19439999999999999</v>
      </c>
      <c r="G591" s="8">
        <f>F591*[589]Main!$C$4</f>
        <v>9.9852626879999988</v>
      </c>
      <c r="H591" s="10">
        <f>G591-[589]Main!$C$7+[589]Main!$C$8</f>
        <v>57.047262688000004</v>
      </c>
      <c r="J591" s="1">
        <f>IF(ISNUMBER([589]Main!$C$11),[589]Main!$C$11,"")</f>
        <v>2.2908834556993281</v>
      </c>
      <c r="K591" s="11">
        <f t="shared" si="9"/>
        <v>10.784379916148808</v>
      </c>
      <c r="L591" s="12" t="str">
        <f>[589]Main!$C$15&amp;" ("&amp;[589]Main!$C$14&amp;")"</f>
        <v>DCF (Base)</v>
      </c>
      <c r="M591" s="13">
        <v>46337</v>
      </c>
      <c r="N591" s="17" t="s">
        <v>104</v>
      </c>
    </row>
    <row r="592" spans="2:14" x14ac:dyDescent="0.2">
      <c r="B592" s="3" t="s">
        <v>1258</v>
      </c>
      <c r="C592" t="s">
        <v>1259</v>
      </c>
      <c r="D592" t="s">
        <v>15</v>
      </c>
      <c r="E592" s="6" t="s">
        <v>33</v>
      </c>
      <c r="F592" s="1">
        <v>2.4300000000000002</v>
      </c>
      <c r="G592" s="8">
        <f>F592*[590]Main!$C$4</f>
        <v>9.4471814700000003</v>
      </c>
      <c r="H592" s="10">
        <f>G592-[590]Main!$C$7+[590]Main!$C$8</f>
        <v>8.3832934699999999</v>
      </c>
      <c r="J592" s="1">
        <f>IF(ISNUMBER([590]Main!$C$11),[590]Main!$C$11,"")</f>
        <v>0.27365281890790233</v>
      </c>
      <c r="K592" s="11">
        <f t="shared" si="9"/>
        <v>-0.88738567123131595</v>
      </c>
      <c r="L592" s="12" t="str">
        <f>[590]Main!$C$15&amp;" ("&amp;[590]Main!$C$14&amp;")"</f>
        <v>Net cash (pre-revenue)</v>
      </c>
      <c r="M592" s="13">
        <v>46332</v>
      </c>
      <c r="N592" s="17" t="s">
        <v>361</v>
      </c>
    </row>
    <row r="593" spans="2:14" x14ac:dyDescent="0.2">
      <c r="B593" s="3" t="s">
        <v>1260</v>
      </c>
      <c r="C593" t="s">
        <v>1261</v>
      </c>
      <c r="D593" t="s">
        <v>22</v>
      </c>
      <c r="E593" s="6" t="s">
        <v>33</v>
      </c>
      <c r="F593" s="1">
        <v>0.87150000000000005</v>
      </c>
      <c r="G593" s="8">
        <f>F593*[591]Main!$C$4</f>
        <v>10.308481102500002</v>
      </c>
      <c r="H593" s="10">
        <f>G593-[591]Main!$C$7+[591]Main!$C$8</f>
        <v>8.9912515840509712</v>
      </c>
      <c r="J593" s="1">
        <f>IF(ISNUMBER([591]Main!$C$11),[591]Main!$C$11,"")</f>
        <v>0.11136126786417908</v>
      </c>
      <c r="K593" s="11">
        <f t="shared" si="9"/>
        <v>-0.87221885500381058</v>
      </c>
      <c r="L593" s="12" t="str">
        <f>[591]Main!$C$15&amp;" ("&amp;[591]Main!$C$14&amp;")"</f>
        <v>Net cash (pre-revenue)</v>
      </c>
      <c r="M593" s="13"/>
      <c r="N593" s="17"/>
    </row>
    <row r="594" spans="2:14" x14ac:dyDescent="0.2">
      <c r="B594" s="3" t="s">
        <v>1262</v>
      </c>
      <c r="C594" t="s">
        <v>1263</v>
      </c>
      <c r="D594" t="s">
        <v>22</v>
      </c>
      <c r="E594" s="6" t="s">
        <v>33</v>
      </c>
      <c r="F594" s="1">
        <v>0.8921</v>
      </c>
      <c r="G594" s="8">
        <f>F594*[592]Main!$C$4</f>
        <v>10.363748725000001</v>
      </c>
      <c r="H594" s="10">
        <f>G594-[592]Main!$C$7+[592]Main!$C$8</f>
        <v>-2.6322512749999998</v>
      </c>
      <c r="J594" s="1">
        <f>IF(ISNUMBER([592]Main!$C$11),[592]Main!$C$11,"")</f>
        <v>1.1186812713852246</v>
      </c>
      <c r="K594" s="11">
        <f t="shared" si="9"/>
        <v>0.25398640442240161</v>
      </c>
      <c r="L594" s="12" t="str">
        <f>[592]Main!$C$15&amp;" ("&amp;[592]Main!$C$14&amp;")"</f>
        <v>Net cash (pre-revenue)</v>
      </c>
      <c r="M594" s="13">
        <v>46338</v>
      </c>
      <c r="N594" s="17" t="s">
        <v>190</v>
      </c>
    </row>
    <row r="595" spans="2:14" x14ac:dyDescent="0.2">
      <c r="B595" s="3" t="s">
        <v>1264</v>
      </c>
      <c r="C595" t="s">
        <v>1265</v>
      </c>
      <c r="D595" t="s">
        <v>22</v>
      </c>
      <c r="E595" s="6" t="s">
        <v>33</v>
      </c>
      <c r="F595" s="1">
        <v>0.57620000000000005</v>
      </c>
      <c r="G595" s="8">
        <f>F595*[593]Main!$C$4</f>
        <v>9.2073366182000012</v>
      </c>
      <c r="H595" s="10">
        <f>G595-[593]Main!$C$7+[593]Main!$C$8</f>
        <v>8.4283366182000012</v>
      </c>
      <c r="J595" s="1">
        <f>IF(ISNUMBER([593]Main!$C$11),[593]Main!$C$11,"")</f>
        <v>4.8750232408441084E-2</v>
      </c>
      <c r="K595" s="11">
        <f t="shared" si="9"/>
        <v>-0.91539355708358017</v>
      </c>
      <c r="L595" s="12" t="str">
        <f>[593]Main!$C$15&amp;" ("&amp;[593]Main!$C$14&amp;")"</f>
        <v>Net cash (pre-revenue)</v>
      </c>
      <c r="M595" s="13">
        <v>46330</v>
      </c>
      <c r="N595" s="17" t="s">
        <v>40</v>
      </c>
    </row>
    <row r="596" spans="2:14" x14ac:dyDescent="0.2">
      <c r="B596" s="3" t="s">
        <v>1266</v>
      </c>
      <c r="C596" t="s">
        <v>1267</v>
      </c>
      <c r="D596" t="s">
        <v>22</v>
      </c>
      <c r="E596" s="6" t="s">
        <v>33</v>
      </c>
      <c r="F596" s="1">
        <v>4.24</v>
      </c>
      <c r="G596" s="8">
        <f>F596*[594]Main!$C$4</f>
        <v>9.7234944799999994</v>
      </c>
      <c r="H596" s="10">
        <f>G596-[594]Main!$C$7+[594]Main!$C$8</f>
        <v>2.5735094799999993</v>
      </c>
      <c r="J596" s="1">
        <f>IF(ISNUMBER([594]Main!$C$11),[594]Main!$C$11,"")</f>
        <v>3.1178026029999866</v>
      </c>
      <c r="K596" s="11">
        <f t="shared" si="9"/>
        <v>-0.26466919740566364</v>
      </c>
      <c r="L596" s="12" t="str">
        <f>[594]Main!$C$15&amp;" ("&amp;[594]Main!$C$14&amp;")"</f>
        <v>Net cash (pre-revenue)</v>
      </c>
      <c r="M596" s="13"/>
      <c r="N596" s="17"/>
    </row>
    <row r="597" spans="2:14" x14ac:dyDescent="0.2">
      <c r="B597" s="3" t="s">
        <v>1268</v>
      </c>
      <c r="C597" t="s">
        <v>1269</v>
      </c>
      <c r="D597" t="s">
        <v>22</v>
      </c>
      <c r="E597" s="6" t="s">
        <v>16</v>
      </c>
      <c r="F597" s="1">
        <v>0.20469999999999999</v>
      </c>
      <c r="G597" s="8">
        <f>F597*[595]Main!$C$4</f>
        <v>9.3942291396000002</v>
      </c>
      <c r="H597" s="10">
        <f>G597-[595]Main!$C$7+[595]Main!$C$8</f>
        <v>-0.28877086039999944</v>
      </c>
      <c r="J597" s="1">
        <f>IF(ISNUMBER([595]Main!$C$11),[595]Main!$C$11,"")</f>
        <v>0.21099230927258358</v>
      </c>
      <c r="K597" s="11">
        <f t="shared" si="9"/>
        <v>3.0739175733188073E-2</v>
      </c>
      <c r="L597" s="12" t="str">
        <f>[595]Main!$C$15&amp;" ("&amp;[595]Main!$C$14&amp;")"</f>
        <v>Net cash (pre-revenue)</v>
      </c>
      <c r="M597" s="13">
        <v>46337</v>
      </c>
      <c r="N597" s="17" t="s">
        <v>104</v>
      </c>
    </row>
    <row r="598" spans="2:14" x14ac:dyDescent="0.2">
      <c r="B598" s="3" t="s">
        <v>1270</v>
      </c>
      <c r="C598" t="s">
        <v>1271</v>
      </c>
      <c r="D598" t="s">
        <v>22</v>
      </c>
      <c r="E598" s="6" t="s">
        <v>33</v>
      </c>
      <c r="F598" s="1">
        <v>1.04</v>
      </c>
      <c r="G598" s="8">
        <f>F598*[596]Main!$C$4</f>
        <v>9.3713744800000001</v>
      </c>
      <c r="H598" s="10">
        <f>G598-[596]Main!$C$7+[596]Main!$C$8</f>
        <v>-1.0716255199999996</v>
      </c>
      <c r="J598" s="1">
        <f>IF(ISNUMBER([596]Main!$C$11),[596]Main!$C$11,"")</f>
        <v>1.1589249819413896</v>
      </c>
      <c r="K598" s="11">
        <f t="shared" si="9"/>
        <v>0.11435094417441305</v>
      </c>
      <c r="L598" s="12" t="str">
        <f>[596]Main!$C$15&amp;" ("&amp;[596]Main!$C$14&amp;")"</f>
        <v>Net cash (pre-revenue)</v>
      </c>
      <c r="M598" s="13">
        <v>46331</v>
      </c>
      <c r="N598" s="17" t="s">
        <v>63</v>
      </c>
    </row>
    <row r="599" spans="2:14" x14ac:dyDescent="0.2">
      <c r="B599" s="3" t="s">
        <v>1272</v>
      </c>
      <c r="C599" t="s">
        <v>1273</v>
      </c>
      <c r="D599" t="s">
        <v>22</v>
      </c>
      <c r="E599" s="6" t="s">
        <v>33</v>
      </c>
      <c r="F599" s="1">
        <v>1.18</v>
      </c>
      <c r="G599" s="8">
        <f>F599*[597]Main!$C$4</f>
        <v>8.4868744699999983</v>
      </c>
      <c r="H599" s="10">
        <f>G599-[597]Main!$C$7+[597]Main!$C$8</f>
        <v>-1.9131255300000021</v>
      </c>
      <c r="J599" s="1">
        <f>IF(ISNUMBER([597]Main!$C$11),[597]Main!$C$11,"")</f>
        <v>1.4459975864353749</v>
      </c>
      <c r="K599" s="11">
        <f t="shared" si="9"/>
        <v>0.22542168341980928</v>
      </c>
      <c r="L599" s="12" t="str">
        <f>[597]Main!$C$15&amp;" ("&amp;[597]Main!$C$14&amp;")"</f>
        <v>Net cash (pre-revenue)</v>
      </c>
      <c r="M599" s="13">
        <v>46317</v>
      </c>
      <c r="N599" s="17" t="s">
        <v>1274</v>
      </c>
    </row>
    <row r="600" spans="2:14" x14ac:dyDescent="0.2">
      <c r="B600" s="3" t="s">
        <v>1275</v>
      </c>
      <c r="C600" t="s">
        <v>1276</v>
      </c>
      <c r="D600" t="s">
        <v>15</v>
      </c>
      <c r="E600" s="6" t="s">
        <v>33</v>
      </c>
      <c r="F600" s="1">
        <v>3.82</v>
      </c>
      <c r="G600" s="8">
        <f>F600*[598]Main!$C$4</f>
        <v>10.0308998</v>
      </c>
      <c r="H600" s="10">
        <f>G600-[598]Main!$C$7+[598]Main!$C$8</f>
        <v>-18.681100199999999</v>
      </c>
      <c r="J600" s="1">
        <f>IF(ISNUMBER([598]Main!$C$11),[598]Main!$C$11,"")</f>
        <v>10.934197548259828</v>
      </c>
      <c r="K600" s="11">
        <f t="shared" si="9"/>
        <v>1.8623553791256096</v>
      </c>
      <c r="L600" s="12" t="str">
        <f>[598]Main!$C$15&amp;" ("&amp;[598]Main!$C$14&amp;")"</f>
        <v>Net cash (pre-revenue)</v>
      </c>
      <c r="M600" s="13">
        <v>46338</v>
      </c>
      <c r="N600" s="17" t="s">
        <v>190</v>
      </c>
    </row>
    <row r="601" spans="2:14" x14ac:dyDescent="0.2">
      <c r="B601" s="3" t="s">
        <v>1277</v>
      </c>
      <c r="C601" t="s">
        <v>1278</v>
      </c>
      <c r="D601" t="s">
        <v>22</v>
      </c>
      <c r="E601" s="6" t="s">
        <v>33</v>
      </c>
      <c r="F601" s="1">
        <v>1.29</v>
      </c>
      <c r="G601" s="8">
        <f>F601*[599]Main!$C$4</f>
        <v>8.4986502900000005</v>
      </c>
      <c r="H601" s="10">
        <f>G601-[599]Main!$C$7+[599]Main!$C$8</f>
        <v>-4.1353497099999998</v>
      </c>
      <c r="J601" s="1">
        <f>IF(ISNUMBER([599]Main!$C$11),[599]Main!$C$11,"")</f>
        <v>1.9176998045415516</v>
      </c>
      <c r="K601" s="11">
        <f t="shared" si="9"/>
        <v>0.48658899576864467</v>
      </c>
      <c r="L601" s="12" t="str">
        <f>[599]Main!$C$15&amp;" ("&amp;[599]Main!$C$14&amp;")"</f>
        <v>Net cash (pre-revenue)</v>
      </c>
      <c r="M601" s="13">
        <v>46331</v>
      </c>
      <c r="N601" s="17" t="s">
        <v>63</v>
      </c>
    </row>
    <row r="602" spans="2:14" x14ac:dyDescent="0.2">
      <c r="B602" s="3" t="s">
        <v>1279</v>
      </c>
      <c r="C602" t="s">
        <v>1280</v>
      </c>
      <c r="D602" t="s">
        <v>22</v>
      </c>
      <c r="E602" s="6" t="s">
        <v>33</v>
      </c>
      <c r="F602" s="1">
        <v>0.1978</v>
      </c>
      <c r="G602" s="8">
        <f>F602*[600]Main!$C$4</f>
        <v>8.7777529958000002</v>
      </c>
      <c r="H602" s="10">
        <f>G602-[600]Main!$C$7+[600]Main!$C$8</f>
        <v>-22.9522470042</v>
      </c>
      <c r="J602" s="1">
        <f>IF(ISNUMBER([600]Main!$C$11),[600]Main!$C$11,"")</f>
        <v>0.71501146170358731</v>
      </c>
      <c r="K602" s="11">
        <f t="shared" si="9"/>
        <v>2.6148203321718264</v>
      </c>
      <c r="L602" s="12" t="str">
        <f>[600]Main!$C$15&amp;" ("&amp;[600]Main!$C$14&amp;")"</f>
        <v>Net cash (pre-revenue)</v>
      </c>
      <c r="M602" s="13">
        <v>46338</v>
      </c>
      <c r="N602" s="17" t="s">
        <v>190</v>
      </c>
    </row>
    <row r="603" spans="2:14" x14ac:dyDescent="0.2">
      <c r="B603" s="3" t="s">
        <v>1281</v>
      </c>
      <c r="C603" t="s">
        <v>1282</v>
      </c>
      <c r="D603" t="s">
        <v>22</v>
      </c>
      <c r="E603" s="6" t="s">
        <v>33</v>
      </c>
      <c r="F603" s="1">
        <v>0.35859999999999997</v>
      </c>
      <c r="G603" s="8">
        <f>F603*[601]Main!$C$4</f>
        <v>8.1335715559999997</v>
      </c>
      <c r="H603" s="10">
        <f>G603-[601]Main!$C$7+[601]Main!$C$8</f>
        <v>68.382571556000016</v>
      </c>
      <c r="J603" s="1">
        <f>IF(ISNUMBER([601]Main!$C$11),[601]Main!$C$11,"")</f>
        <v>-6.0457855966577529</v>
      </c>
      <c r="K603" s="11">
        <f t="shared" si="9"/>
        <v>-17.859413264522459</v>
      </c>
      <c r="L603" s="12" t="str">
        <f>[601]Main!$C$15&amp;" ("&amp;[601]Main!$C$14&amp;")"</f>
        <v>DCF (Base)</v>
      </c>
      <c r="M603" s="13">
        <v>46328</v>
      </c>
      <c r="N603" s="17" t="s">
        <v>107</v>
      </c>
    </row>
    <row r="604" spans="2:14" x14ac:dyDescent="0.2">
      <c r="B604" s="3" t="s">
        <v>1283</v>
      </c>
      <c r="C604" t="s">
        <v>1284</v>
      </c>
      <c r="D604" t="s">
        <v>22</v>
      </c>
      <c r="E604" s="6" t="s">
        <v>33</v>
      </c>
      <c r="F604" s="1">
        <v>0.65639999999999998</v>
      </c>
      <c r="G604" s="8">
        <f>F604*[602]Main!$C$4</f>
        <v>8.3915134344000002</v>
      </c>
      <c r="H604" s="10">
        <f>G604-[602]Main!$C$7+[602]Main!$C$8</f>
        <v>1.0302584344000003</v>
      </c>
      <c r="J604" s="1">
        <f>IF(ISNUMBER([602]Main!$C$11),[602]Main!$C$11,"")</f>
        <v>0.57581124308186094</v>
      </c>
      <c r="K604" s="11">
        <f t="shared" si="9"/>
        <v>-0.12277385270892605</v>
      </c>
      <c r="L604" s="12" t="str">
        <f>[602]Main!$C$15&amp;" ("&amp;[602]Main!$C$14&amp;")"</f>
        <v>Net cash (pre-revenue)</v>
      </c>
      <c r="M604" s="13">
        <v>46337</v>
      </c>
      <c r="N604" s="17" t="s">
        <v>104</v>
      </c>
    </row>
    <row r="605" spans="2:14" x14ac:dyDescent="0.2">
      <c r="B605" s="3" t="s">
        <v>1285</v>
      </c>
      <c r="C605" t="s">
        <v>1286</v>
      </c>
      <c r="D605" t="s">
        <v>22</v>
      </c>
      <c r="E605" s="6" t="s">
        <v>33</v>
      </c>
      <c r="F605" s="1">
        <v>1.37</v>
      </c>
      <c r="G605" s="8">
        <f>F605*[603]Main!$C$4</f>
        <v>10.333414060000001</v>
      </c>
      <c r="H605" s="10">
        <f>G605-[603]Main!$C$7+[603]Main!$C$8</f>
        <v>1.3560440600000003</v>
      </c>
      <c r="J605" s="1">
        <f>IF(ISNUMBER([603]Main!$C$11),[603]Main!$C$11,"")</f>
        <v>1.1902162081754422</v>
      </c>
      <c r="K605" s="11">
        <f t="shared" si="9"/>
        <v>-0.13122904512741451</v>
      </c>
      <c r="L605" s="12" t="str">
        <f>[603]Main!$C$15&amp;" ("&amp;[603]Main!$C$14&amp;")"</f>
        <v>Net cash (pre-revenue)</v>
      </c>
      <c r="M605" s="13">
        <v>46335</v>
      </c>
      <c r="N605" s="17" t="s">
        <v>87</v>
      </c>
    </row>
    <row r="606" spans="2:14" x14ac:dyDescent="0.2">
      <c r="B606" s="3" t="s">
        <v>1287</v>
      </c>
      <c r="C606" t="s">
        <v>1288</v>
      </c>
      <c r="D606" t="s">
        <v>15</v>
      </c>
      <c r="E606" s="6" t="s">
        <v>33</v>
      </c>
      <c r="F606" s="1">
        <v>1.4</v>
      </c>
      <c r="G606" s="8">
        <f>F606*[604]Main!$C$4</f>
        <v>8.2527367999999992</v>
      </c>
      <c r="H606" s="10">
        <f>G606-[604]Main!$C$7+[604]Main!$C$8</f>
        <v>17.109455958251537</v>
      </c>
      <c r="J606" s="1">
        <f>IF(ISNUMBER([604]Main!$C$11),[604]Main!$C$11,"")</f>
        <v>-1.5024599865528427</v>
      </c>
      <c r="K606" s="11">
        <f t="shared" si="9"/>
        <v>-2.0731857046806019</v>
      </c>
      <c r="L606" s="12" t="str">
        <f>[604]Main!$C$15&amp;" ("&amp;[604]Main!$C$14&amp;")"</f>
        <v>Net cash (small revenue)</v>
      </c>
      <c r="M606" s="13">
        <v>46338</v>
      </c>
      <c r="N606" s="17" t="s">
        <v>190</v>
      </c>
    </row>
    <row r="607" spans="2:14" x14ac:dyDescent="0.2">
      <c r="B607" s="3" t="s">
        <v>1289</v>
      </c>
      <c r="C607" t="s">
        <v>1290</v>
      </c>
      <c r="D607" t="s">
        <v>22</v>
      </c>
      <c r="E607" s="6" t="s">
        <v>33</v>
      </c>
      <c r="F607" s="1">
        <v>4.3099999999999996</v>
      </c>
      <c r="G607" s="8">
        <f>F607*[605]Main!$C$4</f>
        <v>8.30254695</v>
      </c>
      <c r="H607" s="10">
        <f>G607-[605]Main!$C$7+[605]Main!$C$8</f>
        <v>-9.7974530500000014</v>
      </c>
      <c r="J607" s="1">
        <f>IF(ISNUMBER([605]Main!$C$11),[605]Main!$C$11,"")</f>
        <v>9.3960323825690626</v>
      </c>
      <c r="K607" s="11">
        <f t="shared" si="9"/>
        <v>1.1800539170693884</v>
      </c>
      <c r="L607" s="12" t="str">
        <f>[605]Main!$C$15&amp;" ("&amp;[605]Main!$C$14&amp;")"</f>
        <v>Net cash (pre-revenue)</v>
      </c>
      <c r="M607" s="13">
        <v>46337</v>
      </c>
      <c r="N607" s="17" t="s">
        <v>104</v>
      </c>
    </row>
    <row r="608" spans="2:14" x14ac:dyDescent="0.2">
      <c r="B608" s="3" t="s">
        <v>1291</v>
      </c>
      <c r="C608" t="s">
        <v>1292</v>
      </c>
      <c r="D608" t="s">
        <v>22</v>
      </c>
      <c r="E608" s="6" t="s">
        <v>16</v>
      </c>
      <c r="F608" s="1">
        <v>1.47</v>
      </c>
      <c r="G608" s="8">
        <f>F608*[606]Main!$C$4</f>
        <v>7.6136856599999998</v>
      </c>
      <c r="H608" s="10">
        <f>G608-[606]Main!$C$7+[606]Main!$C$8</f>
        <v>1.4326856599999997</v>
      </c>
      <c r="J608" s="1">
        <f>IF(ISNUMBER([606]Main!$C$11),[606]Main!$C$11,"")</f>
        <v>1.193386541781658</v>
      </c>
      <c r="K608" s="11">
        <f t="shared" si="9"/>
        <v>-0.18817242055669525</v>
      </c>
      <c r="L608" s="12" t="str">
        <f>[606]Main!$C$15&amp;" ("&amp;[606]Main!$C$14&amp;")"</f>
        <v>Net cash (pre-revenue)</v>
      </c>
      <c r="M608" s="13"/>
      <c r="N608" s="17"/>
    </row>
    <row r="609" spans="2:14" x14ac:dyDescent="0.2">
      <c r="B609" s="3" t="s">
        <v>1293</v>
      </c>
      <c r="C609" t="s">
        <v>1294</v>
      </c>
      <c r="D609" t="s">
        <v>22</v>
      </c>
      <c r="E609" s="6" t="s">
        <v>33</v>
      </c>
      <c r="F609" s="1">
        <v>0.95640000000000003</v>
      </c>
      <c r="G609" s="8">
        <f>F609*[607]Main!$C$4</f>
        <v>7.7192976167100005</v>
      </c>
      <c r="H609" s="10">
        <f>G609-[607]Main!$C$7+[607]Main!$C$8</f>
        <v>3.3226379089855751</v>
      </c>
      <c r="J609" s="1">
        <f>IF(ISNUMBER([607]Main!$C$11),[607]Main!$C$11,"")</f>
        <v>0.54473419127734268</v>
      </c>
      <c r="K609" s="11">
        <f t="shared" si="9"/>
        <v>-0.43043267327755885</v>
      </c>
      <c r="L609" s="12" t="str">
        <f>[607]Main!$C$15&amp;" ("&amp;[607]Main!$C$14&amp;")"</f>
        <v>Net cash (small revenue)</v>
      </c>
      <c r="M609" s="13"/>
      <c r="N609" s="17"/>
    </row>
    <row r="610" spans="2:14" x14ac:dyDescent="0.2">
      <c r="B610" s="3" t="s">
        <v>1295</v>
      </c>
      <c r="C610" t="s">
        <v>1296</v>
      </c>
      <c r="D610" t="s">
        <v>22</v>
      </c>
      <c r="E610" s="6" t="s">
        <v>33</v>
      </c>
      <c r="F610" s="1">
        <v>0.35460000000000003</v>
      </c>
      <c r="G610" s="8">
        <f>F610*[608]Main!$C$4</f>
        <v>7.7180388534000004</v>
      </c>
      <c r="H610" s="10">
        <f>G610-[608]Main!$C$7+[608]Main!$C$8</f>
        <v>-2.0931021465999988</v>
      </c>
      <c r="J610" s="1">
        <f>IF(ISNUMBER([608]Main!$C$11),[608]Main!$C$11,"")</f>
        <v>0.45076614210971416</v>
      </c>
      <c r="K610" s="11">
        <f t="shared" si="9"/>
        <v>0.27119611424059253</v>
      </c>
      <c r="L610" s="12" t="str">
        <f>[608]Main!$C$15&amp;" ("&amp;[608]Main!$C$14&amp;")"</f>
        <v>Net cash (pre-revenue)</v>
      </c>
      <c r="M610" s="13">
        <v>46332</v>
      </c>
      <c r="N610" s="17" t="s">
        <v>361</v>
      </c>
    </row>
    <row r="611" spans="2:14" x14ac:dyDescent="0.2">
      <c r="B611" s="3" t="s">
        <v>1297</v>
      </c>
      <c r="C611" t="s">
        <v>1298</v>
      </c>
      <c r="D611" t="s">
        <v>22</v>
      </c>
      <c r="E611" s="6" t="s">
        <v>33</v>
      </c>
      <c r="F611" s="1">
        <v>0.56120000000000003</v>
      </c>
      <c r="G611" s="8">
        <f>F611*[609]Main!$C$4</f>
        <v>7.0661455232000003</v>
      </c>
      <c r="H611" s="10">
        <f>G611-[609]Main!$C$7+[609]Main!$C$8</f>
        <v>-34.167282476800004</v>
      </c>
      <c r="J611" s="1">
        <f>IF(ISNUMBER([609]Main!$C$11),[609]Main!$C$11,"")</f>
        <v>3.2747980801732268</v>
      </c>
      <c r="K611" s="11">
        <f t="shared" si="9"/>
        <v>4.8353493944640533</v>
      </c>
      <c r="L611" s="12" t="str">
        <f>[609]Main!$C$15&amp;" ("&amp;[609]Main!$C$14&amp;")"</f>
        <v>Net cash (pre-revenue)</v>
      </c>
      <c r="M611" s="13">
        <v>46337</v>
      </c>
      <c r="N611" s="17" t="s">
        <v>104</v>
      </c>
    </row>
    <row r="612" spans="2:14" x14ac:dyDescent="0.2">
      <c r="B612" s="3" t="s">
        <v>1299</v>
      </c>
      <c r="C612" t="s">
        <v>1300</v>
      </c>
      <c r="D612" t="s">
        <v>15</v>
      </c>
      <c r="E612" s="6" t="s">
        <v>33</v>
      </c>
      <c r="F612" s="1">
        <v>1.34</v>
      </c>
      <c r="G612" s="8">
        <f>F612*[610]Main!$C$4</f>
        <v>7.3616049000000006</v>
      </c>
      <c r="H612" s="10">
        <f>G612-[610]Main!$C$7+[610]Main!$C$8</f>
        <v>5.1275219000000005</v>
      </c>
      <c r="J612" s="1">
        <f>IF(ISNUMBER([610]Main!$C$11),[610]Main!$C$11,"")</f>
        <v>0.40666013195030337</v>
      </c>
      <c r="K612" s="11">
        <f t="shared" si="9"/>
        <v>-0.69652228958932594</v>
      </c>
      <c r="L612" s="12" t="str">
        <f>[610]Main!$C$15&amp;" ("&amp;[610]Main!$C$14&amp;")"</f>
        <v>Net cash (pre-revenue)</v>
      </c>
      <c r="M612" s="13">
        <v>46331</v>
      </c>
      <c r="N612" s="17" t="s">
        <v>63</v>
      </c>
    </row>
    <row r="613" spans="2:14" x14ac:dyDescent="0.2">
      <c r="B613" s="3" t="s">
        <v>1301</v>
      </c>
      <c r="C613" t="s">
        <v>1302</v>
      </c>
      <c r="D613" t="s">
        <v>22</v>
      </c>
      <c r="E613" s="6" t="s">
        <v>33</v>
      </c>
      <c r="F613" s="1">
        <v>0.99870000000000003</v>
      </c>
      <c r="G613" s="8">
        <f>F613*[611]Main!$C$4</f>
        <v>6.5374852064999995</v>
      </c>
      <c r="H613" s="10">
        <f>G613-[611]Main!$C$7+[611]Main!$C$8</f>
        <v>4.820485206499999</v>
      </c>
      <c r="J613" s="1">
        <f>IF(ISNUMBER([611]Main!$C$11),[611]Main!$C$11,"")</f>
        <v>0.26229778666192077</v>
      </c>
      <c r="K613" s="11">
        <f t="shared" si="9"/>
        <v>-0.73736078235514091</v>
      </c>
      <c r="L613" s="12" t="str">
        <f>[611]Main!$C$15&amp;" ("&amp;[611]Main!$C$14&amp;")"</f>
        <v>Net cash (pre-revenue)</v>
      </c>
      <c r="M613" s="13">
        <v>46332</v>
      </c>
      <c r="N613" s="17" t="s">
        <v>361</v>
      </c>
    </row>
    <row r="614" spans="2:14" x14ac:dyDescent="0.2">
      <c r="B614" s="3" t="s">
        <v>1303</v>
      </c>
      <c r="C614" t="s">
        <v>1304</v>
      </c>
      <c r="D614" t="s">
        <v>15</v>
      </c>
      <c r="E614" s="6" t="s">
        <v>33</v>
      </c>
      <c r="F614" s="1">
        <v>4.99</v>
      </c>
      <c r="G614" s="8">
        <f>F614*[612]Main!$C$4</f>
        <v>7.2926305100000004</v>
      </c>
      <c r="H614" s="10">
        <f>G614-[612]Main!$C$7+[612]Main!$C$8</f>
        <v>-12.692369489999999</v>
      </c>
      <c r="J614" s="1">
        <f>IF(ISNUMBER([612]Main!$C$11),[612]Main!$C$11,"")</f>
        <v>13.674784409171993</v>
      </c>
      <c r="K614" s="11">
        <f t="shared" si="9"/>
        <v>1.7404377573490968</v>
      </c>
      <c r="L614" s="12" t="str">
        <f>[612]Main!$C$15&amp;" ("&amp;[612]Main!$C$14&amp;")"</f>
        <v>Net cash (pre-revenue)</v>
      </c>
      <c r="M614" s="13">
        <v>46339</v>
      </c>
      <c r="N614" s="17" t="s">
        <v>156</v>
      </c>
    </row>
    <row r="615" spans="2:14" x14ac:dyDescent="0.2">
      <c r="B615" s="3" t="s">
        <v>1305</v>
      </c>
      <c r="C615" t="s">
        <v>1306</v>
      </c>
      <c r="D615" t="s">
        <v>22</v>
      </c>
      <c r="E615" s="6" t="s">
        <v>33</v>
      </c>
      <c r="F615" s="1">
        <v>0.22770000000000001</v>
      </c>
      <c r="G615" s="8">
        <f>F615*[613]Main!$C$4</f>
        <v>7.0916604858000003</v>
      </c>
      <c r="H615" s="10">
        <f>G615-[613]Main!$C$7+[613]Main!$C$8</f>
        <v>4.6216604857999997</v>
      </c>
      <c r="J615" s="1">
        <f>IF(ISNUMBER([613]Main!$C$11),[613]Main!$C$11,"")</f>
        <v>7.9307096148519912E-2</v>
      </c>
      <c r="K615" s="11">
        <f t="shared" si="9"/>
        <v>-0.65170357422696568</v>
      </c>
      <c r="L615" s="12" t="str">
        <f>[613]Main!$C$15&amp;" ("&amp;[613]Main!$C$14&amp;")"</f>
        <v>Net cash (pre-revenue)</v>
      </c>
      <c r="M615" s="13">
        <v>46338</v>
      </c>
      <c r="N615" s="17" t="s">
        <v>190</v>
      </c>
    </row>
    <row r="616" spans="2:14" x14ac:dyDescent="0.2">
      <c r="B616" s="3" t="s">
        <v>1307</v>
      </c>
      <c r="C616" t="s">
        <v>1308</v>
      </c>
      <c r="D616" t="s">
        <v>22</v>
      </c>
      <c r="E616" s="6" t="s">
        <v>33</v>
      </c>
      <c r="F616" s="1">
        <v>2.97</v>
      </c>
      <c r="G616" s="8">
        <f>F616*[614]Main!$C$4</f>
        <v>7.5452256000000011</v>
      </c>
      <c r="H616" s="10">
        <f>G616-[614]Main!$C$7+[614]Main!$C$8</f>
        <v>7.4212256000000014</v>
      </c>
      <c r="J616" s="1">
        <f>IF(ISNUMBER([614]Main!$C$11),[614]Main!$C$11,"")</f>
        <v>4.8809673762438589E-2</v>
      </c>
      <c r="K616" s="11">
        <f t="shared" si="9"/>
        <v>-0.9835657664099533</v>
      </c>
      <c r="L616" s="12" t="str">
        <f>[614]Main!$C$15&amp;" ("&amp;[614]Main!$C$14&amp;")"</f>
        <v>Net cash (pre-revenue)</v>
      </c>
      <c r="M616" s="13">
        <v>46339</v>
      </c>
      <c r="N616" s="17" t="s">
        <v>156</v>
      </c>
    </row>
    <row r="617" spans="2:14" x14ac:dyDescent="0.2">
      <c r="B617" s="3" t="s">
        <v>1309</v>
      </c>
      <c r="C617" t="s">
        <v>1310</v>
      </c>
      <c r="D617" t="s">
        <v>22</v>
      </c>
      <c r="E617" s="6" t="s">
        <v>33</v>
      </c>
      <c r="F617" s="1">
        <v>0.91990000000000005</v>
      </c>
      <c r="G617" s="8">
        <f>F617*[615]Main!$C$4</f>
        <v>6.1248717406999997</v>
      </c>
      <c r="H617" s="10">
        <f>G617-[615]Main!$C$7+[615]Main!$C$8</f>
        <v>2.7338717406999997</v>
      </c>
      <c r="J617" s="1">
        <f>IF(ISNUMBER([615]Main!$C$11),[615]Main!$C$11,"")</f>
        <v>0.50929734238704105</v>
      </c>
      <c r="K617" s="11">
        <f t="shared" si="9"/>
        <v>-0.44635575346554945</v>
      </c>
      <c r="L617" s="12" t="str">
        <f>[615]Main!$C$15&amp;" ("&amp;[615]Main!$C$14&amp;")"</f>
        <v>Net cash (pre-revenue)</v>
      </c>
      <c r="M617" s="13">
        <v>46325</v>
      </c>
      <c r="N617" s="17" t="s">
        <v>1162</v>
      </c>
    </row>
    <row r="618" spans="2:14" x14ac:dyDescent="0.2">
      <c r="B618" s="3" t="s">
        <v>1311</v>
      </c>
      <c r="C618" t="s">
        <v>1312</v>
      </c>
      <c r="D618" t="s">
        <v>22</v>
      </c>
      <c r="E618" s="6" t="s">
        <v>33</v>
      </c>
      <c r="F618" s="1">
        <v>1.3</v>
      </c>
      <c r="G618" s="8">
        <f>F618*[616]Main!$C$4</f>
        <v>6.2734399000000005</v>
      </c>
      <c r="H618" s="10">
        <f>G618-[616]Main!$C$7+[616]Main!$C$8</f>
        <v>-1.3180040999999996</v>
      </c>
      <c r="J618" s="1">
        <f>IF(ISNUMBER([616]Main!$C$11),[616]Main!$C$11,"")</f>
        <v>1.5731205458746804</v>
      </c>
      <c r="K618" s="11">
        <f t="shared" si="9"/>
        <v>0.21009272759590791</v>
      </c>
      <c r="L618" s="12" t="str">
        <f>[616]Main!$C$15&amp;" ("&amp;[616]Main!$C$14&amp;")"</f>
        <v>Net cash (pre-revenue)</v>
      </c>
      <c r="M618" s="13">
        <v>46364</v>
      </c>
      <c r="N618" s="17" t="s">
        <v>358</v>
      </c>
    </row>
    <row r="619" spans="2:14" x14ac:dyDescent="0.2">
      <c r="B619" s="3" t="s">
        <v>1313</v>
      </c>
      <c r="C619" t="s">
        <v>1314</v>
      </c>
      <c r="D619" t="s">
        <v>15</v>
      </c>
      <c r="E619" s="6" t="s">
        <v>33</v>
      </c>
      <c r="F619" s="1">
        <v>0.37669999999999998</v>
      </c>
      <c r="G619" s="8">
        <f>F619*[617]Main!$C$4</f>
        <v>5.7892299458999998</v>
      </c>
      <c r="H619" s="10">
        <f>G619-[617]Main!$C$7+[617]Main!$C$8</f>
        <v>0.77322994589999983</v>
      </c>
      <c r="J619" s="1">
        <f>IF(ISNUMBER([617]Main!$C$11),[617]Main!$C$11,"")</f>
        <v>0.32638662095952592</v>
      </c>
      <c r="K619" s="11">
        <f t="shared" si="9"/>
        <v>-0.13356352280455019</v>
      </c>
      <c r="L619" s="12" t="str">
        <f>[617]Main!$C$15&amp;" ("&amp;[617]Main!$C$14&amp;")"</f>
        <v>Net cash (pre-revenue)</v>
      </c>
      <c r="M619" s="13">
        <v>46338</v>
      </c>
      <c r="N619" s="17" t="s">
        <v>190</v>
      </c>
    </row>
    <row r="620" spans="2:14" x14ac:dyDescent="0.2">
      <c r="B620" s="3" t="s">
        <v>1315</v>
      </c>
      <c r="C620" t="s">
        <v>1316</v>
      </c>
      <c r="D620" t="s">
        <v>15</v>
      </c>
      <c r="E620" s="6" t="s">
        <v>33</v>
      </c>
      <c r="F620" s="1">
        <v>1.44</v>
      </c>
      <c r="G620" s="8">
        <f>F620*[618]Main!$C$4</f>
        <v>6.4452729599999996</v>
      </c>
      <c r="H620" s="10">
        <f>G620-[618]Main!$C$7+[618]Main!$C$8</f>
        <v>-1.8510230400000003</v>
      </c>
      <c r="J620" s="1">
        <f>IF(ISNUMBER([618]Main!$C$11),[618]Main!$C$11,"")</f>
        <v>1.8535547391308622</v>
      </c>
      <c r="K620" s="11">
        <f t="shared" si="9"/>
        <v>0.28719079106309886</v>
      </c>
      <c r="L620" s="12" t="str">
        <f>[618]Main!$C$15&amp;" ("&amp;[618]Main!$C$14&amp;")"</f>
        <v>Net cash (pre-revenue)</v>
      </c>
      <c r="M620" s="13">
        <v>46339</v>
      </c>
      <c r="N620" s="17" t="s">
        <v>156</v>
      </c>
    </row>
    <row r="621" spans="2:14" x14ac:dyDescent="0.2">
      <c r="B621" s="3" t="s">
        <v>1317</v>
      </c>
      <c r="C621" t="s">
        <v>1318</v>
      </c>
      <c r="D621" t="s">
        <v>22</v>
      </c>
      <c r="E621" s="6" t="s">
        <v>33</v>
      </c>
      <c r="F621" s="1">
        <v>0.94</v>
      </c>
      <c r="G621" s="8">
        <f>F621*[619]Main!$C$4</f>
        <v>6.2254263599999993</v>
      </c>
      <c r="H621" s="10">
        <f>G621-[619]Main!$C$7+[619]Main!$C$8</f>
        <v>2.4354263599999992</v>
      </c>
      <c r="J621" s="1">
        <f>IF(ISNUMBER([619]Main!$C$11),[619]Main!$C$11,"")</f>
        <v>0.57226602548712824</v>
      </c>
      <c r="K621" s="11">
        <f t="shared" si="9"/>
        <v>-0.39120635586475716</v>
      </c>
      <c r="L621" s="12" t="str">
        <f>[619]Main!$C$15&amp;" ("&amp;[619]Main!$C$14&amp;")"</f>
        <v>Net cash (pre-revenue)</v>
      </c>
      <c r="M621" s="13">
        <v>46338</v>
      </c>
      <c r="N621" s="17" t="s">
        <v>190</v>
      </c>
    </row>
    <row r="622" spans="2:14" x14ac:dyDescent="0.2">
      <c r="B622" s="3" t="s">
        <v>1319</v>
      </c>
      <c r="C622" t="s">
        <v>1320</v>
      </c>
      <c r="D622" t="s">
        <v>22</v>
      </c>
      <c r="E622" s="6" t="s">
        <v>16</v>
      </c>
      <c r="F622" s="1">
        <v>3.41</v>
      </c>
      <c r="G622" s="8">
        <f>F622*[620]Main!$C$4</f>
        <v>5.1460923799999998</v>
      </c>
      <c r="H622" s="10">
        <f>G622-[620]Main!$C$7+[620]Main!$C$8</f>
        <v>18.774747380000001</v>
      </c>
      <c r="J622" s="1">
        <f>IF(ISNUMBER([620]Main!$C$11),[620]Main!$C$11,"")</f>
        <v>-9.0308743252681367</v>
      </c>
      <c r="K622" s="11">
        <f t="shared" si="9"/>
        <v>-3.6483502420141161</v>
      </c>
      <c r="L622" s="12" t="str">
        <f>[620]Main!$C$15&amp;" ("&amp;[620]Main!$C$14&amp;")"</f>
        <v>Net cash (pre-revenue)</v>
      </c>
      <c r="M622" s="13">
        <v>46337</v>
      </c>
      <c r="N622" s="17" t="s">
        <v>104</v>
      </c>
    </row>
    <row r="623" spans="2:14" x14ac:dyDescent="0.2">
      <c r="B623" s="3" t="s">
        <v>1321</v>
      </c>
      <c r="C623" t="s">
        <v>1322</v>
      </c>
      <c r="D623" t="s">
        <v>22</v>
      </c>
      <c r="E623" s="6" t="s">
        <v>16</v>
      </c>
      <c r="F623" s="1">
        <v>0.23230000000000001</v>
      </c>
      <c r="G623" s="8">
        <f>F623*[621]Main!$C$4</f>
        <v>6.2079550010000002</v>
      </c>
      <c r="H623" s="10">
        <f>G623-[621]Main!$C$7+[621]Main!$C$8</f>
        <v>7.3469550009999995</v>
      </c>
      <c r="J623" s="1">
        <f>IF(ISNUMBER([621]Main!$C$11),[621]Main!$C$11,"")</f>
        <v>-4.2621072471913678E-2</v>
      </c>
      <c r="K623" s="11">
        <f t="shared" si="9"/>
        <v>-1.1834742680667829</v>
      </c>
      <c r="L623" s="12" t="str">
        <f>[621]Main!$C$15&amp;" ("&amp;[621]Main!$C$14&amp;")"</f>
        <v>Net cash (pre-revenue)</v>
      </c>
      <c r="M623" s="13">
        <v>46337</v>
      </c>
      <c r="N623" s="17" t="s">
        <v>104</v>
      </c>
    </row>
    <row r="624" spans="2:14" x14ac:dyDescent="0.2">
      <c r="B624" s="3" t="s">
        <v>1323</v>
      </c>
      <c r="C624" t="s">
        <v>1324</v>
      </c>
      <c r="D624" t="s">
        <v>22</v>
      </c>
      <c r="E624" s="6" t="s">
        <v>33</v>
      </c>
      <c r="F624" s="1">
        <v>1.1399999999999999</v>
      </c>
      <c r="G624" s="8">
        <f>F624*[622]Main!$C$4</f>
        <v>6.0077099399999998</v>
      </c>
      <c r="H624" s="10">
        <f>G624-[622]Main!$C$7+[622]Main!$C$8</f>
        <v>-4.6486760599999997</v>
      </c>
      <c r="J624" s="1">
        <f>IF(ISNUMBER([622]Main!$C$11),[622]Main!$C$11,"")</f>
        <v>2.0221149425200111</v>
      </c>
      <c r="K624" s="11">
        <f t="shared" si="9"/>
        <v>0.77378503729825554</v>
      </c>
      <c r="L624" s="12" t="str">
        <f>[622]Main!$C$15&amp;" ("&amp;[622]Main!$C$14&amp;")"</f>
        <v>Net cash (pre-revenue)</v>
      </c>
      <c r="M624" s="13">
        <v>46337</v>
      </c>
      <c r="N624" s="17" t="s">
        <v>104</v>
      </c>
    </row>
    <row r="625" spans="2:14" x14ac:dyDescent="0.2">
      <c r="B625" s="3" t="s">
        <v>1325</v>
      </c>
      <c r="C625" t="s">
        <v>1326</v>
      </c>
      <c r="D625" t="s">
        <v>22</v>
      </c>
      <c r="E625" s="6" t="s">
        <v>33</v>
      </c>
      <c r="F625" s="1">
        <v>1.0049999999999999</v>
      </c>
      <c r="G625" s="8">
        <f>F625*[623]Main!$C$4</f>
        <v>5.6394600149999992</v>
      </c>
      <c r="H625" s="10">
        <f>G625-[623]Main!$C$7+[623]Main!$C$8</f>
        <v>0.2394600149999988</v>
      </c>
      <c r="J625" s="1">
        <f>IF(ISNUMBER([623]Main!$C$11),[623]Main!$C$11,"")</f>
        <v>0.96232617760656292</v>
      </c>
      <c r="K625" s="11">
        <f t="shared" si="9"/>
        <v>-4.246151481934024E-2</v>
      </c>
      <c r="L625" s="12" t="str">
        <f>[623]Main!$C$15&amp;" ("&amp;[623]Main!$C$14&amp;")"</f>
        <v>Net cash (pre-revenue)</v>
      </c>
      <c r="M625" s="13">
        <v>46338</v>
      </c>
      <c r="N625" s="17" t="s">
        <v>190</v>
      </c>
    </row>
    <row r="626" spans="2:14" x14ac:dyDescent="0.2">
      <c r="B626" s="3" t="s">
        <v>1327</v>
      </c>
      <c r="C626" t="s">
        <v>1328</v>
      </c>
      <c r="D626" t="s">
        <v>22</v>
      </c>
      <c r="E626" s="6" t="s">
        <v>33</v>
      </c>
      <c r="F626" s="1">
        <v>1.1499999999999999</v>
      </c>
      <c r="G626" s="8">
        <f>F626*[624]Main!$C$4</f>
        <v>5.9192846000000001</v>
      </c>
      <c r="H626" s="10">
        <f>G626-[624]Main!$C$7+[624]Main!$C$8</f>
        <v>4.0299936000000001</v>
      </c>
      <c r="J626" s="1">
        <f>IF(ISNUMBER([624]Main!$C$11),[624]Main!$C$11,"")</f>
        <v>0.36705189846759523</v>
      </c>
      <c r="K626" s="11">
        <f t="shared" si="9"/>
        <v>-0.68082443611513455</v>
      </c>
      <c r="L626" s="12" t="str">
        <f>[624]Main!$C$15&amp;" ("&amp;[624]Main!$C$14&amp;")"</f>
        <v>Net cash (pre-revenue)</v>
      </c>
      <c r="M626" s="13">
        <v>46322</v>
      </c>
      <c r="N626" s="17" t="s">
        <v>120</v>
      </c>
    </row>
    <row r="627" spans="2:14" x14ac:dyDescent="0.2">
      <c r="B627" s="3" t="s">
        <v>1329</v>
      </c>
      <c r="C627" t="s">
        <v>1330</v>
      </c>
      <c r="D627" t="s">
        <v>22</v>
      </c>
      <c r="E627" s="6" t="s">
        <v>33</v>
      </c>
      <c r="F627" s="1">
        <v>6.19</v>
      </c>
      <c r="G627" s="8">
        <f>F627*[625]Main!$C$4</f>
        <v>6.02824911</v>
      </c>
      <c r="H627" s="10">
        <f>G627-[625]Main!$C$7+[625]Main!$C$8</f>
        <v>-1.2337508899999996</v>
      </c>
      <c r="J627" s="1">
        <f>IF(ISNUMBER([625]Main!$C$11),[625]Main!$C$11,"")</f>
        <v>7.456855080098042</v>
      </c>
      <c r="K627" s="11">
        <f t="shared" si="9"/>
        <v>0.2046615638284397</v>
      </c>
      <c r="L627" s="12" t="str">
        <f>[625]Main!$C$15&amp;" ("&amp;[625]Main!$C$14&amp;")"</f>
        <v>Net cash (pre-revenue)</v>
      </c>
      <c r="M627" s="13"/>
      <c r="N627" s="17" t="s">
        <v>1331</v>
      </c>
    </row>
    <row r="628" spans="2:14" x14ac:dyDescent="0.2">
      <c r="B628" s="3" t="s">
        <v>1332</v>
      </c>
      <c r="C628" t="s">
        <v>1333</v>
      </c>
      <c r="D628" t="s">
        <v>15</v>
      </c>
      <c r="E628" s="6" t="s">
        <v>33</v>
      </c>
      <c r="F628" s="1">
        <v>1.1499999999999999</v>
      </c>
      <c r="G628" s="8">
        <f>F628*[626]Main!$C$4</f>
        <v>5.5066887499999995</v>
      </c>
      <c r="H628" s="10">
        <f>G628-[626]Main!$C$7+[626]Main!$C$8</f>
        <v>0.3086887499999994</v>
      </c>
      <c r="J628" s="1">
        <f>IF(ISNUMBER([626]Main!$C$11),[626]Main!$C$11,"")</f>
        <v>1.0855343876117931</v>
      </c>
      <c r="K628" s="11">
        <f t="shared" si="9"/>
        <v>-5.605705425061458E-2</v>
      </c>
      <c r="L628" s="12" t="str">
        <f>[626]Main!$C$15&amp;" ("&amp;[626]Main!$C$14&amp;")"</f>
        <v>Net cash (small revenue)</v>
      </c>
      <c r="M628" s="13">
        <v>46329</v>
      </c>
      <c r="N628" s="17" t="s">
        <v>134</v>
      </c>
    </row>
    <row r="629" spans="2:14" x14ac:dyDescent="0.2">
      <c r="B629" s="3" t="s">
        <v>1334</v>
      </c>
      <c r="C629" t="s">
        <v>1335</v>
      </c>
      <c r="D629" t="s">
        <v>15</v>
      </c>
      <c r="E629" s="6" t="s">
        <v>33</v>
      </c>
      <c r="F629" s="1">
        <v>1.43</v>
      </c>
      <c r="G629" s="8">
        <f>F629*[627]Main!$C$4</f>
        <v>5.2227675499999995</v>
      </c>
      <c r="H629" s="10">
        <f>G629-[627]Main!$C$7+[627]Main!$C$8</f>
        <v>3.0547675499999993</v>
      </c>
      <c r="J629" s="1">
        <f>IF(ISNUMBER([627]Main!$C$11),[627]Main!$C$11,"")</f>
        <v>0.5936009922555332</v>
      </c>
      <c r="K629" s="11">
        <f t="shared" si="9"/>
        <v>-0.58489441101011663</v>
      </c>
      <c r="L629" s="12" t="str">
        <f>[627]Main!$C$15&amp;" ("&amp;[627]Main!$C$14&amp;")"</f>
        <v>Net cash (pre-revenue)</v>
      </c>
      <c r="M629" s="13"/>
      <c r="N629" s="17"/>
    </row>
    <row r="630" spans="2:14" x14ac:dyDescent="0.2">
      <c r="B630" s="3" t="s">
        <v>1336</v>
      </c>
      <c r="C630" t="s">
        <v>1337</v>
      </c>
      <c r="D630" t="s">
        <v>22</v>
      </c>
      <c r="E630" s="6" t="s">
        <v>16</v>
      </c>
      <c r="F630" s="1">
        <v>0.16789999999999999</v>
      </c>
      <c r="G630" s="8">
        <f>F630*[628]Main!$C$4</f>
        <v>5.1112351380999996</v>
      </c>
      <c r="H630" s="10">
        <f>G630-[628]Main!$C$7+[628]Main!$C$8</f>
        <v>-1.2317648619000008</v>
      </c>
      <c r="J630" s="1">
        <f>IF(ISNUMBER([628]Main!$C$11),[628]Main!$C$11,"")</f>
        <v>0.20836249384446998</v>
      </c>
      <c r="K630" s="11">
        <f t="shared" si="9"/>
        <v>0.24099162504151272</v>
      </c>
      <c r="L630" s="12" t="str">
        <f>[628]Main!$C$15&amp;" ("&amp;[628]Main!$C$14&amp;")"</f>
        <v>Net cash (pre-revenue)</v>
      </c>
      <c r="M630" s="13">
        <v>46342</v>
      </c>
      <c r="N630" s="17" t="s">
        <v>466</v>
      </c>
    </row>
    <row r="631" spans="2:14" x14ac:dyDescent="0.2">
      <c r="B631" s="3" t="s">
        <v>1338</v>
      </c>
      <c r="C631" t="s">
        <v>1339</v>
      </c>
      <c r="D631" t="s">
        <v>22</v>
      </c>
      <c r="E631" s="6" t="s">
        <v>33</v>
      </c>
      <c r="F631" s="1">
        <v>0.75470000000000004</v>
      </c>
      <c r="G631" s="8">
        <f>F631*[629]Main!$C$4</f>
        <v>4.9754027679000004</v>
      </c>
      <c r="H631" s="10">
        <f>G631-[629]Main!$C$7+[629]Main!$C$8</f>
        <v>-3.7387122320999993</v>
      </c>
      <c r="J631" s="1">
        <f>IF(ISNUMBER([629]Main!$C$11),[629]Main!$C$11,"")</f>
        <v>1.3218110969688999</v>
      </c>
      <c r="K631" s="11">
        <f t="shared" si="9"/>
        <v>0.75143911086378656</v>
      </c>
      <c r="L631" s="12" t="str">
        <f>[629]Main!$C$15&amp;" ("&amp;[629]Main!$C$14&amp;")"</f>
        <v>Net cash (pre-revenue)</v>
      </c>
      <c r="M631" s="13">
        <v>46332</v>
      </c>
      <c r="N631" s="17" t="s">
        <v>361</v>
      </c>
    </row>
    <row r="632" spans="2:14" x14ac:dyDescent="0.2">
      <c r="B632" s="3" t="s">
        <v>1340</v>
      </c>
      <c r="C632" t="s">
        <v>1341</v>
      </c>
      <c r="D632" t="s">
        <v>15</v>
      </c>
      <c r="E632" s="6" t="s">
        <v>33</v>
      </c>
      <c r="F632" s="1">
        <v>0.44800000000000001</v>
      </c>
      <c r="G632" s="8">
        <f>F632*[630]Main!$C$4</f>
        <v>4.7985544320000004</v>
      </c>
      <c r="H632" s="10">
        <f>G632-[630]Main!$C$7+[630]Main!$C$8</f>
        <v>7.4937527618538624</v>
      </c>
      <c r="J632" s="1">
        <f>IF(ISNUMBER([630]Main!$C$11),[630]Main!$C$11,"")</f>
        <v>-0.2516276242950265</v>
      </c>
      <c r="K632" s="11">
        <f t="shared" si="9"/>
        <v>-1.5616688042299698</v>
      </c>
      <c r="L632" s="12" t="str">
        <f>[630]Main!$C$15&amp;" ("&amp;[630]Main!$C$14&amp;")"</f>
        <v>Net cash (pre-revenue)</v>
      </c>
      <c r="M632" s="13"/>
      <c r="N632" s="17"/>
    </row>
    <row r="633" spans="2:14" x14ac:dyDescent="0.2">
      <c r="B633" s="3" t="s">
        <v>1342</v>
      </c>
      <c r="C633" t="s">
        <v>1343</v>
      </c>
      <c r="D633" t="s">
        <v>15</v>
      </c>
      <c r="E633" s="6" t="s">
        <v>33</v>
      </c>
      <c r="F633" s="1">
        <v>1.79</v>
      </c>
      <c r="G633" s="8">
        <f>F633*[631]Main!$C$4</f>
        <v>5.0001609399999998</v>
      </c>
      <c r="H633" s="10">
        <f>G633-[631]Main!$C$7+[631]Main!$C$8</f>
        <v>4.8038359399999999</v>
      </c>
      <c r="J633" s="1">
        <f>IF(ISNUMBER([631]Main!$C$11),[631]Main!$C$11,"")</f>
        <v>7.0282087760159179E-2</v>
      </c>
      <c r="K633" s="11">
        <f t="shared" si="9"/>
        <v>-0.96073626382114008</v>
      </c>
      <c r="L633" s="12" t="str">
        <f>[631]Main!$C$15&amp;" ("&amp;[631]Main!$C$14&amp;")"</f>
        <v>Net cash (pre-revenue)</v>
      </c>
      <c r="M633" s="13">
        <v>46331</v>
      </c>
      <c r="N633" s="17" t="s">
        <v>63</v>
      </c>
    </row>
    <row r="634" spans="2:14" x14ac:dyDescent="0.2">
      <c r="B634" s="3" t="s">
        <v>1344</v>
      </c>
      <c r="C634" t="s">
        <v>1345</v>
      </c>
      <c r="D634" t="s">
        <v>22</v>
      </c>
      <c r="E634" s="6" t="s">
        <v>33</v>
      </c>
      <c r="F634" s="1">
        <v>2</v>
      </c>
      <c r="G634" s="8">
        <f>F634*[632]Main!$C$4</f>
        <v>4.6863619999999999</v>
      </c>
      <c r="H634" s="10">
        <f>G634-[632]Main!$C$7+[632]Main!$C$8</f>
        <v>-1.7854039999999998</v>
      </c>
      <c r="J634" s="1">
        <f>IF(ISNUMBER([632]Main!$C$11),[632]Main!$C$11,"")</f>
        <v>2.7619573562605706</v>
      </c>
      <c r="K634" s="11">
        <f t="shared" si="9"/>
        <v>0.3809786781302853</v>
      </c>
      <c r="L634" s="12" t="str">
        <f>[632]Main!$C$15&amp;" ("&amp;[632]Main!$C$14&amp;")"</f>
        <v>Net cash (pre-revenue)</v>
      </c>
      <c r="M634" s="13">
        <v>46337</v>
      </c>
      <c r="N634" s="17" t="s">
        <v>104</v>
      </c>
    </row>
    <row r="635" spans="2:14" x14ac:dyDescent="0.2">
      <c r="B635" s="3" t="s">
        <v>1346</v>
      </c>
      <c r="C635" t="s">
        <v>1347</v>
      </c>
      <c r="D635" t="s">
        <v>15</v>
      </c>
      <c r="E635" s="6" t="s">
        <v>33</v>
      </c>
      <c r="F635" s="1">
        <v>0.5</v>
      </c>
      <c r="G635" s="8">
        <f>F635*[633]Main!$C$4</f>
        <v>4.094919</v>
      </c>
      <c r="H635" s="10">
        <f>G635-[633]Main!$C$7+[633]Main!$C$8</f>
        <v>-6.8924750000000001</v>
      </c>
      <c r="J635" s="1">
        <f>IF(ISNUMBER([633]Main!$C$11),[633]Main!$C$11,"")</f>
        <v>1.3415886858812103</v>
      </c>
      <c r="K635" s="11">
        <f t="shared" si="9"/>
        <v>1.6831773717624205</v>
      </c>
      <c r="L635" s="12" t="str">
        <f>[633]Main!$C$15&amp;" ("&amp;[633]Main!$C$14&amp;")"</f>
        <v>Net cash (pre-revenue)</v>
      </c>
      <c r="M635" s="13">
        <v>46344</v>
      </c>
      <c r="N635" s="17" t="s">
        <v>1129</v>
      </c>
    </row>
    <row r="636" spans="2:14" x14ac:dyDescent="0.2">
      <c r="B636" s="3" t="s">
        <v>1348</v>
      </c>
      <c r="C636" t="s">
        <v>1349</v>
      </c>
      <c r="D636" t="s">
        <v>22</v>
      </c>
      <c r="E636" s="6" t="s">
        <v>16</v>
      </c>
      <c r="F636" s="1">
        <v>7.1499999999999994E-2</v>
      </c>
      <c r="G636" s="8">
        <f>F636*[634]Main!$C$4</f>
        <v>4.3331675529999991</v>
      </c>
      <c r="H636" s="10">
        <f>G636-[634]Main!$C$7+[634]Main!$C$8</f>
        <v>-2.3946424470000007</v>
      </c>
      <c r="J636" s="1">
        <f>IF(ISNUMBER([634]Main!$C$11),[634]Main!$C$11,"")</f>
        <v>0.11101311202862688</v>
      </c>
      <c r="K636" s="11">
        <f t="shared" si="9"/>
        <v>0.55263093746331315</v>
      </c>
      <c r="L636" s="12" t="str">
        <f>[634]Main!$C$15&amp;" ("&amp;[634]Main!$C$14&amp;")"</f>
        <v>Net cash (pre-revenue)</v>
      </c>
      <c r="M636" s="13">
        <v>46337</v>
      </c>
      <c r="N636" s="17" t="s">
        <v>104</v>
      </c>
    </row>
    <row r="637" spans="2:14" x14ac:dyDescent="0.2">
      <c r="B637" s="3" t="s">
        <v>1350</v>
      </c>
      <c r="C637" t="s">
        <v>1351</v>
      </c>
      <c r="D637" t="s">
        <v>22</v>
      </c>
      <c r="E637" s="6" t="s">
        <v>33</v>
      </c>
      <c r="F637" s="1">
        <v>1.0056</v>
      </c>
      <c r="G637" s="8">
        <f>F637*[635]Main!$C$4</f>
        <v>4.1852780269406402</v>
      </c>
      <c r="H637" s="10">
        <f>G637-[635]Main!$C$7+[635]Main!$C$8</f>
        <v>-28.154131753160446</v>
      </c>
      <c r="J637" s="1">
        <f>IF(ISNUMBER([635]Main!$C$11),[635]Main!$C$11,"")</f>
        <v>7.7702150885879222</v>
      </c>
      <c r="K637" s="11">
        <f t="shared" si="9"/>
        <v>6.7269442010619747</v>
      </c>
      <c r="L637" s="12" t="str">
        <f>[635]Main!$C$15&amp;" ("&amp;[635]Main!$C$14&amp;")"</f>
        <v>Net cash (pre-revenue)</v>
      </c>
      <c r="M637" s="13">
        <v>46338</v>
      </c>
      <c r="N637" s="17" t="s">
        <v>190</v>
      </c>
    </row>
    <row r="638" spans="2:14" x14ac:dyDescent="0.2">
      <c r="B638" s="3" t="s">
        <v>1352</v>
      </c>
      <c r="C638" t="s">
        <v>1353</v>
      </c>
      <c r="D638" t="s">
        <v>15</v>
      </c>
      <c r="E638" s="6" t="s">
        <v>16</v>
      </c>
      <c r="F638" s="1">
        <v>0.38729999999999998</v>
      </c>
      <c r="G638" s="8">
        <f>F638*[636]Main!$C$4</f>
        <v>4.3397139285000002</v>
      </c>
      <c r="H638" s="10">
        <f>G638-[636]Main!$C$7+[636]Main!$C$8</f>
        <v>2.2286959285000001</v>
      </c>
      <c r="J638" s="1">
        <f>IF(ISNUMBER([636]Main!$C$11),[636]Main!$C$11,"")</f>
        <v>0.18839888639447677</v>
      </c>
      <c r="K638" s="11">
        <f t="shared" si="9"/>
        <v>-0.51355825872843586</v>
      </c>
      <c r="L638" s="12" t="str">
        <f>[636]Main!$C$15&amp;" ("&amp;[636]Main!$C$14&amp;")"</f>
        <v>Net cash (small revenue)</v>
      </c>
      <c r="M638" s="13"/>
      <c r="N638" s="17"/>
    </row>
    <row r="639" spans="2:14" x14ac:dyDescent="0.2">
      <c r="B639" s="3" t="s">
        <v>1354</v>
      </c>
      <c r="C639" t="s">
        <v>1355</v>
      </c>
      <c r="D639" t="s">
        <v>15</v>
      </c>
      <c r="E639" s="6" t="s">
        <v>33</v>
      </c>
      <c r="F639" s="1">
        <v>1.04</v>
      </c>
      <c r="G639" s="8">
        <f>F639*[637]Main!$C$4</f>
        <v>3.7102956800000002</v>
      </c>
      <c r="H639" s="10">
        <f>G639-[637]Main!$C$7+[637]Main!$C$8</f>
        <v>1.3221606800000001</v>
      </c>
      <c r="J639" s="1">
        <f>IF(ISNUMBER([637]Main!$C$11),[637]Main!$C$11,"")</f>
        <v>0.66939689291824855</v>
      </c>
      <c r="K639" s="11">
        <f t="shared" si="9"/>
        <v>-0.35634914142476104</v>
      </c>
      <c r="L639" s="12" t="str">
        <f>[637]Main!$C$15&amp;" ("&amp;[637]Main!$C$14&amp;")"</f>
        <v>Net cash (pre-revenue)</v>
      </c>
      <c r="M639" s="13">
        <v>46335</v>
      </c>
      <c r="N639" s="17" t="s">
        <v>87</v>
      </c>
    </row>
    <row r="640" spans="2:14" x14ac:dyDescent="0.2">
      <c r="B640" s="3" t="s">
        <v>1356</v>
      </c>
      <c r="C640" t="s">
        <v>1357</v>
      </c>
      <c r="D640" t="s">
        <v>22</v>
      </c>
      <c r="E640" s="6" t="s">
        <v>33</v>
      </c>
      <c r="F640" s="1">
        <v>0.3422</v>
      </c>
      <c r="G640" s="8">
        <f>F640*[638]Main!$C$4</f>
        <v>3.6737390878</v>
      </c>
      <c r="H640" s="10">
        <f>G640-[638]Main!$C$7+[638]Main!$C$8</f>
        <v>-14.164713912199998</v>
      </c>
      <c r="J640" s="1">
        <f>IF(ISNUMBER([638]Main!$C$11),[638]Main!$C$11,"")</f>
        <v>1.6616091863659102</v>
      </c>
      <c r="K640" s="11">
        <f t="shared" si="9"/>
        <v>3.8556668216420515</v>
      </c>
      <c r="L640" s="12" t="str">
        <f>[638]Main!$C$15&amp;" ("&amp;[638]Main!$C$14&amp;")"</f>
        <v>Net cash (pre-revenue)</v>
      </c>
      <c r="M640" s="13"/>
      <c r="N640" s="17"/>
    </row>
    <row r="641" spans="2:14" x14ac:dyDescent="0.2">
      <c r="B641" s="3" t="s">
        <v>1358</v>
      </c>
      <c r="C641" t="s">
        <v>1359</v>
      </c>
      <c r="D641" t="s">
        <v>22</v>
      </c>
      <c r="E641" s="6" t="s">
        <v>33</v>
      </c>
      <c r="F641" s="1">
        <v>0.18970000000000001</v>
      </c>
      <c r="G641" s="8">
        <f>F641*[639]Main!$C$4</f>
        <v>3.6687574042</v>
      </c>
      <c r="H641" s="10">
        <f>G641-[639]Main!$C$7+[639]Main!$C$8</f>
        <v>-3.5602425958000001</v>
      </c>
      <c r="J641" s="1">
        <f>IF(ISNUMBER([639]Main!$C$11),[639]Main!$C$11,"")</f>
        <v>0.37378903778976663</v>
      </c>
      <c r="K641" s="11">
        <f t="shared" si="9"/>
        <v>0.97042191771094677</v>
      </c>
      <c r="L641" s="12" t="str">
        <f>[639]Main!$C$15&amp;" ("&amp;[639]Main!$C$14&amp;")"</f>
        <v>Net cash (pre-revenue)</v>
      </c>
      <c r="M641" s="13">
        <v>46344</v>
      </c>
      <c r="N641" s="17" t="s">
        <v>1129</v>
      </c>
    </row>
    <row r="642" spans="2:14" x14ac:dyDescent="0.2">
      <c r="B642" s="3" t="s">
        <v>1360</v>
      </c>
      <c r="C642" t="s">
        <v>1361</v>
      </c>
      <c r="D642" t="s">
        <v>22</v>
      </c>
      <c r="E642" s="6" t="s">
        <v>33</v>
      </c>
      <c r="F642" s="1">
        <v>2.2400000000000002</v>
      </c>
      <c r="G642" s="8">
        <f>F642*[640]Main!$C$4</f>
        <v>3.6566006400000006</v>
      </c>
      <c r="H642" s="10">
        <f>G642-[640]Main!$C$7+[640]Main!$C$8</f>
        <v>-1.371399359999999</v>
      </c>
      <c r="J642" s="1">
        <f>IF(ISNUMBER([640]Main!$C$11),[640]Main!$C$11,"")</f>
        <v>3.0801066643143176</v>
      </c>
      <c r="K642" s="11">
        <f t="shared" si="9"/>
        <v>0.37504761799746311</v>
      </c>
      <c r="L642" s="12" t="str">
        <f>[640]Main!$C$15&amp;" ("&amp;[640]Main!$C$14&amp;")"</f>
        <v>Net cash (pre-revenue)</v>
      </c>
      <c r="M642" s="13">
        <v>46332</v>
      </c>
      <c r="N642" s="17" t="s">
        <v>361</v>
      </c>
    </row>
    <row r="643" spans="2:14" x14ac:dyDescent="0.2">
      <c r="B643" s="3" t="s">
        <v>1362</v>
      </c>
      <c r="C643" t="s">
        <v>1363</v>
      </c>
      <c r="D643" t="s">
        <v>15</v>
      </c>
      <c r="E643" s="6" t="s">
        <v>33</v>
      </c>
      <c r="F643" s="1">
        <v>0.68930000000000002</v>
      </c>
      <c r="G643" s="8">
        <f>F643*[641]Main!$C$4</f>
        <v>3.7384475006000004</v>
      </c>
      <c r="H643" s="10">
        <f>G643-[641]Main!$C$7+[641]Main!$C$8</f>
        <v>-1.1855524993999993</v>
      </c>
      <c r="J643" s="1">
        <f>IF(ISNUMBER([641]Main!$C$11),[641]Main!$C$11,"")</f>
        <v>0.90789377126608395</v>
      </c>
      <c r="K643" s="11">
        <f t="shared" ref="K643:K677" si="10">IFERROR(J643/F643-1,"")</f>
        <v>0.31712428734380382</v>
      </c>
      <c r="L643" s="12" t="str">
        <f>[641]Main!$C$15&amp;" ("&amp;[641]Main!$C$14&amp;")"</f>
        <v>Net cash (pre-revenue)</v>
      </c>
      <c r="M643" s="13">
        <v>46335</v>
      </c>
      <c r="N643" s="17" t="s">
        <v>87</v>
      </c>
    </row>
    <row r="644" spans="2:14" x14ac:dyDescent="0.2">
      <c r="B644" s="3" t="s">
        <v>1364</v>
      </c>
      <c r="C644" t="s">
        <v>1365</v>
      </c>
      <c r="D644" t="s">
        <v>22</v>
      </c>
      <c r="E644" s="6" t="s">
        <v>33</v>
      </c>
      <c r="F644" s="1">
        <v>0.86990000000000001</v>
      </c>
      <c r="G644" s="8">
        <f>F644*[642]Main!$C$4</f>
        <v>3.4988621956999997</v>
      </c>
      <c r="H644" s="10">
        <f>G644-[642]Main!$C$7+[642]Main!$C$8</f>
        <v>-0.91390180430000045</v>
      </c>
      <c r="J644" s="1">
        <f>IF(ISNUMBER([642]Main!$C$11),[642]Main!$C$11,"")</f>
        <v>1.0971176310737834</v>
      </c>
      <c r="K644" s="11">
        <f t="shared" si="10"/>
        <v>0.26119971384502061</v>
      </c>
      <c r="L644" s="12" t="str">
        <f>[642]Main!$C$15&amp;" ("&amp;[642]Main!$C$14&amp;")"</f>
        <v>Net cash (pre-revenue)</v>
      </c>
      <c r="M644" s="13">
        <v>46339</v>
      </c>
      <c r="N644" s="17" t="s">
        <v>156</v>
      </c>
    </row>
    <row r="645" spans="2:14" x14ac:dyDescent="0.2">
      <c r="B645" s="3" t="s">
        <v>1366</v>
      </c>
      <c r="C645" t="s">
        <v>1367</v>
      </c>
      <c r="D645" t="s">
        <v>22</v>
      </c>
      <c r="E645" s="6" t="s">
        <v>33</v>
      </c>
      <c r="F645" s="1">
        <v>0.37159999999999999</v>
      </c>
      <c r="G645" s="8">
        <f>F645*[643]Main!$C$4</f>
        <v>3.2396805187999997</v>
      </c>
      <c r="H645" s="10">
        <f>G645-[643]Main!$C$7+[643]Main!$C$8</f>
        <v>-9.7163194811999993</v>
      </c>
      <c r="J645" s="1">
        <f>IF(ISNUMBER([643]Main!$C$11),[643]Main!$C$11,"")</f>
        <v>1.4860877707112012</v>
      </c>
      <c r="K645" s="11">
        <f t="shared" si="10"/>
        <v>2.9991597704822426</v>
      </c>
      <c r="L645" s="12" t="str">
        <f>[643]Main!$C$15&amp;" ("&amp;[643]Main!$C$14&amp;")"</f>
        <v>Net cash (pre-revenue)</v>
      </c>
      <c r="M645" s="13">
        <v>46345</v>
      </c>
      <c r="N645" s="17" t="s">
        <v>566</v>
      </c>
    </row>
    <row r="646" spans="2:14" x14ac:dyDescent="0.2">
      <c r="B646" s="3" t="s">
        <v>1368</v>
      </c>
      <c r="C646" t="s">
        <v>1369</v>
      </c>
      <c r="D646" t="s">
        <v>22</v>
      </c>
      <c r="E646" s="6" t="s">
        <v>33</v>
      </c>
      <c r="F646" s="1">
        <v>1.615</v>
      </c>
      <c r="G646" s="8">
        <f>F646*[644]Main!$C$4</f>
        <v>2.9101815499999999</v>
      </c>
      <c r="H646" s="10">
        <f>G646-[644]Main!$C$7+[644]Main!$C$8</f>
        <v>-6.8868184500000007</v>
      </c>
      <c r="J646" s="1">
        <f>IF(ISNUMBER([644]Main!$C$11),[644]Main!$C$11,"")</f>
        <v>5.4368274721554748</v>
      </c>
      <c r="K646" s="11">
        <f t="shared" si="10"/>
        <v>2.3664566391055573</v>
      </c>
      <c r="L646" s="12" t="str">
        <f>[644]Main!$C$15&amp;" ("&amp;[644]Main!$C$14&amp;")"</f>
        <v>Net cash (pre-revenue)</v>
      </c>
      <c r="M646" s="13">
        <v>46331</v>
      </c>
      <c r="N646" s="17" t="s">
        <v>63</v>
      </c>
    </row>
    <row r="647" spans="2:14" x14ac:dyDescent="0.2">
      <c r="B647" s="3" t="s">
        <v>1370</v>
      </c>
      <c r="C647" t="s">
        <v>1371</v>
      </c>
      <c r="D647" t="s">
        <v>15</v>
      </c>
      <c r="E647" s="6" t="s">
        <v>33</v>
      </c>
      <c r="F647" s="1">
        <v>0.92220000000000002</v>
      </c>
      <c r="G647" s="8">
        <f>F647*[645]Main!$C$4</f>
        <v>3.2433663336</v>
      </c>
      <c r="H647" s="10">
        <f>G647-[645]Main!$C$7+[645]Main!$C$8</f>
        <v>2.3707903336000005</v>
      </c>
      <c r="J647" s="1">
        <f>IF(ISNUMBER([645]Main!$C$11),[645]Main!$C$11,"")</f>
        <v>0.24810320649373838</v>
      </c>
      <c r="K647" s="11">
        <f t="shared" si="10"/>
        <v>-0.73096594394519809</v>
      </c>
      <c r="L647" s="12" t="str">
        <f>[645]Main!$C$15&amp;" ("&amp;[645]Main!$C$14&amp;")"</f>
        <v>Net cash (pre-revenue)</v>
      </c>
      <c r="M647" s="13">
        <v>46338</v>
      </c>
      <c r="N647" s="17" t="s">
        <v>190</v>
      </c>
    </row>
    <row r="648" spans="2:14" x14ac:dyDescent="0.2">
      <c r="B648" s="3" t="s">
        <v>1372</v>
      </c>
      <c r="C648" t="s">
        <v>1373</v>
      </c>
      <c r="D648" t="s">
        <v>22</v>
      </c>
      <c r="E648" s="6" t="s">
        <v>33</v>
      </c>
      <c r="F648" s="1">
        <v>1.46</v>
      </c>
      <c r="G648" s="8">
        <f>F648*[646]Main!$C$4</f>
        <v>3.1917279000000001</v>
      </c>
      <c r="H648" s="10">
        <f>G648-[646]Main!$C$7+[646]Main!$C$8</f>
        <v>-7.7552720999999991</v>
      </c>
      <c r="J648" s="1">
        <f>IF(ISNUMBER([646]Main!$C$11),[646]Main!$C$11,"")</f>
        <v>5.0075133284388054</v>
      </c>
      <c r="K648" s="11">
        <f t="shared" si="10"/>
        <v>2.4298036496156201</v>
      </c>
      <c r="L648" s="12" t="str">
        <f>[646]Main!$C$15&amp;" ("&amp;[646]Main!$C$14&amp;")"</f>
        <v>Net cash (pre-revenue)</v>
      </c>
      <c r="M648" s="13">
        <v>46339</v>
      </c>
      <c r="N648" s="17" t="s">
        <v>156</v>
      </c>
    </row>
    <row r="649" spans="2:14" x14ac:dyDescent="0.2">
      <c r="B649" s="3" t="s">
        <v>1374</v>
      </c>
      <c r="C649" t="s">
        <v>1375</v>
      </c>
      <c r="D649" t="s">
        <v>22</v>
      </c>
      <c r="E649" s="6" t="s">
        <v>33</v>
      </c>
      <c r="F649" s="1">
        <v>3.07</v>
      </c>
      <c r="G649" s="8">
        <f>F649*[647]Main!$C$4</f>
        <v>3.0742795799999993</v>
      </c>
      <c r="H649" s="10">
        <f>G649-[647]Main!$C$7+[647]Main!$C$8</f>
        <v>-5.6917204200000011</v>
      </c>
      <c r="J649" s="1">
        <f>IF(ISNUMBER([647]Main!$C$11),[647]Main!$C$11,"")</f>
        <v>8.7537972066938696</v>
      </c>
      <c r="K649" s="11">
        <f t="shared" si="10"/>
        <v>1.8513997415940944</v>
      </c>
      <c r="L649" s="12" t="str">
        <f>[647]Main!$C$15&amp;" ("&amp;[647]Main!$C$14&amp;")"</f>
        <v>Net cash (pre-revenue)</v>
      </c>
      <c r="M649" s="13">
        <v>46351</v>
      </c>
      <c r="N649" s="17" t="s">
        <v>977</v>
      </c>
    </row>
    <row r="650" spans="2:14" x14ac:dyDescent="0.2">
      <c r="B650" s="3" t="s">
        <v>1376</v>
      </c>
      <c r="C650" t="s">
        <v>1377</v>
      </c>
      <c r="D650" t="s">
        <v>22</v>
      </c>
      <c r="E650" s="6" t="s">
        <v>33</v>
      </c>
      <c r="F650" s="1">
        <v>0.3795</v>
      </c>
      <c r="G650" s="8">
        <f>F650*[648]Main!$C$4</f>
        <v>2.8756635269999999</v>
      </c>
      <c r="H650" s="10">
        <f>G650-[648]Main!$C$7+[648]Main!$C$8</f>
        <v>-12.274336473</v>
      </c>
      <c r="J650" s="1">
        <f>IF(ISNUMBER([648]Main!$C$11),[648]Main!$C$11,"")</f>
        <v>1.9993385686530636</v>
      </c>
      <c r="K650" s="11">
        <f t="shared" si="10"/>
        <v>4.2683493245140012</v>
      </c>
      <c r="L650" s="12" t="str">
        <f>[648]Main!$C$15&amp;" ("&amp;[648]Main!$C$14&amp;")"</f>
        <v>Net cash (pre-revenue)</v>
      </c>
      <c r="M650" s="13">
        <v>46332</v>
      </c>
      <c r="N650" s="17" t="s">
        <v>361</v>
      </c>
    </row>
    <row r="651" spans="2:14" x14ac:dyDescent="0.2">
      <c r="B651" s="3" t="s">
        <v>1378</v>
      </c>
      <c r="C651" t="s">
        <v>1379</v>
      </c>
      <c r="D651" t="s">
        <v>22</v>
      </c>
      <c r="E651" s="6" t="s">
        <v>33</v>
      </c>
      <c r="F651" s="1">
        <v>0.68130000000000002</v>
      </c>
      <c r="G651" s="8">
        <f>F651*[649]Main!$C$4</f>
        <v>2.3629016216448</v>
      </c>
      <c r="H651" s="10">
        <f>G651-[649]Main!$C$7+[649]Main!$C$8</f>
        <v>0.70190162164479997</v>
      </c>
      <c r="J651" s="1">
        <f>IF(ISNUMBER([649]Main!$C$11),[649]Main!$C$11,"")</f>
        <v>0.47891934629604827</v>
      </c>
      <c r="K651" s="11">
        <f t="shared" si="10"/>
        <v>-0.29705071731095223</v>
      </c>
      <c r="L651" s="12" t="str">
        <f>[649]Main!$C$15&amp;" ("&amp;[649]Main!$C$14&amp;")"</f>
        <v>Net cash (pre-revenue)</v>
      </c>
      <c r="M651" s="13">
        <v>46349</v>
      </c>
      <c r="N651" s="17" t="s">
        <v>197</v>
      </c>
    </row>
    <row r="652" spans="2:14" x14ac:dyDescent="0.2">
      <c r="B652" s="3" t="s">
        <v>1380</v>
      </c>
      <c r="C652" t="s">
        <v>1381</v>
      </c>
      <c r="D652" t="s">
        <v>15</v>
      </c>
      <c r="E652" s="6" t="s">
        <v>33</v>
      </c>
      <c r="F652" s="1">
        <v>0.50729999999999997</v>
      </c>
      <c r="G652" s="8">
        <f>F652*[650]Main!$C$4</f>
        <v>2.5833370305300001</v>
      </c>
      <c r="H652" s="10">
        <f>G652-[650]Main!$C$7+[650]Main!$C$8</f>
        <v>-0.28266296947000003</v>
      </c>
      <c r="J652" s="1">
        <f>IF(ISNUMBER([650]Main!$C$11),[650]Main!$C$11,"")</f>
        <v>0.562807633234643</v>
      </c>
      <c r="K652" s="11">
        <f t="shared" si="10"/>
        <v>0.10941776707006312</v>
      </c>
      <c r="L652" s="12" t="str">
        <f>[650]Main!$C$15&amp;" ("&amp;[650]Main!$C$14&amp;")"</f>
        <v>Net cash (small revenue)</v>
      </c>
      <c r="M652" s="13"/>
      <c r="N652" s="17"/>
    </row>
    <row r="653" spans="2:14" x14ac:dyDescent="0.2">
      <c r="B653" s="3" t="s">
        <v>1382</v>
      </c>
      <c r="C653" t="s">
        <v>1383</v>
      </c>
      <c r="D653" t="s">
        <v>22</v>
      </c>
      <c r="E653" s="6" t="s">
        <v>16</v>
      </c>
      <c r="F653" s="1">
        <v>1.89</v>
      </c>
      <c r="G653" s="8">
        <f>F653*[651]Main!$C$4</f>
        <v>2.4744116249999997</v>
      </c>
      <c r="H653" s="10">
        <f>G653-[651]Main!$C$7+[651]Main!$C$8</f>
        <v>-3.0545883750000002</v>
      </c>
      <c r="J653" s="1">
        <f>IF(ISNUMBER([651]Main!$C$11),[651]Main!$C$11,"")</f>
        <v>4.2231494123375697</v>
      </c>
      <c r="K653" s="11">
        <f t="shared" si="10"/>
        <v>1.2344705885383966</v>
      </c>
      <c r="L653" s="12" t="str">
        <f>[651]Main!$C$15&amp;" ("&amp;[651]Main!$C$14&amp;")"</f>
        <v>Net cash (pre-revenue)</v>
      </c>
      <c r="M653" s="13"/>
      <c r="N653" s="17"/>
    </row>
    <row r="654" spans="2:14" x14ac:dyDescent="0.2">
      <c r="B654" s="3" t="s">
        <v>1384</v>
      </c>
      <c r="C654" t="s">
        <v>1385</v>
      </c>
      <c r="D654" t="s">
        <v>15</v>
      </c>
      <c r="E654" s="6" t="s">
        <v>33</v>
      </c>
      <c r="F654" s="1">
        <v>1.08</v>
      </c>
      <c r="G654" s="8">
        <f>F654*[652]Main!$C$4</f>
        <v>2.1422296800000002</v>
      </c>
      <c r="H654" s="10">
        <f>G654-[652]Main!$C$7+[652]Main!$C$8</f>
        <v>-0.20302031999999984</v>
      </c>
      <c r="J654" s="1">
        <f>IF(ISNUMBER([652]Main!$C$11),[652]Main!$C$11,"")</f>
        <v>1.1823522116452052</v>
      </c>
      <c r="K654" s="11">
        <f t="shared" si="10"/>
        <v>9.477056633815284E-2</v>
      </c>
      <c r="L654" s="12" t="str">
        <f>[652]Main!$C$15&amp;" ("&amp;[652]Main!$C$14&amp;")"</f>
        <v>Net cash (pre-revenue)</v>
      </c>
      <c r="M654" s="13"/>
      <c r="N654" s="17"/>
    </row>
    <row r="655" spans="2:14" x14ac:dyDescent="0.2">
      <c r="B655" s="3" t="s">
        <v>1386</v>
      </c>
      <c r="C655" t="s">
        <v>1387</v>
      </c>
      <c r="D655" t="s">
        <v>22</v>
      </c>
      <c r="E655" s="6" t="s">
        <v>33</v>
      </c>
      <c r="F655" s="1">
        <v>0.17130000000000001</v>
      </c>
      <c r="G655" s="8">
        <f>F655*[653]Main!$C$4</f>
        <v>2.5439098356000001</v>
      </c>
      <c r="H655" s="10">
        <f>G655-[653]Main!$C$7+[653]Main!$C$8</f>
        <v>0.87390983560000013</v>
      </c>
      <c r="J655" s="1">
        <f>IF(ISNUMBER([653]Main!$C$11),[653]Main!$C$11,"")</f>
        <v>0.11245327801978801</v>
      </c>
      <c r="K655" s="11">
        <f t="shared" si="10"/>
        <v>-0.34353019252896666</v>
      </c>
      <c r="L655" s="12" t="str">
        <f>[653]Main!$C$15&amp;" ("&amp;[653]Main!$C$14&amp;")"</f>
        <v>Net cash (pre-revenue)</v>
      </c>
      <c r="M655" s="13">
        <v>46331</v>
      </c>
      <c r="N655" s="17" t="s">
        <v>63</v>
      </c>
    </row>
    <row r="656" spans="2:14" x14ac:dyDescent="0.2">
      <c r="B656" s="3" t="s">
        <v>1388</v>
      </c>
      <c r="C656" t="s">
        <v>1389</v>
      </c>
      <c r="D656" t="s">
        <v>22</v>
      </c>
      <c r="E656" s="6" t="s">
        <v>33</v>
      </c>
      <c r="F656" s="1">
        <v>1.23</v>
      </c>
      <c r="G656" s="8">
        <f>F656*[654]Main!$C$4</f>
        <v>2.2586785200000001</v>
      </c>
      <c r="H656" s="10">
        <f>G656-[654]Main!$C$7+[654]Main!$C$8</f>
        <v>8.0787155199999994</v>
      </c>
      <c r="J656" s="1">
        <f>IF(ISNUMBER([654]Main!$C$11),[654]Main!$C$11,"")</f>
        <v>-3.1693954879422148</v>
      </c>
      <c r="K656" s="11">
        <f t="shared" si="10"/>
        <v>-3.576744299140012</v>
      </c>
      <c r="L656" s="12" t="str">
        <f>[654]Main!$C$15&amp;" ("&amp;[654]Main!$C$14&amp;")"</f>
        <v>Net cash (small revenue)</v>
      </c>
      <c r="M656" s="13">
        <v>46339</v>
      </c>
      <c r="N656" s="17" t="s">
        <v>156</v>
      </c>
    </row>
    <row r="657" spans="2:14" x14ac:dyDescent="0.2">
      <c r="B657" s="3" t="s">
        <v>1390</v>
      </c>
      <c r="C657" t="s">
        <v>1391</v>
      </c>
      <c r="D657" t="s">
        <v>22</v>
      </c>
      <c r="E657" s="6" t="s">
        <v>16</v>
      </c>
      <c r="F657" s="1">
        <v>0.77</v>
      </c>
      <c r="G657" s="8">
        <f>F657*[655]Main!$C$4</f>
        <v>1.9898216800000001</v>
      </c>
      <c r="H657" s="10">
        <f>G657-[655]Main!$C$7+[655]Main!$C$8</f>
        <v>-1.4811783199999993</v>
      </c>
      <c r="J657" s="1">
        <f>IF(ISNUMBER([655]Main!$C$11),[655]Main!$C$11,"")</f>
        <v>1.3431706101423118</v>
      </c>
      <c r="K657" s="11">
        <f t="shared" si="10"/>
        <v>0.74437741576923599</v>
      </c>
      <c r="L657" s="12" t="str">
        <f>[655]Main!$C$15&amp;" ("&amp;[655]Main!$C$14&amp;")"</f>
        <v>Net cash (pre-revenue)</v>
      </c>
      <c r="M657" s="13">
        <v>46338</v>
      </c>
      <c r="N657" s="17" t="s">
        <v>190</v>
      </c>
    </row>
    <row r="658" spans="2:14" x14ac:dyDescent="0.2">
      <c r="B658" s="3" t="s">
        <v>1392</v>
      </c>
      <c r="C658" t="s">
        <v>1393</v>
      </c>
      <c r="D658" t="s">
        <v>15</v>
      </c>
      <c r="E658" s="6" t="s">
        <v>33</v>
      </c>
      <c r="F658" s="1">
        <v>2.8</v>
      </c>
      <c r="G658" s="8">
        <f>F658*[656]Main!$C$4</f>
        <v>2.1562267999999998</v>
      </c>
      <c r="H658" s="10">
        <f>G658-[656]Main!$C$7+[656]Main!$C$8</f>
        <v>0.63435279999999983</v>
      </c>
      <c r="J658" s="1">
        <f>IF(ISNUMBER([656]Main!$C$11),[656]Main!$C$11,"")</f>
        <v>1.9762518488314864</v>
      </c>
      <c r="K658" s="11">
        <f t="shared" si="10"/>
        <v>-0.29419576827446914</v>
      </c>
      <c r="L658" s="12" t="str">
        <f>[656]Main!$C$15&amp;" ("&amp;[656]Main!$C$14&amp;")"</f>
        <v>Net cash (pre-revenue)</v>
      </c>
      <c r="M658" s="13">
        <v>46339</v>
      </c>
      <c r="N658" s="17" t="s">
        <v>156</v>
      </c>
    </row>
    <row r="659" spans="2:14" x14ac:dyDescent="0.2">
      <c r="B659" s="3" t="s">
        <v>1394</v>
      </c>
      <c r="C659" t="s">
        <v>1395</v>
      </c>
      <c r="D659" t="s">
        <v>22</v>
      </c>
      <c r="E659" s="6" t="s">
        <v>33</v>
      </c>
      <c r="F659" s="1">
        <v>0.32100000000000001</v>
      </c>
      <c r="G659" s="8">
        <f>F659*[657]Main!$C$4</f>
        <v>2.0322882359999999</v>
      </c>
      <c r="H659" s="10">
        <f>G659-[657]Main!$C$7+[657]Main!$C$8</f>
        <v>1.4009322359999998</v>
      </c>
      <c r="J659" s="1">
        <f>IF(ISNUMBER([657]Main!$C$11),[657]Main!$C$11,"")</f>
        <v>9.9722702916831732E-2</v>
      </c>
      <c r="K659" s="11">
        <f t="shared" si="10"/>
        <v>-0.68933737409086682</v>
      </c>
      <c r="L659" s="12" t="str">
        <f>[657]Main!$C$15&amp;" ("&amp;[657]Main!$C$14&amp;")"</f>
        <v>Net cash (pre-revenue)</v>
      </c>
      <c r="M659" s="13">
        <v>46339</v>
      </c>
      <c r="N659" s="17" t="s">
        <v>156</v>
      </c>
    </row>
    <row r="660" spans="2:14" x14ac:dyDescent="0.2">
      <c r="B660" s="3" t="s">
        <v>1396</v>
      </c>
      <c r="C660" t="s">
        <v>1397</v>
      </c>
      <c r="D660" t="s">
        <v>22</v>
      </c>
      <c r="E660" s="6" t="s">
        <v>16</v>
      </c>
      <c r="F660" s="1">
        <v>0.434</v>
      </c>
      <c r="G660" s="8">
        <f>F660*[658]Main!$C$4</f>
        <v>1.9581893379999999</v>
      </c>
      <c r="H660" s="10">
        <f>G660-[658]Main!$C$7+[658]Main!$C$8</f>
        <v>-1.9059946619999999</v>
      </c>
      <c r="J660" s="1">
        <f>IF(ISNUMBER([658]Main!$C$11),[658]Main!$C$11,"")</f>
        <v>0.85643192078293295</v>
      </c>
      <c r="K660" s="11">
        <f t="shared" si="10"/>
        <v>0.97334543959201136</v>
      </c>
      <c r="L660" s="12" t="str">
        <f>[658]Main!$C$15&amp;" ("&amp;[658]Main!$C$14&amp;")"</f>
        <v>Net cash (pre-revenue)</v>
      </c>
      <c r="M660" s="13">
        <v>46332</v>
      </c>
      <c r="N660" s="17" t="s">
        <v>361</v>
      </c>
    </row>
    <row r="661" spans="2:14" x14ac:dyDescent="0.2">
      <c r="B661" s="3" t="s">
        <v>1398</v>
      </c>
      <c r="C661" t="s">
        <v>1399</v>
      </c>
      <c r="D661" t="s">
        <v>22</v>
      </c>
      <c r="E661" s="6" t="s">
        <v>33</v>
      </c>
      <c r="F661" s="1">
        <v>3.75</v>
      </c>
      <c r="G661" s="8">
        <f>F661*[659]Main!$C$4</f>
        <v>2.1339728571428571</v>
      </c>
      <c r="H661" s="10">
        <f>G661-[659]Main!$C$7+[659]Main!$C$8</f>
        <v>-9.3488191428571419</v>
      </c>
      <c r="J661" s="1">
        <f>IF(ISNUMBER([659]Main!$C$11),[659]Main!$C$11,"")</f>
        <v>20.178546252763962</v>
      </c>
      <c r="K661" s="11">
        <f t="shared" si="10"/>
        <v>4.380945667403723</v>
      </c>
      <c r="L661" s="12" t="str">
        <f>[659]Main!$C$15&amp;" ("&amp;[659]Main!$C$14&amp;")"</f>
        <v>Net cash (pre-revenue)</v>
      </c>
      <c r="M661" s="13"/>
      <c r="N661" s="17" t="s">
        <v>1400</v>
      </c>
    </row>
    <row r="662" spans="2:14" x14ac:dyDescent="0.2">
      <c r="B662" s="3" t="s">
        <v>1401</v>
      </c>
      <c r="C662" t="s">
        <v>1402</v>
      </c>
      <c r="D662" t="s">
        <v>22</v>
      </c>
      <c r="E662" s="6" t="s">
        <v>33</v>
      </c>
      <c r="F662" s="1">
        <v>0.40639999999999998</v>
      </c>
      <c r="G662" s="8">
        <f>F662*[660]Main!$C$4</f>
        <v>1.6049170848000001</v>
      </c>
      <c r="H662" s="10">
        <f>G662-[660]Main!$C$7+[660]Main!$C$8</f>
        <v>-4.1869379151999997</v>
      </c>
      <c r="J662" s="1">
        <f>IF(ISNUMBER([660]Main!$C$11),[660]Main!$C$11,"")</f>
        <v>1.466623973470458</v>
      </c>
      <c r="K662" s="11">
        <f t="shared" si="10"/>
        <v>2.6088188323584105</v>
      </c>
      <c r="L662" s="12" t="str">
        <f>[660]Main!$C$15&amp;" ("&amp;[660]Main!$C$14&amp;")"</f>
        <v>Net cash (pre-revenue)</v>
      </c>
      <c r="M662" s="13">
        <v>46338</v>
      </c>
      <c r="N662" s="17" t="s">
        <v>190</v>
      </c>
    </row>
    <row r="663" spans="2:14" x14ac:dyDescent="0.2">
      <c r="B663" s="3" t="s">
        <v>1403</v>
      </c>
      <c r="C663" t="s">
        <v>1404</v>
      </c>
      <c r="D663" t="s">
        <v>22</v>
      </c>
      <c r="E663" s="6" t="s">
        <v>33</v>
      </c>
      <c r="F663" s="1">
        <v>1.2</v>
      </c>
      <c r="G663" s="8">
        <f>F663*[661]Main!$C$4</f>
        <v>1.9058999999999999</v>
      </c>
      <c r="H663" s="10">
        <f>G663-[661]Main!$C$7+[661]Main!$C$8</f>
        <v>-3.3213420000000005</v>
      </c>
      <c r="J663" s="1">
        <f>IF(ISNUMBER([661]Main!$C$11),[661]Main!$C$11,"")</f>
        <v>3.2911959704076819</v>
      </c>
      <c r="K663" s="11">
        <f t="shared" si="10"/>
        <v>1.7426633086730683</v>
      </c>
      <c r="L663" s="12" t="str">
        <f>[661]Main!$C$15&amp;" ("&amp;[661]Main!$C$14&amp;")"</f>
        <v>Net cash (pre-revenue)</v>
      </c>
      <c r="M663" s="13">
        <v>46338</v>
      </c>
      <c r="N663" s="17" t="s">
        <v>190</v>
      </c>
    </row>
    <row r="664" spans="2:14" x14ac:dyDescent="0.2">
      <c r="B664" s="3" t="s">
        <v>1405</v>
      </c>
      <c r="C664" t="s">
        <v>1406</v>
      </c>
      <c r="D664" t="s">
        <v>22</v>
      </c>
      <c r="E664" s="6" t="s">
        <v>33</v>
      </c>
      <c r="F664" s="1">
        <v>0.2271</v>
      </c>
      <c r="G664" s="8">
        <f>F664*[662]Main!$C$4</f>
        <v>1.6735550853000001</v>
      </c>
      <c r="H664" s="10">
        <f>G664-[662]Main!$C$7+[662]Main!$C$8</f>
        <v>-1.4698669147000001</v>
      </c>
      <c r="J664" s="1">
        <f>IF(ISNUMBER([662]Main!$C$11),[662]Main!$C$11,"")</f>
        <v>0.42655968869529748</v>
      </c>
      <c r="K664" s="11">
        <f t="shared" si="10"/>
        <v>0.87829013075868545</v>
      </c>
      <c r="L664" s="12" t="str">
        <f>[662]Main!$C$15&amp;" ("&amp;[662]Main!$C$14&amp;")"</f>
        <v>Net cash (pre-revenue)</v>
      </c>
      <c r="M664" s="13">
        <v>46338</v>
      </c>
      <c r="N664" s="17" t="s">
        <v>190</v>
      </c>
    </row>
    <row r="665" spans="2:14" x14ac:dyDescent="0.2">
      <c r="B665" s="3" t="s">
        <v>1407</v>
      </c>
      <c r="C665" t="s">
        <v>1408</v>
      </c>
      <c r="D665" t="s">
        <v>22</v>
      </c>
      <c r="E665" s="6" t="s">
        <v>33</v>
      </c>
      <c r="F665" s="1">
        <v>2.13</v>
      </c>
      <c r="G665" s="8">
        <f>F665*[663]Main!$C$4</f>
        <v>1.7459801699999999</v>
      </c>
      <c r="H665" s="10">
        <f>G665-[663]Main!$C$7+[663]Main!$C$8</f>
        <v>-13.408222830000001</v>
      </c>
      <c r="J665" s="1">
        <f>IF(ISNUMBER([663]Main!$C$11),[663]Main!$C$11,"")</f>
        <v>18.487296101421357</v>
      </c>
      <c r="K665" s="11">
        <f t="shared" si="10"/>
        <v>7.6794817377565057</v>
      </c>
      <c r="L665" s="12" t="str">
        <f>[663]Main!$C$15&amp;" ("&amp;[663]Main!$C$14&amp;")"</f>
        <v>Net cash (pre-revenue)</v>
      </c>
      <c r="M665" s="13">
        <v>46339</v>
      </c>
      <c r="N665" s="17" t="s">
        <v>156</v>
      </c>
    </row>
    <row r="666" spans="2:14" x14ac:dyDescent="0.2">
      <c r="B666" s="3" t="s">
        <v>1409</v>
      </c>
      <c r="C666" t="s">
        <v>1410</v>
      </c>
      <c r="D666" t="s">
        <v>22</v>
      </c>
      <c r="E666" s="6" t="s">
        <v>33</v>
      </c>
      <c r="F666" s="1">
        <v>0.57750000000000001</v>
      </c>
      <c r="G666" s="8">
        <f>F666*[664]Main!$C$4</f>
        <v>1.36849482</v>
      </c>
      <c r="H666" s="10">
        <f>G666-[664]Main!$C$7+[664]Main!$C$8</f>
        <v>-3.2162791799999995</v>
      </c>
      <c r="J666" s="1">
        <f>IF(ISNUMBER([664]Main!$C$11),[664]Main!$C$11,"")</f>
        <v>1.9347584998531451</v>
      </c>
      <c r="K666" s="11">
        <f t="shared" si="10"/>
        <v>2.3502311685768746</v>
      </c>
      <c r="L666" s="12" t="str">
        <f>[664]Main!$C$15&amp;" ("&amp;[664]Main!$C$14&amp;")"</f>
        <v>Net cash (pre-revenue)</v>
      </c>
      <c r="M666" s="13">
        <v>46338</v>
      </c>
      <c r="N666" s="17" t="s">
        <v>190</v>
      </c>
    </row>
    <row r="667" spans="2:14" x14ac:dyDescent="0.2">
      <c r="B667" s="3" t="s">
        <v>1411</v>
      </c>
      <c r="C667" t="s">
        <v>1412</v>
      </c>
      <c r="D667" t="s">
        <v>22</v>
      </c>
      <c r="E667" s="6" t="s">
        <v>33</v>
      </c>
      <c r="F667" s="1">
        <v>0.43</v>
      </c>
      <c r="G667" s="8">
        <f>F667*[665]Main!$C$4</f>
        <v>1.1851045100000002</v>
      </c>
      <c r="H667" s="10">
        <f>G667-[665]Main!$C$7+[665]Main!$C$8</f>
        <v>-2.84667549</v>
      </c>
      <c r="J667" s="1">
        <f>IF(ISNUMBER([665]Main!$C$11),[665]Main!$C$11,"")</f>
        <v>1.4628797590180465</v>
      </c>
      <c r="K667" s="11">
        <f t="shared" si="10"/>
        <v>2.4020459512047592</v>
      </c>
      <c r="L667" s="12" t="str">
        <f>[665]Main!$C$15&amp;" ("&amp;[665]Main!$C$14&amp;")"</f>
        <v>Net cash (pre-revenue)</v>
      </c>
      <c r="M667" s="13">
        <v>46339</v>
      </c>
      <c r="N667" s="17" t="s">
        <v>156</v>
      </c>
    </row>
    <row r="668" spans="2:14" x14ac:dyDescent="0.2">
      <c r="B668" s="3" t="s">
        <v>1413</v>
      </c>
      <c r="C668" t="s">
        <v>1414</v>
      </c>
      <c r="D668" t="s">
        <v>15</v>
      </c>
      <c r="E668" s="6" t="s">
        <v>33</v>
      </c>
      <c r="F668" s="1">
        <v>1.085</v>
      </c>
      <c r="G668" s="8">
        <f>F668*[666]Main!$C$4</f>
        <v>1.0084596520425</v>
      </c>
      <c r="H668" s="10">
        <f>G668-[666]Main!$C$7+[666]Main!$C$8</f>
        <v>-7.7085403479575003</v>
      </c>
      <c r="J668" s="1">
        <f>IF(ISNUMBER([666]Main!$C$11),[666]Main!$C$11,"")</f>
        <v>9.3786052628324796</v>
      </c>
      <c r="K668" s="11">
        <f t="shared" si="10"/>
        <v>7.6438758182787829</v>
      </c>
      <c r="L668" s="12" t="str">
        <f>[666]Main!$C$15&amp;" ("&amp;[666]Main!$C$14&amp;")"</f>
        <v>Net cash (pre-revenue)</v>
      </c>
      <c r="M668" s="13">
        <v>46339</v>
      </c>
      <c r="N668" s="17" t="s">
        <v>156</v>
      </c>
    </row>
    <row r="669" spans="2:14" x14ac:dyDescent="0.2">
      <c r="B669" s="3" t="s">
        <v>1415</v>
      </c>
      <c r="C669" t="s">
        <v>1416</v>
      </c>
      <c r="D669" t="s">
        <v>22</v>
      </c>
      <c r="E669" s="6" t="s">
        <v>33</v>
      </c>
      <c r="F669" s="1">
        <v>0.38550000000000001</v>
      </c>
      <c r="G669" s="8">
        <f>F669*[667]Main!$C$4</f>
        <v>0.87052765339430993</v>
      </c>
      <c r="H669" s="10">
        <f>G669-[667]Main!$C$7+[667]Main!$C$8</f>
        <v>-10.428462865215089</v>
      </c>
      <c r="J669" s="1">
        <f>IF(ISNUMBER([667]Main!$C$11),[667]Main!$C$11,"")</f>
        <v>5.0035869945546221</v>
      </c>
      <c r="K669" s="11">
        <f t="shared" si="10"/>
        <v>11.979473397028851</v>
      </c>
      <c r="L669" s="12" t="str">
        <f>[667]Main!$C$15&amp;" ("&amp;[667]Main!$C$14&amp;")"</f>
        <v>Net cash (pre-revenue)</v>
      </c>
      <c r="M669" s="13"/>
      <c r="N669" s="17"/>
    </row>
    <row r="670" spans="2:14" x14ac:dyDescent="0.2">
      <c r="B670" s="3" t="s">
        <v>1417</v>
      </c>
      <c r="C670" t="s">
        <v>1418</v>
      </c>
      <c r="D670" t="s">
        <v>15</v>
      </c>
      <c r="E670" s="6" t="s">
        <v>33</v>
      </c>
      <c r="F670" s="1">
        <v>6.12</v>
      </c>
      <c r="G670" s="8">
        <f>F670*[668]Main!$C$4</f>
        <v>0.96742512000000003</v>
      </c>
      <c r="H670" s="10">
        <f>G670-[668]Main!$C$7+[668]Main!$C$8</f>
        <v>-9.3797788799999999</v>
      </c>
      <c r="J670" s="1">
        <f>IF(ISNUMBER([668]Main!$C$11),[668]Main!$C$11,"")</f>
        <v>65.457147195020113</v>
      </c>
      <c r="K670" s="11">
        <f t="shared" si="10"/>
        <v>9.6956122867679913</v>
      </c>
      <c r="L670" s="12" t="str">
        <f>[668]Main!$C$15&amp;" ("&amp;[668]Main!$C$14&amp;")"</f>
        <v>Net cash (pre-revenue)</v>
      </c>
      <c r="M670" s="13"/>
      <c r="N670" s="17"/>
    </row>
    <row r="671" spans="2:14" x14ac:dyDescent="0.2">
      <c r="B671" s="3" t="s">
        <v>1419</v>
      </c>
      <c r="C671" t="s">
        <v>1420</v>
      </c>
      <c r="D671" t="s">
        <v>22</v>
      </c>
      <c r="E671" s="6" t="s">
        <v>33</v>
      </c>
      <c r="F671" s="1">
        <v>0.24179999999999999</v>
      </c>
      <c r="G671" s="8">
        <f>F671*[669]Main!$C$4</f>
        <v>0.93754008659999988</v>
      </c>
      <c r="H671" s="10">
        <f>G671-[669]Main!$C$7+[669]Main!$C$8</f>
        <v>-12.810760913399999</v>
      </c>
      <c r="J671" s="1">
        <f>IF(ISNUMBER([669]Main!$C$11),[669]Main!$C$11,"")</f>
        <v>3.5458101784807461</v>
      </c>
      <c r="K671" s="11">
        <f t="shared" si="10"/>
        <v>13.664227371715246</v>
      </c>
      <c r="L671" s="12" t="str">
        <f>[669]Main!$C$15&amp;" ("&amp;[669]Main!$C$14&amp;")"</f>
        <v>Net cash (small revenue)</v>
      </c>
      <c r="M671" s="13">
        <v>46338</v>
      </c>
      <c r="N671" s="17" t="s">
        <v>190</v>
      </c>
    </row>
    <row r="672" spans="2:14" x14ac:dyDescent="0.2">
      <c r="B672" s="3" t="s">
        <v>1421</v>
      </c>
      <c r="C672" t="s">
        <v>1422</v>
      </c>
      <c r="D672" t="s">
        <v>22</v>
      </c>
      <c r="E672" s="6" t="s">
        <v>33</v>
      </c>
      <c r="F672" s="1">
        <v>0.39960000000000001</v>
      </c>
      <c r="G672" s="8">
        <f>F672*[670]Main!$C$4</f>
        <v>0.83519476920000002</v>
      </c>
      <c r="H672" s="10">
        <f>G672-[670]Main!$C$7+[670]Main!$C$8</f>
        <v>-4.2648052307999995</v>
      </c>
      <c r="J672" s="1">
        <f>IF(ISNUMBER([670]Main!$C$11),[670]Main!$C$11,"")</f>
        <v>2.440101489083895</v>
      </c>
      <c r="K672" s="11">
        <f t="shared" si="10"/>
        <v>5.1063600827925297</v>
      </c>
      <c r="L672" s="12" t="str">
        <f>[670]Main!$C$15&amp;" ("&amp;[670]Main!$C$14&amp;")"</f>
        <v>Net cash (pre-revenue)</v>
      </c>
      <c r="M672" s="13">
        <v>46331</v>
      </c>
      <c r="N672" s="17" t="s">
        <v>63</v>
      </c>
    </row>
    <row r="673" spans="2:14" x14ac:dyDescent="0.2">
      <c r="B673" s="3" t="s">
        <v>1423</v>
      </c>
      <c r="C673" t="s">
        <v>1424</v>
      </c>
      <c r="D673" t="s">
        <v>22</v>
      </c>
      <c r="E673" s="6" t="s">
        <v>33</v>
      </c>
      <c r="F673" s="1">
        <v>0.153</v>
      </c>
      <c r="G673" s="8">
        <f>F673*[671]Main!$C$4</f>
        <v>0.85071916799999991</v>
      </c>
      <c r="H673" s="10">
        <f>G673-[671]Main!$C$7+[671]Main!$C$8</f>
        <v>-1.3782808320000002</v>
      </c>
      <c r="J673" s="1">
        <f>IF(ISNUMBER([671]Main!$C$11),[671]Main!$C$11,"")</f>
        <v>0.40088082275348474</v>
      </c>
      <c r="K673" s="11">
        <f t="shared" si="10"/>
        <v>1.6201360964280047</v>
      </c>
      <c r="L673" s="12" t="str">
        <f>[671]Main!$C$15&amp;" ("&amp;[671]Main!$C$14&amp;")"</f>
        <v>Net cash (pre-revenue)</v>
      </c>
      <c r="M673" s="13">
        <v>46337</v>
      </c>
      <c r="N673" s="17" t="s">
        <v>104</v>
      </c>
    </row>
    <row r="674" spans="2:14" x14ac:dyDescent="0.2">
      <c r="B674" s="3" t="s">
        <v>1425</v>
      </c>
      <c r="C674" t="s">
        <v>1426</v>
      </c>
      <c r="D674" t="s">
        <v>22</v>
      </c>
      <c r="E674" s="6" t="s">
        <v>33</v>
      </c>
      <c r="F674" s="1">
        <v>1.135</v>
      </c>
      <c r="G674" s="8">
        <f>F674*[672]Main!$C$4</f>
        <v>0.74363497499999998</v>
      </c>
      <c r="H674" s="10">
        <f>G674-[672]Main!$C$7+[672]Main!$C$8</f>
        <v>-7.5454730250000006</v>
      </c>
      <c r="J674" s="1">
        <f>IF(ISNUMBER([672]Main!$C$11),[672]Main!$C$11,"")</f>
        <v>12.651553378053528</v>
      </c>
      <c r="K674" s="11">
        <f t="shared" si="10"/>
        <v>10.146743064364342</v>
      </c>
      <c r="L674" s="12" t="str">
        <f>[672]Main!$C$15&amp;" ("&amp;[672]Main!$C$14&amp;")"</f>
        <v>Net cash (pre-revenue)</v>
      </c>
      <c r="M674" s="13">
        <v>46339</v>
      </c>
      <c r="N674" s="17" t="s">
        <v>156</v>
      </c>
    </row>
    <row r="675" spans="2:14" x14ac:dyDescent="0.2">
      <c r="B675" s="3" t="s">
        <v>1427</v>
      </c>
      <c r="C675" t="s">
        <v>1428</v>
      </c>
      <c r="D675" t="s">
        <v>15</v>
      </c>
      <c r="E675" s="6" t="s">
        <v>33</v>
      </c>
      <c r="F675" s="1">
        <v>0.72460000000000002</v>
      </c>
      <c r="G675" s="8">
        <f>F675*[673]Main!$C$4</f>
        <v>0.60186217980000001</v>
      </c>
      <c r="H675" s="10">
        <f>G675-[673]Main!$C$7+[673]Main!$C$8</f>
        <v>-2.5231378202000001</v>
      </c>
      <c r="J675" s="1">
        <f>IF(ISNUMBER([673]Main!$C$11),[673]Main!$C$11,"")</f>
        <v>3.7622815920290194</v>
      </c>
      <c r="K675" s="11">
        <f t="shared" si="10"/>
        <v>4.1922185923668494</v>
      </c>
      <c r="L675" s="12" t="str">
        <f>[673]Main!$C$15&amp;" ("&amp;[673]Main!$C$14&amp;")"</f>
        <v>Net cash (pre-revenue)</v>
      </c>
      <c r="M675" s="13"/>
      <c r="N675" s="17"/>
    </row>
    <row r="676" spans="2:14" x14ac:dyDescent="0.2">
      <c r="B676" s="3" t="s">
        <v>1429</v>
      </c>
      <c r="C676" t="s">
        <v>1430</v>
      </c>
      <c r="D676" t="s">
        <v>15</v>
      </c>
      <c r="E676" s="6" t="s">
        <v>33</v>
      </c>
      <c r="F676" s="1">
        <v>1.33</v>
      </c>
      <c r="G676" s="8">
        <f>F676*[674]Main!$C$4</f>
        <v>0.48604052000000003</v>
      </c>
      <c r="H676" s="10">
        <f>G676-[674]Main!$C$7+[674]Main!$C$8</f>
        <v>-1.05895948</v>
      </c>
      <c r="J676" s="1">
        <f>IF(ISNUMBER([674]Main!$C$11),[674]Main!$C$11,"")</f>
        <v>4.2277339346110487</v>
      </c>
      <c r="K676" s="11">
        <f t="shared" si="10"/>
        <v>2.1787473192564275</v>
      </c>
      <c r="L676" s="12" t="str">
        <f>[674]Main!$C$15&amp;" ("&amp;[674]Main!$C$14&amp;")"</f>
        <v>Net cash (pre-revenue)</v>
      </c>
      <c r="M676" s="13"/>
      <c r="N676" s="17"/>
    </row>
    <row r="677" spans="2:14" x14ac:dyDescent="0.2">
      <c r="B677" s="3" t="s">
        <v>1431</v>
      </c>
      <c r="C677" t="s">
        <v>1432</v>
      </c>
      <c r="D677" t="s">
        <v>15</v>
      </c>
      <c r="E677" s="6" t="s">
        <v>33</v>
      </c>
      <c r="F677" s="1">
        <v>6.5299999999999997E-2</v>
      </c>
      <c r="G677" s="8">
        <f>F677*[675]Main!$C$4</f>
        <v>6.2562428099999998E-2</v>
      </c>
      <c r="H677" s="10">
        <f>G677-[675]Main!$C$7+[675]Main!$C$8</f>
        <v>-27.1137375719</v>
      </c>
      <c r="J677" s="1">
        <f>IF(ISNUMBER([675]Main!$C$11),[675]Main!$C$11,"")</f>
        <v>28.36546540622518</v>
      </c>
      <c r="K677" s="11">
        <f t="shared" si="10"/>
        <v>433.38691280589865</v>
      </c>
      <c r="L677" s="12" t="str">
        <f>[675]Main!$C$15&amp;" ("&amp;[675]Main!$C$14&amp;")"</f>
        <v>Net cash (pre-revenue)</v>
      </c>
      <c r="M677" s="13"/>
      <c r="N677" s="17"/>
    </row>
  </sheetData>
  <autoFilter ref="B2:N677" xr:uid="{00000000-0009-0000-0000-000000000000}">
    <sortState xmlns:xlrd2="http://schemas.microsoft.com/office/spreadsheetml/2017/richdata2" ref="B3:P705">
      <sortCondition descending="1" ref="G2:G705"/>
    </sortState>
  </autoFilter>
  <conditionalFormatting sqref="K3:K677">
    <cfRule type="expression" dxfId="1" priority="1" stopIfTrue="1">
      <formula>AND(ISNUMBER(K3),K3&lt;0)</formula>
    </cfRule>
    <cfRule type="expression" dxfId="0" priority="2" stopIfTrue="1">
      <formula>AND(ISNUMBER(K3),K3&gt;0)</formula>
    </cfRule>
  </conditionalFormatting>
  <hyperlinks>
    <hyperlink ref="B3" r:id="rId1" xr:uid="{00000000-0004-0000-0000-000000000000}"/>
    <hyperlink ref="B4" r:id="rId2" xr:uid="{00000000-0004-0000-0000-000001000000}"/>
    <hyperlink ref="B5" r:id="rId3" xr:uid="{00000000-0004-0000-0000-000002000000}"/>
    <hyperlink ref="B6" r:id="rId4" xr:uid="{00000000-0004-0000-0000-000003000000}"/>
    <hyperlink ref="B7" r:id="rId5" xr:uid="{00000000-0004-0000-0000-000004000000}"/>
    <hyperlink ref="B8" r:id="rId6" xr:uid="{00000000-0004-0000-0000-000005000000}"/>
    <hyperlink ref="B9" r:id="rId7" xr:uid="{00000000-0004-0000-0000-000006000000}"/>
    <hyperlink ref="B10" r:id="rId8" xr:uid="{00000000-0004-0000-0000-000007000000}"/>
    <hyperlink ref="B11" r:id="rId9" xr:uid="{00000000-0004-0000-0000-000008000000}"/>
    <hyperlink ref="B12" r:id="rId10" xr:uid="{00000000-0004-0000-0000-000009000000}"/>
    <hyperlink ref="B13" r:id="rId11" xr:uid="{00000000-0004-0000-0000-00000A000000}"/>
    <hyperlink ref="B14" r:id="rId12" xr:uid="{00000000-0004-0000-0000-00000B000000}"/>
    <hyperlink ref="B15" r:id="rId13" xr:uid="{00000000-0004-0000-0000-00000C000000}"/>
    <hyperlink ref="B16" r:id="rId14" xr:uid="{00000000-0004-0000-0000-00000D000000}"/>
    <hyperlink ref="B17" r:id="rId15" xr:uid="{00000000-0004-0000-0000-00000E000000}"/>
    <hyperlink ref="B18" r:id="rId16" xr:uid="{00000000-0004-0000-0000-00000F000000}"/>
    <hyperlink ref="B19" r:id="rId17" xr:uid="{00000000-0004-0000-0000-000010000000}"/>
    <hyperlink ref="B20" r:id="rId18" xr:uid="{00000000-0004-0000-0000-000011000000}"/>
    <hyperlink ref="B21" r:id="rId19" xr:uid="{00000000-0004-0000-0000-000012000000}"/>
    <hyperlink ref="B22" r:id="rId20" xr:uid="{00000000-0004-0000-0000-000013000000}"/>
    <hyperlink ref="B23" r:id="rId21" xr:uid="{00000000-0004-0000-0000-000014000000}"/>
    <hyperlink ref="B24" r:id="rId22" xr:uid="{00000000-0004-0000-0000-000015000000}"/>
    <hyperlink ref="B25" r:id="rId23" xr:uid="{00000000-0004-0000-0000-000016000000}"/>
    <hyperlink ref="B26" r:id="rId24" xr:uid="{00000000-0004-0000-0000-000017000000}"/>
    <hyperlink ref="B27" r:id="rId25" xr:uid="{00000000-0004-0000-0000-000018000000}"/>
    <hyperlink ref="B28" r:id="rId26" xr:uid="{00000000-0004-0000-0000-000019000000}"/>
    <hyperlink ref="B29" r:id="rId27" xr:uid="{00000000-0004-0000-0000-00001A000000}"/>
    <hyperlink ref="B30" r:id="rId28" xr:uid="{00000000-0004-0000-0000-00001B000000}"/>
    <hyperlink ref="B31" r:id="rId29" xr:uid="{00000000-0004-0000-0000-00001C000000}"/>
    <hyperlink ref="B32" r:id="rId30" xr:uid="{00000000-0004-0000-0000-00001D000000}"/>
    <hyperlink ref="B33" r:id="rId31" xr:uid="{00000000-0004-0000-0000-00001E000000}"/>
    <hyperlink ref="B34" r:id="rId32" xr:uid="{00000000-0004-0000-0000-00001F000000}"/>
    <hyperlink ref="B35" r:id="rId33" xr:uid="{00000000-0004-0000-0000-000020000000}"/>
    <hyperlink ref="B36" r:id="rId34" xr:uid="{00000000-0004-0000-0000-000021000000}"/>
    <hyperlink ref="B37" r:id="rId35" xr:uid="{00000000-0004-0000-0000-000022000000}"/>
    <hyperlink ref="B38" r:id="rId36" xr:uid="{00000000-0004-0000-0000-000023000000}"/>
    <hyperlink ref="B39" r:id="rId37" xr:uid="{00000000-0004-0000-0000-000024000000}"/>
    <hyperlink ref="B40" r:id="rId38" xr:uid="{00000000-0004-0000-0000-000025000000}"/>
    <hyperlink ref="B41" r:id="rId39" xr:uid="{00000000-0004-0000-0000-000026000000}"/>
    <hyperlink ref="B42" r:id="rId40" xr:uid="{00000000-0004-0000-0000-000027000000}"/>
    <hyperlink ref="B43" r:id="rId41" xr:uid="{00000000-0004-0000-0000-000028000000}"/>
    <hyperlink ref="B44" r:id="rId42" xr:uid="{00000000-0004-0000-0000-000029000000}"/>
    <hyperlink ref="B45" r:id="rId43" xr:uid="{00000000-0004-0000-0000-00002A000000}"/>
    <hyperlink ref="B46" r:id="rId44" xr:uid="{00000000-0004-0000-0000-00002B000000}"/>
    <hyperlink ref="B47" r:id="rId45" xr:uid="{00000000-0004-0000-0000-00002C000000}"/>
    <hyperlink ref="B48" r:id="rId46" xr:uid="{00000000-0004-0000-0000-00002D000000}"/>
    <hyperlink ref="B49" r:id="rId47" xr:uid="{00000000-0004-0000-0000-00002E000000}"/>
    <hyperlink ref="B50" r:id="rId48" xr:uid="{00000000-0004-0000-0000-00002F000000}"/>
    <hyperlink ref="B51" r:id="rId49" xr:uid="{00000000-0004-0000-0000-000030000000}"/>
    <hyperlink ref="B52" r:id="rId50" xr:uid="{00000000-0004-0000-0000-000031000000}"/>
    <hyperlink ref="B53" r:id="rId51" xr:uid="{00000000-0004-0000-0000-000032000000}"/>
    <hyperlink ref="B54" r:id="rId52" xr:uid="{00000000-0004-0000-0000-000033000000}"/>
    <hyperlink ref="B55" r:id="rId53" xr:uid="{00000000-0004-0000-0000-000034000000}"/>
    <hyperlink ref="B56" r:id="rId54" xr:uid="{00000000-0004-0000-0000-000035000000}"/>
    <hyperlink ref="B57" r:id="rId55" xr:uid="{00000000-0004-0000-0000-000036000000}"/>
    <hyperlink ref="B58" r:id="rId56" xr:uid="{00000000-0004-0000-0000-000037000000}"/>
    <hyperlink ref="B59" r:id="rId57" xr:uid="{00000000-0004-0000-0000-000038000000}"/>
    <hyperlink ref="B60" r:id="rId58" xr:uid="{00000000-0004-0000-0000-000039000000}"/>
    <hyperlink ref="B61" r:id="rId59" xr:uid="{00000000-0004-0000-0000-00003A000000}"/>
    <hyperlink ref="B62" r:id="rId60" xr:uid="{00000000-0004-0000-0000-00003B000000}"/>
    <hyperlink ref="B63" r:id="rId61" xr:uid="{00000000-0004-0000-0000-00003C000000}"/>
    <hyperlink ref="B64" r:id="rId62" xr:uid="{00000000-0004-0000-0000-00003D000000}"/>
    <hyperlink ref="B65" r:id="rId63" xr:uid="{00000000-0004-0000-0000-00003E000000}"/>
    <hyperlink ref="B66" r:id="rId64" xr:uid="{00000000-0004-0000-0000-00003F000000}"/>
    <hyperlink ref="B67" r:id="rId65" xr:uid="{00000000-0004-0000-0000-000040000000}"/>
    <hyperlink ref="B68" r:id="rId66" xr:uid="{00000000-0004-0000-0000-000041000000}"/>
    <hyperlink ref="B69" r:id="rId67" xr:uid="{00000000-0004-0000-0000-000042000000}"/>
    <hyperlink ref="B70" r:id="rId68" xr:uid="{00000000-0004-0000-0000-000043000000}"/>
    <hyperlink ref="B71" r:id="rId69" xr:uid="{00000000-0004-0000-0000-000044000000}"/>
    <hyperlink ref="B72" r:id="rId70" xr:uid="{00000000-0004-0000-0000-000045000000}"/>
    <hyperlink ref="B73" r:id="rId71" xr:uid="{00000000-0004-0000-0000-000046000000}"/>
    <hyperlink ref="B74" r:id="rId72" xr:uid="{00000000-0004-0000-0000-000047000000}"/>
    <hyperlink ref="B75" r:id="rId73" xr:uid="{00000000-0004-0000-0000-000048000000}"/>
    <hyperlink ref="B76" r:id="rId74" xr:uid="{00000000-0004-0000-0000-000049000000}"/>
    <hyperlink ref="B77" r:id="rId75" xr:uid="{00000000-0004-0000-0000-00004A000000}"/>
    <hyperlink ref="B78" r:id="rId76" xr:uid="{00000000-0004-0000-0000-00004B000000}"/>
    <hyperlink ref="B79" r:id="rId77" xr:uid="{00000000-0004-0000-0000-00004C000000}"/>
    <hyperlink ref="B80" r:id="rId78" xr:uid="{00000000-0004-0000-0000-00004D000000}"/>
    <hyperlink ref="B81" r:id="rId79" xr:uid="{00000000-0004-0000-0000-00004E000000}"/>
    <hyperlink ref="B82" r:id="rId80" xr:uid="{00000000-0004-0000-0000-00004F000000}"/>
    <hyperlink ref="B83" r:id="rId81" xr:uid="{00000000-0004-0000-0000-000050000000}"/>
    <hyperlink ref="B84" r:id="rId82" xr:uid="{00000000-0004-0000-0000-000051000000}"/>
    <hyperlink ref="B85" r:id="rId83" xr:uid="{00000000-0004-0000-0000-000052000000}"/>
    <hyperlink ref="B86" r:id="rId84" xr:uid="{00000000-0004-0000-0000-000053000000}"/>
    <hyperlink ref="B87" r:id="rId85" xr:uid="{00000000-0004-0000-0000-000054000000}"/>
    <hyperlink ref="B88" r:id="rId86" xr:uid="{00000000-0004-0000-0000-000055000000}"/>
    <hyperlink ref="B89" r:id="rId87" xr:uid="{00000000-0004-0000-0000-000056000000}"/>
    <hyperlink ref="B90" r:id="rId88" xr:uid="{00000000-0004-0000-0000-000057000000}"/>
    <hyperlink ref="B91" r:id="rId89" xr:uid="{00000000-0004-0000-0000-000058000000}"/>
    <hyperlink ref="B92" r:id="rId90" xr:uid="{00000000-0004-0000-0000-000059000000}"/>
    <hyperlink ref="B93" r:id="rId91" xr:uid="{00000000-0004-0000-0000-00005A000000}"/>
    <hyperlink ref="B94" r:id="rId92" xr:uid="{00000000-0004-0000-0000-00005B000000}"/>
    <hyperlink ref="B95" r:id="rId93" xr:uid="{00000000-0004-0000-0000-00005C000000}"/>
    <hyperlink ref="B96" r:id="rId94" xr:uid="{00000000-0004-0000-0000-00005D000000}"/>
    <hyperlink ref="B97" r:id="rId95" xr:uid="{00000000-0004-0000-0000-00005E000000}"/>
    <hyperlink ref="B98" r:id="rId96" xr:uid="{00000000-0004-0000-0000-00005F000000}"/>
    <hyperlink ref="B99" r:id="rId97" xr:uid="{00000000-0004-0000-0000-000060000000}"/>
    <hyperlink ref="B100" r:id="rId98" xr:uid="{00000000-0004-0000-0000-000061000000}"/>
    <hyperlink ref="B101" r:id="rId99" xr:uid="{00000000-0004-0000-0000-000062000000}"/>
    <hyperlink ref="B102" r:id="rId100" xr:uid="{00000000-0004-0000-0000-000063000000}"/>
    <hyperlink ref="B103" r:id="rId101" xr:uid="{00000000-0004-0000-0000-000064000000}"/>
    <hyperlink ref="B104" r:id="rId102" xr:uid="{00000000-0004-0000-0000-000065000000}"/>
    <hyperlink ref="B105" r:id="rId103" xr:uid="{00000000-0004-0000-0000-000066000000}"/>
    <hyperlink ref="B106" r:id="rId104" xr:uid="{00000000-0004-0000-0000-000067000000}"/>
    <hyperlink ref="B107" r:id="rId105" xr:uid="{00000000-0004-0000-0000-000068000000}"/>
    <hyperlink ref="B108" r:id="rId106" xr:uid="{00000000-0004-0000-0000-000069000000}"/>
    <hyperlink ref="B109" r:id="rId107" xr:uid="{00000000-0004-0000-0000-00006A000000}"/>
    <hyperlink ref="B110" r:id="rId108" xr:uid="{00000000-0004-0000-0000-00006B000000}"/>
    <hyperlink ref="B111" r:id="rId109" xr:uid="{00000000-0004-0000-0000-00006C000000}"/>
    <hyperlink ref="B112" r:id="rId110" xr:uid="{00000000-0004-0000-0000-00006D000000}"/>
    <hyperlink ref="B113" r:id="rId111" xr:uid="{00000000-0004-0000-0000-00006E000000}"/>
    <hyperlink ref="B114" r:id="rId112" xr:uid="{00000000-0004-0000-0000-00006F000000}"/>
    <hyperlink ref="B115" r:id="rId113" xr:uid="{00000000-0004-0000-0000-000070000000}"/>
    <hyperlink ref="B116" r:id="rId114" xr:uid="{00000000-0004-0000-0000-000071000000}"/>
    <hyperlink ref="B117" r:id="rId115" xr:uid="{00000000-0004-0000-0000-000072000000}"/>
    <hyperlink ref="B118" r:id="rId116" xr:uid="{00000000-0004-0000-0000-000073000000}"/>
    <hyperlink ref="B119" r:id="rId117" xr:uid="{00000000-0004-0000-0000-000074000000}"/>
    <hyperlink ref="B120" r:id="rId118" xr:uid="{00000000-0004-0000-0000-000075000000}"/>
    <hyperlink ref="B121" r:id="rId119" xr:uid="{00000000-0004-0000-0000-000076000000}"/>
    <hyperlink ref="B122" r:id="rId120" xr:uid="{00000000-0004-0000-0000-000077000000}"/>
    <hyperlink ref="B123" r:id="rId121" xr:uid="{00000000-0004-0000-0000-000078000000}"/>
    <hyperlink ref="B124" r:id="rId122" xr:uid="{00000000-0004-0000-0000-000079000000}"/>
    <hyperlink ref="B125" r:id="rId123" xr:uid="{00000000-0004-0000-0000-00007A000000}"/>
    <hyperlink ref="B126" r:id="rId124" xr:uid="{00000000-0004-0000-0000-00007B000000}"/>
    <hyperlink ref="B127" r:id="rId125" xr:uid="{00000000-0004-0000-0000-00007C000000}"/>
    <hyperlink ref="B128" r:id="rId126" xr:uid="{00000000-0004-0000-0000-00007D000000}"/>
    <hyperlink ref="B129" r:id="rId127" xr:uid="{00000000-0004-0000-0000-00007E000000}"/>
    <hyperlink ref="B130" r:id="rId128" xr:uid="{00000000-0004-0000-0000-00007F000000}"/>
    <hyperlink ref="B131" r:id="rId129" xr:uid="{00000000-0004-0000-0000-000080000000}"/>
    <hyperlink ref="B132" r:id="rId130" xr:uid="{00000000-0004-0000-0000-000081000000}"/>
    <hyperlink ref="B133" r:id="rId131" xr:uid="{00000000-0004-0000-0000-000082000000}"/>
    <hyperlink ref="B134" r:id="rId132" xr:uid="{00000000-0004-0000-0000-000083000000}"/>
    <hyperlink ref="B135" r:id="rId133" xr:uid="{00000000-0004-0000-0000-000084000000}"/>
    <hyperlink ref="B136" r:id="rId134" xr:uid="{00000000-0004-0000-0000-000085000000}"/>
    <hyperlink ref="B137" r:id="rId135" xr:uid="{00000000-0004-0000-0000-000086000000}"/>
    <hyperlink ref="B138" r:id="rId136" xr:uid="{00000000-0004-0000-0000-000087000000}"/>
    <hyperlink ref="B139" r:id="rId137" xr:uid="{00000000-0004-0000-0000-000088000000}"/>
    <hyperlink ref="B140" r:id="rId138" xr:uid="{00000000-0004-0000-0000-000089000000}"/>
    <hyperlink ref="B141" r:id="rId139" xr:uid="{00000000-0004-0000-0000-00008A000000}"/>
    <hyperlink ref="B142" r:id="rId140" xr:uid="{00000000-0004-0000-0000-00008B000000}"/>
    <hyperlink ref="B143" r:id="rId141" xr:uid="{00000000-0004-0000-0000-00008C000000}"/>
    <hyperlink ref="B144" r:id="rId142" xr:uid="{00000000-0004-0000-0000-00008D000000}"/>
    <hyperlink ref="B145" r:id="rId143" xr:uid="{00000000-0004-0000-0000-00008E000000}"/>
    <hyperlink ref="B146" r:id="rId144" xr:uid="{00000000-0004-0000-0000-00008F000000}"/>
    <hyperlink ref="B147" r:id="rId145" xr:uid="{00000000-0004-0000-0000-000090000000}"/>
    <hyperlink ref="B148" r:id="rId146" xr:uid="{00000000-0004-0000-0000-000091000000}"/>
    <hyperlink ref="B149" r:id="rId147" xr:uid="{00000000-0004-0000-0000-000092000000}"/>
    <hyperlink ref="B150" r:id="rId148" xr:uid="{00000000-0004-0000-0000-000093000000}"/>
    <hyperlink ref="B151" r:id="rId149" xr:uid="{00000000-0004-0000-0000-000094000000}"/>
    <hyperlink ref="B152" r:id="rId150" xr:uid="{00000000-0004-0000-0000-000095000000}"/>
    <hyperlink ref="B153" r:id="rId151" xr:uid="{00000000-0004-0000-0000-000096000000}"/>
    <hyperlink ref="B154" r:id="rId152" xr:uid="{00000000-0004-0000-0000-000097000000}"/>
    <hyperlink ref="B155" r:id="rId153" xr:uid="{00000000-0004-0000-0000-000098000000}"/>
    <hyperlink ref="B156" r:id="rId154" xr:uid="{00000000-0004-0000-0000-000099000000}"/>
    <hyperlink ref="B157" r:id="rId155" xr:uid="{00000000-0004-0000-0000-00009A000000}"/>
    <hyperlink ref="B158" r:id="rId156" xr:uid="{00000000-0004-0000-0000-00009B000000}"/>
    <hyperlink ref="B159" r:id="rId157" xr:uid="{00000000-0004-0000-0000-00009C000000}"/>
    <hyperlink ref="B160" r:id="rId158" xr:uid="{00000000-0004-0000-0000-00009D000000}"/>
    <hyperlink ref="B161" r:id="rId159" xr:uid="{00000000-0004-0000-0000-00009E000000}"/>
    <hyperlink ref="B162" r:id="rId160" xr:uid="{00000000-0004-0000-0000-00009F000000}"/>
    <hyperlink ref="B163" r:id="rId161" xr:uid="{00000000-0004-0000-0000-0000A0000000}"/>
    <hyperlink ref="B164" r:id="rId162" xr:uid="{00000000-0004-0000-0000-0000A1000000}"/>
    <hyperlink ref="B165" r:id="rId163" xr:uid="{00000000-0004-0000-0000-0000A2000000}"/>
    <hyperlink ref="B166" r:id="rId164" xr:uid="{00000000-0004-0000-0000-0000A3000000}"/>
    <hyperlink ref="B167" r:id="rId165" xr:uid="{00000000-0004-0000-0000-0000A4000000}"/>
    <hyperlink ref="B168" r:id="rId166" xr:uid="{00000000-0004-0000-0000-0000A5000000}"/>
    <hyperlink ref="B169" r:id="rId167" xr:uid="{00000000-0004-0000-0000-0000A6000000}"/>
    <hyperlink ref="B170" r:id="rId168" xr:uid="{00000000-0004-0000-0000-0000A7000000}"/>
    <hyperlink ref="B171" r:id="rId169" xr:uid="{00000000-0004-0000-0000-0000A8000000}"/>
    <hyperlink ref="B172" r:id="rId170" xr:uid="{00000000-0004-0000-0000-0000A9000000}"/>
    <hyperlink ref="B173" r:id="rId171" xr:uid="{00000000-0004-0000-0000-0000AA000000}"/>
    <hyperlink ref="B174" r:id="rId172" xr:uid="{00000000-0004-0000-0000-0000AB000000}"/>
    <hyperlink ref="B175" r:id="rId173" xr:uid="{00000000-0004-0000-0000-0000AC000000}"/>
    <hyperlink ref="B176" r:id="rId174" xr:uid="{00000000-0004-0000-0000-0000AD000000}"/>
    <hyperlink ref="B177" r:id="rId175" xr:uid="{00000000-0004-0000-0000-0000AE000000}"/>
    <hyperlink ref="B178" r:id="rId176" xr:uid="{00000000-0004-0000-0000-0000AF000000}"/>
    <hyperlink ref="B179" r:id="rId177" xr:uid="{00000000-0004-0000-0000-0000B0000000}"/>
    <hyperlink ref="B180" r:id="rId178" xr:uid="{00000000-0004-0000-0000-0000B1000000}"/>
    <hyperlink ref="B181" r:id="rId179" xr:uid="{00000000-0004-0000-0000-0000B2000000}"/>
    <hyperlink ref="B182" r:id="rId180" xr:uid="{00000000-0004-0000-0000-0000B3000000}"/>
    <hyperlink ref="B183" r:id="rId181" xr:uid="{00000000-0004-0000-0000-0000B4000000}"/>
    <hyperlink ref="B184" r:id="rId182" xr:uid="{00000000-0004-0000-0000-0000B5000000}"/>
    <hyperlink ref="B185" r:id="rId183" xr:uid="{00000000-0004-0000-0000-0000B6000000}"/>
    <hyperlink ref="B186" r:id="rId184" xr:uid="{00000000-0004-0000-0000-0000B7000000}"/>
    <hyperlink ref="B187" r:id="rId185" xr:uid="{00000000-0004-0000-0000-0000B8000000}"/>
    <hyperlink ref="B188" r:id="rId186" xr:uid="{00000000-0004-0000-0000-0000B9000000}"/>
    <hyperlink ref="B189" r:id="rId187" xr:uid="{00000000-0004-0000-0000-0000BA000000}"/>
    <hyperlink ref="B190" r:id="rId188" xr:uid="{00000000-0004-0000-0000-0000BB000000}"/>
    <hyperlink ref="B191" r:id="rId189" xr:uid="{00000000-0004-0000-0000-0000BC000000}"/>
    <hyperlink ref="B192" r:id="rId190" xr:uid="{00000000-0004-0000-0000-0000BD000000}"/>
    <hyperlink ref="B193" r:id="rId191" xr:uid="{00000000-0004-0000-0000-0000BE000000}"/>
    <hyperlink ref="B194" r:id="rId192" xr:uid="{00000000-0004-0000-0000-0000BF000000}"/>
    <hyperlink ref="B195" r:id="rId193" xr:uid="{00000000-0004-0000-0000-0000C0000000}"/>
    <hyperlink ref="B196" r:id="rId194" xr:uid="{00000000-0004-0000-0000-0000C1000000}"/>
    <hyperlink ref="B197" r:id="rId195" xr:uid="{00000000-0004-0000-0000-0000C2000000}"/>
    <hyperlink ref="B198" r:id="rId196" xr:uid="{00000000-0004-0000-0000-0000C3000000}"/>
    <hyperlink ref="B199" r:id="rId197" xr:uid="{00000000-0004-0000-0000-0000C4000000}"/>
    <hyperlink ref="B200" r:id="rId198" xr:uid="{00000000-0004-0000-0000-0000C5000000}"/>
    <hyperlink ref="B201" r:id="rId199" xr:uid="{00000000-0004-0000-0000-0000C6000000}"/>
    <hyperlink ref="B202" r:id="rId200" xr:uid="{00000000-0004-0000-0000-0000C7000000}"/>
    <hyperlink ref="B203" r:id="rId201" xr:uid="{00000000-0004-0000-0000-0000C8000000}"/>
    <hyperlink ref="B204" r:id="rId202" xr:uid="{00000000-0004-0000-0000-0000C9000000}"/>
    <hyperlink ref="B205" r:id="rId203" xr:uid="{00000000-0004-0000-0000-0000CA000000}"/>
    <hyperlink ref="B206" r:id="rId204" xr:uid="{00000000-0004-0000-0000-0000CB000000}"/>
    <hyperlink ref="B207" r:id="rId205" xr:uid="{00000000-0004-0000-0000-0000CC000000}"/>
    <hyperlink ref="B208" r:id="rId206" xr:uid="{00000000-0004-0000-0000-0000CD000000}"/>
    <hyperlink ref="B209" r:id="rId207" xr:uid="{00000000-0004-0000-0000-0000CE000000}"/>
    <hyperlink ref="B210" r:id="rId208" xr:uid="{00000000-0004-0000-0000-0000CF000000}"/>
    <hyperlink ref="B211" r:id="rId209" xr:uid="{00000000-0004-0000-0000-0000D0000000}"/>
    <hyperlink ref="B212" r:id="rId210" xr:uid="{00000000-0004-0000-0000-0000D1000000}"/>
    <hyperlink ref="B213" r:id="rId211" xr:uid="{00000000-0004-0000-0000-0000D2000000}"/>
    <hyperlink ref="B214" r:id="rId212" xr:uid="{00000000-0004-0000-0000-0000D3000000}"/>
    <hyperlink ref="B215" r:id="rId213" xr:uid="{00000000-0004-0000-0000-0000D4000000}"/>
    <hyperlink ref="B216" r:id="rId214" xr:uid="{00000000-0004-0000-0000-0000D5000000}"/>
    <hyperlink ref="B217" r:id="rId215" xr:uid="{00000000-0004-0000-0000-0000D6000000}"/>
    <hyperlink ref="B218" r:id="rId216" xr:uid="{00000000-0004-0000-0000-0000D7000000}"/>
    <hyperlink ref="B219" r:id="rId217" xr:uid="{00000000-0004-0000-0000-0000D8000000}"/>
    <hyperlink ref="B220" r:id="rId218" xr:uid="{00000000-0004-0000-0000-0000D9000000}"/>
    <hyperlink ref="B221" r:id="rId219" xr:uid="{00000000-0004-0000-0000-0000DA000000}"/>
    <hyperlink ref="B222" r:id="rId220" xr:uid="{00000000-0004-0000-0000-0000DB000000}"/>
    <hyperlink ref="B223" r:id="rId221" xr:uid="{00000000-0004-0000-0000-0000DC000000}"/>
    <hyperlink ref="B224" r:id="rId222" xr:uid="{00000000-0004-0000-0000-0000DD000000}"/>
    <hyperlink ref="B225" r:id="rId223" xr:uid="{00000000-0004-0000-0000-0000DE000000}"/>
    <hyperlink ref="B226" r:id="rId224" xr:uid="{00000000-0004-0000-0000-0000DF000000}"/>
    <hyperlink ref="B227" r:id="rId225" xr:uid="{00000000-0004-0000-0000-0000E0000000}"/>
    <hyperlink ref="B228" r:id="rId226" xr:uid="{00000000-0004-0000-0000-0000E1000000}"/>
    <hyperlink ref="B229" r:id="rId227" xr:uid="{00000000-0004-0000-0000-0000E2000000}"/>
    <hyperlink ref="B230" r:id="rId228" xr:uid="{00000000-0004-0000-0000-0000E3000000}"/>
    <hyperlink ref="B231" r:id="rId229" xr:uid="{00000000-0004-0000-0000-0000E4000000}"/>
    <hyperlink ref="B232" r:id="rId230" xr:uid="{00000000-0004-0000-0000-0000E5000000}"/>
    <hyperlink ref="B233" r:id="rId231" xr:uid="{00000000-0004-0000-0000-0000E6000000}"/>
    <hyperlink ref="B234" r:id="rId232" xr:uid="{00000000-0004-0000-0000-0000E7000000}"/>
    <hyperlink ref="B235" r:id="rId233" xr:uid="{00000000-0004-0000-0000-0000E8000000}"/>
    <hyperlink ref="B236" r:id="rId234" xr:uid="{00000000-0004-0000-0000-0000E9000000}"/>
    <hyperlink ref="B237" r:id="rId235" xr:uid="{00000000-0004-0000-0000-0000EA000000}"/>
    <hyperlink ref="B238" r:id="rId236" xr:uid="{00000000-0004-0000-0000-0000EB000000}"/>
    <hyperlink ref="B239" r:id="rId237" xr:uid="{00000000-0004-0000-0000-0000EC000000}"/>
    <hyperlink ref="B240" r:id="rId238" xr:uid="{00000000-0004-0000-0000-0000ED000000}"/>
    <hyperlink ref="B241" r:id="rId239" xr:uid="{00000000-0004-0000-0000-0000EE000000}"/>
    <hyperlink ref="B242" r:id="rId240" xr:uid="{00000000-0004-0000-0000-0000EF000000}"/>
    <hyperlink ref="B243" r:id="rId241" xr:uid="{00000000-0004-0000-0000-0000F0000000}"/>
    <hyperlink ref="B244" r:id="rId242" xr:uid="{00000000-0004-0000-0000-0000F1000000}"/>
    <hyperlink ref="B245" r:id="rId243" xr:uid="{00000000-0004-0000-0000-0000F2000000}"/>
    <hyperlink ref="B246" r:id="rId244" xr:uid="{00000000-0004-0000-0000-0000F3000000}"/>
    <hyperlink ref="B247" r:id="rId245" xr:uid="{00000000-0004-0000-0000-0000F4000000}"/>
    <hyperlink ref="B248" r:id="rId246" xr:uid="{00000000-0004-0000-0000-0000F5000000}"/>
    <hyperlink ref="B249" r:id="rId247" xr:uid="{00000000-0004-0000-0000-0000F6000000}"/>
    <hyperlink ref="B250" r:id="rId248" xr:uid="{00000000-0004-0000-0000-0000F7000000}"/>
    <hyperlink ref="B251" r:id="rId249" xr:uid="{00000000-0004-0000-0000-0000F8000000}"/>
    <hyperlink ref="B252" r:id="rId250" xr:uid="{00000000-0004-0000-0000-0000F9000000}"/>
    <hyperlink ref="B253" r:id="rId251" xr:uid="{00000000-0004-0000-0000-0000FA000000}"/>
    <hyperlink ref="B254" r:id="rId252" xr:uid="{00000000-0004-0000-0000-0000FB000000}"/>
    <hyperlink ref="B255" r:id="rId253" xr:uid="{00000000-0004-0000-0000-0000FC000000}"/>
    <hyperlink ref="B256" r:id="rId254" xr:uid="{00000000-0004-0000-0000-0000FD000000}"/>
    <hyperlink ref="B257" r:id="rId255" xr:uid="{00000000-0004-0000-0000-0000FE000000}"/>
    <hyperlink ref="B258" r:id="rId256" xr:uid="{00000000-0004-0000-0000-0000FF000000}"/>
    <hyperlink ref="B259" r:id="rId257" xr:uid="{00000000-0004-0000-0000-000000010000}"/>
    <hyperlink ref="B260" r:id="rId258" xr:uid="{00000000-0004-0000-0000-000001010000}"/>
    <hyperlink ref="B261" r:id="rId259" xr:uid="{00000000-0004-0000-0000-000002010000}"/>
    <hyperlink ref="B262" r:id="rId260" xr:uid="{00000000-0004-0000-0000-000003010000}"/>
    <hyperlink ref="B263" r:id="rId261" xr:uid="{00000000-0004-0000-0000-000004010000}"/>
    <hyperlink ref="B264" r:id="rId262" xr:uid="{00000000-0004-0000-0000-000005010000}"/>
    <hyperlink ref="B265" r:id="rId263" xr:uid="{00000000-0004-0000-0000-000006010000}"/>
    <hyperlink ref="B266" r:id="rId264" xr:uid="{00000000-0004-0000-0000-000007010000}"/>
    <hyperlink ref="B267" r:id="rId265" xr:uid="{00000000-0004-0000-0000-000008010000}"/>
    <hyperlink ref="B268" r:id="rId266" xr:uid="{00000000-0004-0000-0000-000009010000}"/>
    <hyperlink ref="B269" r:id="rId267" xr:uid="{00000000-0004-0000-0000-00000A010000}"/>
    <hyperlink ref="B270" r:id="rId268" xr:uid="{00000000-0004-0000-0000-00000B010000}"/>
    <hyperlink ref="B271" r:id="rId269" xr:uid="{00000000-0004-0000-0000-00000C010000}"/>
    <hyperlink ref="B272" r:id="rId270" xr:uid="{00000000-0004-0000-0000-00000D010000}"/>
    <hyperlink ref="B273" r:id="rId271" xr:uid="{00000000-0004-0000-0000-00000E010000}"/>
    <hyperlink ref="B274" r:id="rId272" xr:uid="{00000000-0004-0000-0000-00000F010000}"/>
    <hyperlink ref="B275" r:id="rId273" xr:uid="{00000000-0004-0000-0000-000010010000}"/>
    <hyperlink ref="B276" r:id="rId274" xr:uid="{00000000-0004-0000-0000-000011010000}"/>
    <hyperlink ref="B277" r:id="rId275" xr:uid="{00000000-0004-0000-0000-000012010000}"/>
    <hyperlink ref="B278" r:id="rId276" xr:uid="{00000000-0004-0000-0000-000013010000}"/>
    <hyperlink ref="B279" r:id="rId277" xr:uid="{00000000-0004-0000-0000-000014010000}"/>
    <hyperlink ref="B280" r:id="rId278" xr:uid="{00000000-0004-0000-0000-000015010000}"/>
    <hyperlink ref="B281" r:id="rId279" xr:uid="{00000000-0004-0000-0000-000016010000}"/>
    <hyperlink ref="B282" r:id="rId280" xr:uid="{00000000-0004-0000-0000-000017010000}"/>
    <hyperlink ref="B283" r:id="rId281" xr:uid="{00000000-0004-0000-0000-000018010000}"/>
    <hyperlink ref="B284" r:id="rId282" xr:uid="{00000000-0004-0000-0000-000019010000}"/>
    <hyperlink ref="B285" r:id="rId283" xr:uid="{00000000-0004-0000-0000-00001A010000}"/>
    <hyperlink ref="B286" r:id="rId284" xr:uid="{00000000-0004-0000-0000-00001B010000}"/>
    <hyperlink ref="B287" r:id="rId285" xr:uid="{00000000-0004-0000-0000-00001C010000}"/>
    <hyperlink ref="B288" r:id="rId286" xr:uid="{00000000-0004-0000-0000-00001D010000}"/>
    <hyperlink ref="B289" r:id="rId287" xr:uid="{00000000-0004-0000-0000-00001E010000}"/>
    <hyperlink ref="B290" r:id="rId288" xr:uid="{00000000-0004-0000-0000-00001F010000}"/>
    <hyperlink ref="B291" r:id="rId289" xr:uid="{00000000-0004-0000-0000-000020010000}"/>
    <hyperlink ref="B292" r:id="rId290" xr:uid="{00000000-0004-0000-0000-000021010000}"/>
    <hyperlink ref="B293" r:id="rId291" xr:uid="{00000000-0004-0000-0000-000022010000}"/>
    <hyperlink ref="B294" r:id="rId292" xr:uid="{00000000-0004-0000-0000-000023010000}"/>
    <hyperlink ref="B295" r:id="rId293" xr:uid="{00000000-0004-0000-0000-000024010000}"/>
    <hyperlink ref="B296" r:id="rId294" xr:uid="{00000000-0004-0000-0000-000025010000}"/>
    <hyperlink ref="B297" r:id="rId295" xr:uid="{00000000-0004-0000-0000-000026010000}"/>
    <hyperlink ref="B298" r:id="rId296" xr:uid="{00000000-0004-0000-0000-000027010000}"/>
    <hyperlink ref="B299" r:id="rId297" xr:uid="{00000000-0004-0000-0000-000028010000}"/>
    <hyperlink ref="B300" r:id="rId298" xr:uid="{00000000-0004-0000-0000-000029010000}"/>
    <hyperlink ref="B301" r:id="rId299" xr:uid="{00000000-0004-0000-0000-00002A010000}"/>
    <hyperlink ref="B302" r:id="rId300" xr:uid="{00000000-0004-0000-0000-00002B010000}"/>
    <hyperlink ref="B303" r:id="rId301" xr:uid="{00000000-0004-0000-0000-00002C010000}"/>
    <hyperlink ref="B304" r:id="rId302" xr:uid="{00000000-0004-0000-0000-00002D010000}"/>
    <hyperlink ref="B305" r:id="rId303" xr:uid="{00000000-0004-0000-0000-00002E010000}"/>
    <hyperlink ref="B306" r:id="rId304" xr:uid="{00000000-0004-0000-0000-00002F010000}"/>
    <hyperlink ref="B307" r:id="rId305" xr:uid="{00000000-0004-0000-0000-000030010000}"/>
    <hyperlink ref="B308" r:id="rId306" xr:uid="{00000000-0004-0000-0000-000031010000}"/>
    <hyperlink ref="B309" r:id="rId307" xr:uid="{00000000-0004-0000-0000-000032010000}"/>
    <hyperlink ref="B310" r:id="rId308" xr:uid="{00000000-0004-0000-0000-000033010000}"/>
    <hyperlink ref="B311" r:id="rId309" xr:uid="{00000000-0004-0000-0000-000034010000}"/>
    <hyperlink ref="B312" r:id="rId310" xr:uid="{00000000-0004-0000-0000-000035010000}"/>
    <hyperlink ref="B313" r:id="rId311" xr:uid="{00000000-0004-0000-0000-000036010000}"/>
    <hyperlink ref="B314" r:id="rId312" xr:uid="{00000000-0004-0000-0000-000037010000}"/>
    <hyperlink ref="B315" r:id="rId313" xr:uid="{00000000-0004-0000-0000-000038010000}"/>
    <hyperlink ref="B316" r:id="rId314" xr:uid="{00000000-0004-0000-0000-000039010000}"/>
    <hyperlink ref="B317" r:id="rId315" xr:uid="{00000000-0004-0000-0000-00003A010000}"/>
    <hyperlink ref="B318" r:id="rId316" xr:uid="{00000000-0004-0000-0000-00003B010000}"/>
    <hyperlink ref="B319" r:id="rId317" xr:uid="{00000000-0004-0000-0000-00003C010000}"/>
    <hyperlink ref="B320" r:id="rId318" xr:uid="{00000000-0004-0000-0000-00003D010000}"/>
    <hyperlink ref="B321" r:id="rId319" xr:uid="{00000000-0004-0000-0000-00003E010000}"/>
    <hyperlink ref="B322" r:id="rId320" xr:uid="{00000000-0004-0000-0000-00003F010000}"/>
    <hyperlink ref="B323" r:id="rId321" xr:uid="{00000000-0004-0000-0000-000040010000}"/>
    <hyperlink ref="B324" r:id="rId322" xr:uid="{00000000-0004-0000-0000-000041010000}"/>
    <hyperlink ref="B325" r:id="rId323" xr:uid="{00000000-0004-0000-0000-000042010000}"/>
    <hyperlink ref="B326" r:id="rId324" xr:uid="{00000000-0004-0000-0000-000043010000}"/>
    <hyperlink ref="B327" r:id="rId325" xr:uid="{00000000-0004-0000-0000-000044010000}"/>
    <hyperlink ref="B328" r:id="rId326" xr:uid="{00000000-0004-0000-0000-000045010000}"/>
    <hyperlink ref="B329" r:id="rId327" xr:uid="{00000000-0004-0000-0000-000046010000}"/>
    <hyperlink ref="B330" r:id="rId328" xr:uid="{00000000-0004-0000-0000-000047010000}"/>
    <hyperlink ref="B331" r:id="rId329" xr:uid="{00000000-0004-0000-0000-000048010000}"/>
    <hyperlink ref="B332" r:id="rId330" xr:uid="{00000000-0004-0000-0000-000049010000}"/>
    <hyperlink ref="B333" r:id="rId331" xr:uid="{00000000-0004-0000-0000-00004A010000}"/>
    <hyperlink ref="B334" r:id="rId332" xr:uid="{00000000-0004-0000-0000-00004B010000}"/>
    <hyperlink ref="B335" r:id="rId333" xr:uid="{00000000-0004-0000-0000-00004C010000}"/>
    <hyperlink ref="B336" r:id="rId334" xr:uid="{00000000-0004-0000-0000-00004D010000}"/>
    <hyperlink ref="B337" r:id="rId335" xr:uid="{00000000-0004-0000-0000-00004E010000}"/>
    <hyperlink ref="B338" r:id="rId336" xr:uid="{00000000-0004-0000-0000-00004F010000}"/>
    <hyperlink ref="B339" r:id="rId337" xr:uid="{00000000-0004-0000-0000-000050010000}"/>
    <hyperlink ref="B340" r:id="rId338" xr:uid="{00000000-0004-0000-0000-000051010000}"/>
    <hyperlink ref="B341" r:id="rId339" xr:uid="{00000000-0004-0000-0000-000052010000}"/>
    <hyperlink ref="B342" r:id="rId340" xr:uid="{00000000-0004-0000-0000-000053010000}"/>
    <hyperlink ref="B343" r:id="rId341" xr:uid="{00000000-0004-0000-0000-000054010000}"/>
    <hyperlink ref="B344" r:id="rId342" xr:uid="{00000000-0004-0000-0000-000055010000}"/>
    <hyperlink ref="B345" r:id="rId343" xr:uid="{00000000-0004-0000-0000-000056010000}"/>
    <hyperlink ref="B346" r:id="rId344" xr:uid="{00000000-0004-0000-0000-000057010000}"/>
    <hyperlink ref="B347" r:id="rId345" xr:uid="{00000000-0004-0000-0000-000058010000}"/>
    <hyperlink ref="B348" r:id="rId346" xr:uid="{00000000-0004-0000-0000-000059010000}"/>
    <hyperlink ref="B349" r:id="rId347" xr:uid="{00000000-0004-0000-0000-00005A010000}"/>
    <hyperlink ref="B350" r:id="rId348" xr:uid="{00000000-0004-0000-0000-00005B010000}"/>
    <hyperlink ref="B351" r:id="rId349" xr:uid="{00000000-0004-0000-0000-00005C010000}"/>
    <hyperlink ref="B352" r:id="rId350" xr:uid="{00000000-0004-0000-0000-00005D010000}"/>
    <hyperlink ref="B353" r:id="rId351" xr:uid="{00000000-0004-0000-0000-00005E010000}"/>
    <hyperlink ref="B354" r:id="rId352" xr:uid="{00000000-0004-0000-0000-00005F010000}"/>
    <hyperlink ref="B355" r:id="rId353" xr:uid="{00000000-0004-0000-0000-000060010000}"/>
    <hyperlink ref="B356" r:id="rId354" xr:uid="{00000000-0004-0000-0000-000061010000}"/>
    <hyperlink ref="B357" r:id="rId355" xr:uid="{00000000-0004-0000-0000-000062010000}"/>
    <hyperlink ref="B358" r:id="rId356" xr:uid="{00000000-0004-0000-0000-000063010000}"/>
    <hyperlink ref="B359" r:id="rId357" xr:uid="{00000000-0004-0000-0000-000064010000}"/>
    <hyperlink ref="B360" r:id="rId358" xr:uid="{00000000-0004-0000-0000-000065010000}"/>
    <hyperlink ref="B361" r:id="rId359" xr:uid="{00000000-0004-0000-0000-000066010000}"/>
    <hyperlink ref="B362" r:id="rId360" xr:uid="{00000000-0004-0000-0000-000067010000}"/>
    <hyperlink ref="B363" r:id="rId361" xr:uid="{00000000-0004-0000-0000-000068010000}"/>
    <hyperlink ref="B364" r:id="rId362" xr:uid="{00000000-0004-0000-0000-000069010000}"/>
    <hyperlink ref="B365" r:id="rId363" xr:uid="{00000000-0004-0000-0000-00006A010000}"/>
    <hyperlink ref="B366" r:id="rId364" xr:uid="{00000000-0004-0000-0000-00006B010000}"/>
    <hyperlink ref="B367" r:id="rId365" xr:uid="{00000000-0004-0000-0000-00006C010000}"/>
    <hyperlink ref="B368" r:id="rId366" xr:uid="{00000000-0004-0000-0000-00006D010000}"/>
    <hyperlink ref="B369" r:id="rId367" xr:uid="{00000000-0004-0000-0000-00006E010000}"/>
    <hyperlink ref="B370" r:id="rId368" xr:uid="{00000000-0004-0000-0000-00006F010000}"/>
    <hyperlink ref="B371" r:id="rId369" xr:uid="{00000000-0004-0000-0000-000070010000}"/>
    <hyperlink ref="B372" r:id="rId370" xr:uid="{00000000-0004-0000-0000-000071010000}"/>
    <hyperlink ref="B373" r:id="rId371" xr:uid="{00000000-0004-0000-0000-000072010000}"/>
    <hyperlink ref="B374" r:id="rId372" xr:uid="{00000000-0004-0000-0000-000073010000}"/>
    <hyperlink ref="B375" r:id="rId373" xr:uid="{00000000-0004-0000-0000-000074010000}"/>
    <hyperlink ref="B376" r:id="rId374" xr:uid="{00000000-0004-0000-0000-000075010000}"/>
    <hyperlink ref="B377" r:id="rId375" xr:uid="{00000000-0004-0000-0000-000076010000}"/>
    <hyperlink ref="B378" r:id="rId376" xr:uid="{00000000-0004-0000-0000-000077010000}"/>
    <hyperlink ref="B379" r:id="rId377" xr:uid="{00000000-0004-0000-0000-000078010000}"/>
    <hyperlink ref="B380" r:id="rId378" xr:uid="{00000000-0004-0000-0000-000079010000}"/>
    <hyperlink ref="B381" r:id="rId379" xr:uid="{00000000-0004-0000-0000-00007A010000}"/>
    <hyperlink ref="B382" r:id="rId380" xr:uid="{00000000-0004-0000-0000-00007B010000}"/>
    <hyperlink ref="B383" r:id="rId381" xr:uid="{00000000-0004-0000-0000-00007C010000}"/>
    <hyperlink ref="B384" r:id="rId382" xr:uid="{00000000-0004-0000-0000-00007D010000}"/>
    <hyperlink ref="B385" r:id="rId383" xr:uid="{00000000-0004-0000-0000-00007E010000}"/>
    <hyperlink ref="B386" r:id="rId384" xr:uid="{00000000-0004-0000-0000-00007F010000}"/>
    <hyperlink ref="B387" r:id="rId385" xr:uid="{00000000-0004-0000-0000-000080010000}"/>
    <hyperlink ref="B388" r:id="rId386" xr:uid="{00000000-0004-0000-0000-000081010000}"/>
    <hyperlink ref="B389" r:id="rId387" xr:uid="{00000000-0004-0000-0000-000082010000}"/>
    <hyperlink ref="B390" r:id="rId388" xr:uid="{00000000-0004-0000-0000-000083010000}"/>
    <hyperlink ref="B391" r:id="rId389" xr:uid="{00000000-0004-0000-0000-000084010000}"/>
    <hyperlink ref="B392" r:id="rId390" xr:uid="{00000000-0004-0000-0000-000085010000}"/>
    <hyperlink ref="B393" r:id="rId391" xr:uid="{00000000-0004-0000-0000-000086010000}"/>
    <hyperlink ref="B394" r:id="rId392" xr:uid="{00000000-0004-0000-0000-000087010000}"/>
    <hyperlink ref="B395" r:id="rId393" xr:uid="{00000000-0004-0000-0000-000088010000}"/>
    <hyperlink ref="B396" r:id="rId394" xr:uid="{00000000-0004-0000-0000-000089010000}"/>
    <hyperlink ref="B397" r:id="rId395" xr:uid="{00000000-0004-0000-0000-00008A010000}"/>
    <hyperlink ref="B398" r:id="rId396" xr:uid="{00000000-0004-0000-0000-00008B010000}"/>
    <hyperlink ref="B399" r:id="rId397" xr:uid="{00000000-0004-0000-0000-00008C010000}"/>
    <hyperlink ref="B400" r:id="rId398" xr:uid="{00000000-0004-0000-0000-00008D010000}"/>
    <hyperlink ref="B401" r:id="rId399" xr:uid="{00000000-0004-0000-0000-00008E010000}"/>
    <hyperlink ref="B402" r:id="rId400" xr:uid="{00000000-0004-0000-0000-00008F010000}"/>
    <hyperlink ref="B403" r:id="rId401" xr:uid="{00000000-0004-0000-0000-000090010000}"/>
    <hyperlink ref="B404" r:id="rId402" xr:uid="{00000000-0004-0000-0000-000091010000}"/>
    <hyperlink ref="B405" r:id="rId403" xr:uid="{00000000-0004-0000-0000-000092010000}"/>
    <hyperlink ref="B406" r:id="rId404" xr:uid="{00000000-0004-0000-0000-000093010000}"/>
    <hyperlink ref="B407" r:id="rId405" xr:uid="{00000000-0004-0000-0000-000094010000}"/>
    <hyperlink ref="B408" r:id="rId406" xr:uid="{00000000-0004-0000-0000-000095010000}"/>
    <hyperlink ref="B409" r:id="rId407" xr:uid="{00000000-0004-0000-0000-000096010000}"/>
    <hyperlink ref="B410" r:id="rId408" xr:uid="{00000000-0004-0000-0000-000097010000}"/>
    <hyperlink ref="B411" r:id="rId409" xr:uid="{00000000-0004-0000-0000-000098010000}"/>
    <hyperlink ref="B412" r:id="rId410" xr:uid="{00000000-0004-0000-0000-000099010000}"/>
    <hyperlink ref="B413" r:id="rId411" xr:uid="{00000000-0004-0000-0000-00009A010000}"/>
    <hyperlink ref="B414" r:id="rId412" xr:uid="{00000000-0004-0000-0000-00009B010000}"/>
    <hyperlink ref="B415" r:id="rId413" xr:uid="{00000000-0004-0000-0000-00009C010000}"/>
    <hyperlink ref="B416" r:id="rId414" xr:uid="{00000000-0004-0000-0000-00009D010000}"/>
    <hyperlink ref="B417" r:id="rId415" xr:uid="{00000000-0004-0000-0000-00009E010000}"/>
    <hyperlink ref="B418" r:id="rId416" xr:uid="{00000000-0004-0000-0000-00009F010000}"/>
    <hyperlink ref="B419" r:id="rId417" xr:uid="{00000000-0004-0000-0000-0000A0010000}"/>
    <hyperlink ref="B420" r:id="rId418" xr:uid="{00000000-0004-0000-0000-0000A1010000}"/>
    <hyperlink ref="B421" r:id="rId419" xr:uid="{00000000-0004-0000-0000-0000A2010000}"/>
    <hyperlink ref="B422" r:id="rId420" xr:uid="{00000000-0004-0000-0000-0000A3010000}"/>
    <hyperlink ref="B423" r:id="rId421" xr:uid="{00000000-0004-0000-0000-0000A4010000}"/>
    <hyperlink ref="B424" r:id="rId422" xr:uid="{00000000-0004-0000-0000-0000A5010000}"/>
    <hyperlink ref="B425" r:id="rId423" xr:uid="{00000000-0004-0000-0000-0000A6010000}"/>
    <hyperlink ref="B426" r:id="rId424" xr:uid="{00000000-0004-0000-0000-0000A7010000}"/>
    <hyperlink ref="B427" r:id="rId425" xr:uid="{00000000-0004-0000-0000-0000A8010000}"/>
    <hyperlink ref="B428" r:id="rId426" xr:uid="{00000000-0004-0000-0000-0000A9010000}"/>
    <hyperlink ref="B429" r:id="rId427" xr:uid="{00000000-0004-0000-0000-0000AA010000}"/>
    <hyperlink ref="B430" r:id="rId428" xr:uid="{00000000-0004-0000-0000-0000AB010000}"/>
    <hyperlink ref="B431" r:id="rId429" xr:uid="{00000000-0004-0000-0000-0000AC010000}"/>
    <hyperlink ref="B432" r:id="rId430" xr:uid="{00000000-0004-0000-0000-0000AD010000}"/>
    <hyperlink ref="B433" r:id="rId431" xr:uid="{00000000-0004-0000-0000-0000AE010000}"/>
    <hyperlink ref="B434" r:id="rId432" xr:uid="{00000000-0004-0000-0000-0000AF010000}"/>
    <hyperlink ref="B435" r:id="rId433" xr:uid="{00000000-0004-0000-0000-0000B0010000}"/>
    <hyperlink ref="B436" r:id="rId434" xr:uid="{00000000-0004-0000-0000-0000B1010000}"/>
    <hyperlink ref="B437" r:id="rId435" xr:uid="{00000000-0004-0000-0000-0000B2010000}"/>
    <hyperlink ref="B438" r:id="rId436" xr:uid="{00000000-0004-0000-0000-0000B3010000}"/>
    <hyperlink ref="B439" r:id="rId437" xr:uid="{00000000-0004-0000-0000-0000B4010000}"/>
    <hyperlink ref="B440" r:id="rId438" xr:uid="{00000000-0004-0000-0000-0000B5010000}"/>
    <hyperlink ref="B441" r:id="rId439" xr:uid="{00000000-0004-0000-0000-0000B6010000}"/>
    <hyperlink ref="B442" r:id="rId440" xr:uid="{00000000-0004-0000-0000-0000B7010000}"/>
    <hyperlink ref="B443" r:id="rId441" xr:uid="{00000000-0004-0000-0000-0000B8010000}"/>
    <hyperlink ref="B444" r:id="rId442" xr:uid="{00000000-0004-0000-0000-0000B9010000}"/>
    <hyperlink ref="B445" r:id="rId443" xr:uid="{00000000-0004-0000-0000-0000BA010000}"/>
    <hyperlink ref="B446" r:id="rId444" xr:uid="{00000000-0004-0000-0000-0000BB010000}"/>
    <hyperlink ref="B447" r:id="rId445" xr:uid="{00000000-0004-0000-0000-0000BC010000}"/>
    <hyperlink ref="B448" r:id="rId446" xr:uid="{00000000-0004-0000-0000-0000BD010000}"/>
    <hyperlink ref="B449" r:id="rId447" xr:uid="{00000000-0004-0000-0000-0000BE010000}"/>
    <hyperlink ref="B450" r:id="rId448" xr:uid="{00000000-0004-0000-0000-0000BF010000}"/>
    <hyperlink ref="B451" r:id="rId449" xr:uid="{00000000-0004-0000-0000-0000C0010000}"/>
    <hyperlink ref="B452" r:id="rId450" xr:uid="{00000000-0004-0000-0000-0000C1010000}"/>
    <hyperlink ref="B453" r:id="rId451" xr:uid="{00000000-0004-0000-0000-0000C2010000}"/>
    <hyperlink ref="B454" r:id="rId452" xr:uid="{00000000-0004-0000-0000-0000C3010000}"/>
    <hyperlink ref="B455" r:id="rId453" xr:uid="{00000000-0004-0000-0000-0000C4010000}"/>
    <hyperlink ref="B456" r:id="rId454" xr:uid="{00000000-0004-0000-0000-0000C5010000}"/>
    <hyperlink ref="B457" r:id="rId455" xr:uid="{00000000-0004-0000-0000-0000C6010000}"/>
    <hyperlink ref="B458" r:id="rId456" xr:uid="{00000000-0004-0000-0000-0000C7010000}"/>
    <hyperlink ref="B459" r:id="rId457" xr:uid="{00000000-0004-0000-0000-0000C8010000}"/>
    <hyperlink ref="B460" r:id="rId458" xr:uid="{00000000-0004-0000-0000-0000C9010000}"/>
    <hyperlink ref="B461" r:id="rId459" xr:uid="{00000000-0004-0000-0000-0000CA010000}"/>
    <hyperlink ref="B462" r:id="rId460" xr:uid="{00000000-0004-0000-0000-0000CB010000}"/>
    <hyperlink ref="B463" r:id="rId461" xr:uid="{00000000-0004-0000-0000-0000CC010000}"/>
    <hyperlink ref="B464" r:id="rId462" xr:uid="{00000000-0004-0000-0000-0000CD010000}"/>
    <hyperlink ref="B465" r:id="rId463" xr:uid="{00000000-0004-0000-0000-0000CE010000}"/>
    <hyperlink ref="B466" r:id="rId464" xr:uid="{00000000-0004-0000-0000-0000CF010000}"/>
    <hyperlink ref="B467" r:id="rId465" xr:uid="{00000000-0004-0000-0000-0000D0010000}"/>
    <hyperlink ref="B468" r:id="rId466" xr:uid="{00000000-0004-0000-0000-0000D1010000}"/>
    <hyperlink ref="B469" r:id="rId467" xr:uid="{00000000-0004-0000-0000-0000D2010000}"/>
    <hyperlink ref="B470" r:id="rId468" xr:uid="{00000000-0004-0000-0000-0000D3010000}"/>
    <hyperlink ref="B471" r:id="rId469" xr:uid="{00000000-0004-0000-0000-0000D4010000}"/>
    <hyperlink ref="B472" r:id="rId470" xr:uid="{00000000-0004-0000-0000-0000D5010000}"/>
    <hyperlink ref="B473" r:id="rId471" xr:uid="{00000000-0004-0000-0000-0000D6010000}"/>
    <hyperlink ref="B474" r:id="rId472" xr:uid="{00000000-0004-0000-0000-0000D7010000}"/>
    <hyperlink ref="B475" r:id="rId473" xr:uid="{00000000-0004-0000-0000-0000D8010000}"/>
    <hyperlink ref="B476" r:id="rId474" xr:uid="{00000000-0004-0000-0000-0000D9010000}"/>
    <hyperlink ref="B477" r:id="rId475" xr:uid="{00000000-0004-0000-0000-0000DA010000}"/>
    <hyperlink ref="B478" r:id="rId476" xr:uid="{00000000-0004-0000-0000-0000DB010000}"/>
    <hyperlink ref="B479" r:id="rId477" xr:uid="{00000000-0004-0000-0000-0000DC010000}"/>
    <hyperlink ref="B480" r:id="rId478" xr:uid="{00000000-0004-0000-0000-0000DD010000}"/>
    <hyperlink ref="B481" r:id="rId479" xr:uid="{00000000-0004-0000-0000-0000DE010000}"/>
    <hyperlink ref="B482" r:id="rId480" xr:uid="{00000000-0004-0000-0000-0000DF010000}"/>
    <hyperlink ref="B483" r:id="rId481" xr:uid="{00000000-0004-0000-0000-0000E0010000}"/>
    <hyperlink ref="B484" r:id="rId482" xr:uid="{00000000-0004-0000-0000-0000E1010000}"/>
    <hyperlink ref="B485" r:id="rId483" xr:uid="{00000000-0004-0000-0000-0000E2010000}"/>
    <hyperlink ref="B486" r:id="rId484" xr:uid="{00000000-0004-0000-0000-0000E3010000}"/>
    <hyperlink ref="B487" r:id="rId485" xr:uid="{00000000-0004-0000-0000-0000E4010000}"/>
    <hyperlink ref="B488" r:id="rId486" xr:uid="{00000000-0004-0000-0000-0000E5010000}"/>
    <hyperlink ref="B489" r:id="rId487" xr:uid="{00000000-0004-0000-0000-0000E6010000}"/>
    <hyperlink ref="B490" r:id="rId488" xr:uid="{00000000-0004-0000-0000-0000E7010000}"/>
    <hyperlink ref="B491" r:id="rId489" xr:uid="{00000000-0004-0000-0000-0000E8010000}"/>
    <hyperlink ref="B492" r:id="rId490" xr:uid="{00000000-0004-0000-0000-0000E9010000}"/>
    <hyperlink ref="B493" r:id="rId491" xr:uid="{00000000-0004-0000-0000-0000EA010000}"/>
    <hyperlink ref="B494" r:id="rId492" xr:uid="{00000000-0004-0000-0000-0000EB010000}"/>
    <hyperlink ref="B495" r:id="rId493" xr:uid="{00000000-0004-0000-0000-0000EC010000}"/>
    <hyperlink ref="B496" r:id="rId494" xr:uid="{00000000-0004-0000-0000-0000ED010000}"/>
    <hyperlink ref="B497" r:id="rId495" xr:uid="{00000000-0004-0000-0000-0000EE010000}"/>
    <hyperlink ref="B498" r:id="rId496" xr:uid="{00000000-0004-0000-0000-0000EF010000}"/>
    <hyperlink ref="B499" r:id="rId497" xr:uid="{00000000-0004-0000-0000-0000F0010000}"/>
    <hyperlink ref="B500" r:id="rId498" xr:uid="{00000000-0004-0000-0000-0000F1010000}"/>
    <hyperlink ref="B501" r:id="rId499" xr:uid="{00000000-0004-0000-0000-0000F2010000}"/>
    <hyperlink ref="B502" r:id="rId500" xr:uid="{00000000-0004-0000-0000-0000F3010000}"/>
    <hyperlink ref="B503" r:id="rId501" xr:uid="{00000000-0004-0000-0000-0000F4010000}"/>
    <hyperlink ref="B504" r:id="rId502" xr:uid="{00000000-0004-0000-0000-0000F5010000}"/>
    <hyperlink ref="B505" r:id="rId503" xr:uid="{00000000-0004-0000-0000-0000F6010000}"/>
    <hyperlink ref="B506" r:id="rId504" xr:uid="{00000000-0004-0000-0000-0000F7010000}"/>
    <hyperlink ref="B507" r:id="rId505" xr:uid="{00000000-0004-0000-0000-0000F8010000}"/>
    <hyperlink ref="B508" r:id="rId506" xr:uid="{00000000-0004-0000-0000-0000F9010000}"/>
    <hyperlink ref="B509" r:id="rId507" xr:uid="{00000000-0004-0000-0000-0000FA010000}"/>
    <hyperlink ref="B510" r:id="rId508" xr:uid="{00000000-0004-0000-0000-0000FB010000}"/>
    <hyperlink ref="B511" r:id="rId509" xr:uid="{00000000-0004-0000-0000-0000FC010000}"/>
    <hyperlink ref="B512" r:id="rId510" xr:uid="{00000000-0004-0000-0000-0000FD010000}"/>
    <hyperlink ref="B513" r:id="rId511" xr:uid="{00000000-0004-0000-0000-0000FE010000}"/>
    <hyperlink ref="B514" r:id="rId512" xr:uid="{00000000-0004-0000-0000-0000FF010000}"/>
    <hyperlink ref="B515" r:id="rId513" xr:uid="{00000000-0004-0000-0000-000000020000}"/>
    <hyperlink ref="B516" r:id="rId514" xr:uid="{00000000-0004-0000-0000-000001020000}"/>
    <hyperlink ref="B517" r:id="rId515" xr:uid="{00000000-0004-0000-0000-000002020000}"/>
    <hyperlink ref="B518" r:id="rId516" xr:uid="{00000000-0004-0000-0000-000003020000}"/>
    <hyperlink ref="B519" r:id="rId517" xr:uid="{00000000-0004-0000-0000-000004020000}"/>
    <hyperlink ref="B520" r:id="rId518" xr:uid="{00000000-0004-0000-0000-000005020000}"/>
    <hyperlink ref="B521" r:id="rId519" xr:uid="{00000000-0004-0000-0000-000006020000}"/>
    <hyperlink ref="B522" r:id="rId520" xr:uid="{00000000-0004-0000-0000-000007020000}"/>
    <hyperlink ref="B523" r:id="rId521" xr:uid="{00000000-0004-0000-0000-000008020000}"/>
    <hyperlink ref="B524" r:id="rId522" xr:uid="{00000000-0004-0000-0000-000009020000}"/>
    <hyperlink ref="B525" r:id="rId523" xr:uid="{00000000-0004-0000-0000-00000A020000}"/>
    <hyperlink ref="B526" r:id="rId524" xr:uid="{00000000-0004-0000-0000-00000B020000}"/>
    <hyperlink ref="B527" r:id="rId525" xr:uid="{00000000-0004-0000-0000-00000C020000}"/>
    <hyperlink ref="B528" r:id="rId526" xr:uid="{00000000-0004-0000-0000-00000D020000}"/>
    <hyperlink ref="B529" r:id="rId527" xr:uid="{00000000-0004-0000-0000-00000E020000}"/>
    <hyperlink ref="B530" r:id="rId528" xr:uid="{00000000-0004-0000-0000-00000F020000}"/>
    <hyperlink ref="B531" r:id="rId529" xr:uid="{00000000-0004-0000-0000-000010020000}"/>
    <hyperlink ref="B532" r:id="rId530" xr:uid="{00000000-0004-0000-0000-000011020000}"/>
    <hyperlink ref="B533" r:id="rId531" xr:uid="{00000000-0004-0000-0000-000012020000}"/>
    <hyperlink ref="B534" r:id="rId532" xr:uid="{00000000-0004-0000-0000-000013020000}"/>
    <hyperlink ref="B535" r:id="rId533" xr:uid="{00000000-0004-0000-0000-000014020000}"/>
    <hyperlink ref="B536" r:id="rId534" xr:uid="{00000000-0004-0000-0000-000015020000}"/>
    <hyperlink ref="B537" r:id="rId535" xr:uid="{00000000-0004-0000-0000-000016020000}"/>
    <hyperlink ref="B538" r:id="rId536" xr:uid="{00000000-0004-0000-0000-000017020000}"/>
    <hyperlink ref="B539" r:id="rId537" xr:uid="{00000000-0004-0000-0000-000018020000}"/>
    <hyperlink ref="B540" r:id="rId538" xr:uid="{00000000-0004-0000-0000-000019020000}"/>
    <hyperlink ref="B541" r:id="rId539" xr:uid="{00000000-0004-0000-0000-00001A020000}"/>
    <hyperlink ref="B542" r:id="rId540" xr:uid="{00000000-0004-0000-0000-00001B020000}"/>
    <hyperlink ref="B543" r:id="rId541" xr:uid="{00000000-0004-0000-0000-00001C020000}"/>
    <hyperlink ref="B544" r:id="rId542" xr:uid="{00000000-0004-0000-0000-00001D020000}"/>
    <hyperlink ref="B545" r:id="rId543" xr:uid="{00000000-0004-0000-0000-00001E020000}"/>
    <hyperlink ref="B546" r:id="rId544" xr:uid="{00000000-0004-0000-0000-00001F020000}"/>
    <hyperlink ref="B547" r:id="rId545" xr:uid="{00000000-0004-0000-0000-000020020000}"/>
    <hyperlink ref="B548" r:id="rId546" xr:uid="{00000000-0004-0000-0000-000021020000}"/>
    <hyperlink ref="B549" r:id="rId547" xr:uid="{00000000-0004-0000-0000-000022020000}"/>
    <hyperlink ref="B550" r:id="rId548" xr:uid="{00000000-0004-0000-0000-000023020000}"/>
    <hyperlink ref="B551" r:id="rId549" xr:uid="{00000000-0004-0000-0000-000024020000}"/>
    <hyperlink ref="B552" r:id="rId550" xr:uid="{00000000-0004-0000-0000-000025020000}"/>
    <hyperlink ref="B553" r:id="rId551" xr:uid="{00000000-0004-0000-0000-000026020000}"/>
    <hyperlink ref="B554" r:id="rId552" xr:uid="{00000000-0004-0000-0000-000027020000}"/>
    <hyperlink ref="B555" r:id="rId553" xr:uid="{00000000-0004-0000-0000-000028020000}"/>
    <hyperlink ref="B556" r:id="rId554" xr:uid="{00000000-0004-0000-0000-000029020000}"/>
    <hyperlink ref="B557" r:id="rId555" xr:uid="{00000000-0004-0000-0000-00002A020000}"/>
    <hyperlink ref="B558" r:id="rId556" xr:uid="{00000000-0004-0000-0000-00002B020000}"/>
    <hyperlink ref="B559" r:id="rId557" xr:uid="{00000000-0004-0000-0000-00002C020000}"/>
    <hyperlink ref="B560" r:id="rId558" xr:uid="{00000000-0004-0000-0000-00002D020000}"/>
    <hyperlink ref="B561" r:id="rId559" xr:uid="{00000000-0004-0000-0000-00002E020000}"/>
    <hyperlink ref="B562" r:id="rId560" xr:uid="{00000000-0004-0000-0000-00002F020000}"/>
    <hyperlink ref="B563" r:id="rId561" xr:uid="{00000000-0004-0000-0000-000030020000}"/>
    <hyperlink ref="B564" r:id="rId562" xr:uid="{00000000-0004-0000-0000-000031020000}"/>
    <hyperlink ref="B565" r:id="rId563" xr:uid="{00000000-0004-0000-0000-000032020000}"/>
    <hyperlink ref="B566" r:id="rId564" xr:uid="{00000000-0004-0000-0000-000033020000}"/>
    <hyperlink ref="B567" r:id="rId565" xr:uid="{00000000-0004-0000-0000-000034020000}"/>
    <hyperlink ref="B568" r:id="rId566" xr:uid="{00000000-0004-0000-0000-000035020000}"/>
    <hyperlink ref="B569" r:id="rId567" xr:uid="{00000000-0004-0000-0000-000036020000}"/>
    <hyperlink ref="B570" r:id="rId568" xr:uid="{00000000-0004-0000-0000-000037020000}"/>
    <hyperlink ref="B571" r:id="rId569" xr:uid="{00000000-0004-0000-0000-000038020000}"/>
    <hyperlink ref="B572" r:id="rId570" xr:uid="{00000000-0004-0000-0000-000039020000}"/>
    <hyperlink ref="B573" r:id="rId571" xr:uid="{00000000-0004-0000-0000-00003A020000}"/>
    <hyperlink ref="B574" r:id="rId572" xr:uid="{00000000-0004-0000-0000-00003B020000}"/>
    <hyperlink ref="B575" r:id="rId573" xr:uid="{00000000-0004-0000-0000-00003C020000}"/>
    <hyperlink ref="B576" r:id="rId574" xr:uid="{00000000-0004-0000-0000-00003D020000}"/>
    <hyperlink ref="B577" r:id="rId575" xr:uid="{00000000-0004-0000-0000-00003E020000}"/>
    <hyperlink ref="B578" r:id="rId576" xr:uid="{00000000-0004-0000-0000-00003F020000}"/>
    <hyperlink ref="B579" r:id="rId577" xr:uid="{00000000-0004-0000-0000-000040020000}"/>
    <hyperlink ref="B580" r:id="rId578" xr:uid="{00000000-0004-0000-0000-000041020000}"/>
    <hyperlink ref="B581" r:id="rId579" xr:uid="{00000000-0004-0000-0000-000042020000}"/>
    <hyperlink ref="B582" r:id="rId580" xr:uid="{00000000-0004-0000-0000-000043020000}"/>
    <hyperlink ref="B583" r:id="rId581" xr:uid="{00000000-0004-0000-0000-000044020000}"/>
    <hyperlink ref="B584" r:id="rId582" xr:uid="{00000000-0004-0000-0000-000045020000}"/>
    <hyperlink ref="B585" r:id="rId583" xr:uid="{00000000-0004-0000-0000-000046020000}"/>
    <hyperlink ref="B586" r:id="rId584" xr:uid="{00000000-0004-0000-0000-000047020000}"/>
    <hyperlink ref="B587" r:id="rId585" xr:uid="{00000000-0004-0000-0000-000048020000}"/>
    <hyperlink ref="B588" r:id="rId586" xr:uid="{00000000-0004-0000-0000-000049020000}"/>
    <hyperlink ref="B589" r:id="rId587" xr:uid="{00000000-0004-0000-0000-00004A020000}"/>
    <hyperlink ref="B590" r:id="rId588" xr:uid="{00000000-0004-0000-0000-00004B020000}"/>
    <hyperlink ref="B591" r:id="rId589" xr:uid="{00000000-0004-0000-0000-00004C020000}"/>
    <hyperlink ref="B592" r:id="rId590" xr:uid="{00000000-0004-0000-0000-00004D020000}"/>
    <hyperlink ref="B593" r:id="rId591" xr:uid="{00000000-0004-0000-0000-00004E020000}"/>
    <hyperlink ref="B594" r:id="rId592" xr:uid="{00000000-0004-0000-0000-00004F020000}"/>
    <hyperlink ref="B595" r:id="rId593" xr:uid="{00000000-0004-0000-0000-000050020000}"/>
    <hyperlink ref="B596" r:id="rId594" xr:uid="{00000000-0004-0000-0000-000051020000}"/>
    <hyperlink ref="B597" r:id="rId595" xr:uid="{00000000-0004-0000-0000-000052020000}"/>
    <hyperlink ref="B598" r:id="rId596" xr:uid="{00000000-0004-0000-0000-000053020000}"/>
    <hyperlink ref="B599" r:id="rId597" xr:uid="{00000000-0004-0000-0000-000054020000}"/>
    <hyperlink ref="B600" r:id="rId598" xr:uid="{00000000-0004-0000-0000-000055020000}"/>
    <hyperlink ref="B601" r:id="rId599" xr:uid="{00000000-0004-0000-0000-000056020000}"/>
    <hyperlink ref="B602" r:id="rId600" xr:uid="{00000000-0004-0000-0000-000057020000}"/>
    <hyperlink ref="B603" r:id="rId601" xr:uid="{00000000-0004-0000-0000-000058020000}"/>
    <hyperlink ref="B604" r:id="rId602" xr:uid="{00000000-0004-0000-0000-000059020000}"/>
    <hyperlink ref="B605" r:id="rId603" xr:uid="{00000000-0004-0000-0000-00005A020000}"/>
    <hyperlink ref="B606" r:id="rId604" xr:uid="{00000000-0004-0000-0000-00005B020000}"/>
    <hyperlink ref="B607" r:id="rId605" xr:uid="{00000000-0004-0000-0000-00005C020000}"/>
    <hyperlink ref="B608" r:id="rId606" xr:uid="{00000000-0004-0000-0000-00005D020000}"/>
    <hyperlink ref="B609" r:id="rId607" xr:uid="{00000000-0004-0000-0000-00005E020000}"/>
    <hyperlink ref="B610" r:id="rId608" xr:uid="{00000000-0004-0000-0000-00005F020000}"/>
    <hyperlink ref="B611" r:id="rId609" xr:uid="{00000000-0004-0000-0000-000060020000}"/>
    <hyperlink ref="B612" r:id="rId610" xr:uid="{00000000-0004-0000-0000-000061020000}"/>
    <hyperlink ref="B613" r:id="rId611" xr:uid="{00000000-0004-0000-0000-000062020000}"/>
    <hyperlink ref="B614" r:id="rId612" xr:uid="{00000000-0004-0000-0000-000063020000}"/>
    <hyperlink ref="B615" r:id="rId613" xr:uid="{00000000-0004-0000-0000-000064020000}"/>
    <hyperlink ref="B616" r:id="rId614" xr:uid="{00000000-0004-0000-0000-000065020000}"/>
    <hyperlink ref="B617" r:id="rId615" xr:uid="{00000000-0004-0000-0000-000066020000}"/>
    <hyperlink ref="B618" r:id="rId616" xr:uid="{00000000-0004-0000-0000-000067020000}"/>
    <hyperlink ref="B619" r:id="rId617" xr:uid="{00000000-0004-0000-0000-000068020000}"/>
    <hyperlink ref="B620" r:id="rId618" xr:uid="{00000000-0004-0000-0000-000069020000}"/>
    <hyperlink ref="B621" r:id="rId619" xr:uid="{00000000-0004-0000-0000-00006A020000}"/>
    <hyperlink ref="B622" r:id="rId620" xr:uid="{00000000-0004-0000-0000-00006B020000}"/>
    <hyperlink ref="B623" r:id="rId621" xr:uid="{00000000-0004-0000-0000-00006C020000}"/>
    <hyperlink ref="B624" r:id="rId622" xr:uid="{00000000-0004-0000-0000-00006D020000}"/>
    <hyperlink ref="B625" r:id="rId623" xr:uid="{00000000-0004-0000-0000-00006E020000}"/>
    <hyperlink ref="B626" r:id="rId624" xr:uid="{00000000-0004-0000-0000-00006F020000}"/>
    <hyperlink ref="B627" r:id="rId625" xr:uid="{00000000-0004-0000-0000-000070020000}"/>
    <hyperlink ref="B628" r:id="rId626" xr:uid="{00000000-0004-0000-0000-000071020000}"/>
    <hyperlink ref="B629" r:id="rId627" xr:uid="{00000000-0004-0000-0000-000072020000}"/>
    <hyperlink ref="B630" r:id="rId628" xr:uid="{00000000-0004-0000-0000-000073020000}"/>
    <hyperlink ref="B631" r:id="rId629" xr:uid="{00000000-0004-0000-0000-000074020000}"/>
    <hyperlink ref="B632" r:id="rId630" xr:uid="{00000000-0004-0000-0000-000075020000}"/>
    <hyperlink ref="B633" r:id="rId631" xr:uid="{00000000-0004-0000-0000-000076020000}"/>
    <hyperlink ref="B634" r:id="rId632" xr:uid="{00000000-0004-0000-0000-000077020000}"/>
    <hyperlink ref="B635" r:id="rId633" xr:uid="{00000000-0004-0000-0000-000078020000}"/>
    <hyperlink ref="B636" r:id="rId634" xr:uid="{00000000-0004-0000-0000-000079020000}"/>
    <hyperlink ref="B637" r:id="rId635" xr:uid="{00000000-0004-0000-0000-00007A020000}"/>
    <hyperlink ref="B638" r:id="rId636" xr:uid="{00000000-0004-0000-0000-00007B020000}"/>
    <hyperlink ref="B639" r:id="rId637" xr:uid="{00000000-0004-0000-0000-00007C020000}"/>
    <hyperlink ref="B640" r:id="rId638" xr:uid="{00000000-0004-0000-0000-00007D020000}"/>
    <hyperlink ref="B641" r:id="rId639" xr:uid="{00000000-0004-0000-0000-00007E020000}"/>
    <hyperlink ref="B642" r:id="rId640" xr:uid="{00000000-0004-0000-0000-00007F020000}"/>
    <hyperlink ref="B643" r:id="rId641" xr:uid="{00000000-0004-0000-0000-000080020000}"/>
    <hyperlink ref="B644" r:id="rId642" xr:uid="{00000000-0004-0000-0000-000081020000}"/>
    <hyperlink ref="B645" r:id="rId643" xr:uid="{00000000-0004-0000-0000-000082020000}"/>
    <hyperlink ref="B646" r:id="rId644" xr:uid="{00000000-0004-0000-0000-000083020000}"/>
    <hyperlink ref="B647" r:id="rId645" xr:uid="{00000000-0004-0000-0000-000084020000}"/>
    <hyperlink ref="B648" r:id="rId646" xr:uid="{00000000-0004-0000-0000-000085020000}"/>
    <hyperlink ref="B649" r:id="rId647" xr:uid="{00000000-0004-0000-0000-000086020000}"/>
    <hyperlink ref="B650" r:id="rId648" xr:uid="{00000000-0004-0000-0000-000087020000}"/>
    <hyperlink ref="B651" r:id="rId649" xr:uid="{00000000-0004-0000-0000-000088020000}"/>
    <hyperlink ref="B652" r:id="rId650" xr:uid="{00000000-0004-0000-0000-000089020000}"/>
    <hyperlink ref="B653" r:id="rId651" xr:uid="{00000000-0004-0000-0000-00008A020000}"/>
    <hyperlink ref="B654" r:id="rId652" xr:uid="{00000000-0004-0000-0000-00008B020000}"/>
    <hyperlink ref="B655" r:id="rId653" xr:uid="{00000000-0004-0000-0000-00008C020000}"/>
    <hyperlink ref="B656" r:id="rId654" xr:uid="{00000000-0004-0000-0000-00008D020000}"/>
    <hyperlink ref="B657" r:id="rId655" xr:uid="{00000000-0004-0000-0000-00008E020000}"/>
    <hyperlink ref="B658" r:id="rId656" xr:uid="{00000000-0004-0000-0000-00008F020000}"/>
    <hyperlink ref="B659" r:id="rId657" xr:uid="{00000000-0004-0000-0000-000090020000}"/>
    <hyperlink ref="B660" r:id="rId658" xr:uid="{00000000-0004-0000-0000-000091020000}"/>
    <hyperlink ref="B661" r:id="rId659" xr:uid="{00000000-0004-0000-0000-000092020000}"/>
    <hyperlink ref="B662" r:id="rId660" xr:uid="{00000000-0004-0000-0000-000093020000}"/>
    <hyperlink ref="B663" r:id="rId661" xr:uid="{00000000-0004-0000-0000-000094020000}"/>
    <hyperlink ref="B664" r:id="rId662" xr:uid="{00000000-0004-0000-0000-000095020000}"/>
    <hyperlink ref="B665" r:id="rId663" xr:uid="{00000000-0004-0000-0000-000096020000}"/>
    <hyperlink ref="B666" r:id="rId664" xr:uid="{00000000-0004-0000-0000-000097020000}"/>
    <hyperlink ref="B667" r:id="rId665" xr:uid="{00000000-0004-0000-0000-000098020000}"/>
    <hyperlink ref="B668" r:id="rId666" xr:uid="{00000000-0004-0000-0000-000099020000}"/>
    <hyperlink ref="B669" r:id="rId667" xr:uid="{00000000-0004-0000-0000-00009A020000}"/>
    <hyperlink ref="B670" r:id="rId668" xr:uid="{00000000-0004-0000-0000-00009B020000}"/>
    <hyperlink ref="B671" r:id="rId669" xr:uid="{00000000-0004-0000-0000-00009C020000}"/>
    <hyperlink ref="B672" r:id="rId670" xr:uid="{00000000-0004-0000-0000-00009D020000}"/>
    <hyperlink ref="B673" r:id="rId671" xr:uid="{00000000-0004-0000-0000-00009E020000}"/>
    <hyperlink ref="B674" r:id="rId672" xr:uid="{00000000-0004-0000-0000-00009F020000}"/>
    <hyperlink ref="B675" r:id="rId673" xr:uid="{00000000-0004-0000-0000-0000A0020000}"/>
    <hyperlink ref="B676" r:id="rId674" xr:uid="{00000000-0004-0000-0000-0000A1020000}"/>
    <hyperlink ref="B677" r:id="rId675" xr:uid="{00000000-0004-0000-0000-0000A2020000}"/>
  </hyperlinks>
  <pageMargins left="0.7" right="0.7" top="0.75" bottom="0.75" header="0.3" footer="0.3"/>
  <legacyDrawing r:id="rId67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2"/>
  <sheetViews>
    <sheetView showGridLines="0" zoomScale="150" workbookViewId="0">
      <selection activeCell="B3" sqref="B3"/>
    </sheetView>
  </sheetViews>
  <sheetFormatPr baseColWidth="10" defaultRowHeight="16" x14ac:dyDescent="0.2"/>
  <cols>
    <col min="1" max="1" width="3.33203125" customWidth="1"/>
  </cols>
  <sheetData>
    <row r="2" spans="2:20" s="4" customFormat="1" x14ac:dyDescent="0.2"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1474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Recommendations</vt:lpstr>
      <vt:lpstr>Pharma</vt:lpstr>
      <vt:lpstr>Energy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Wang, Eric</dc:creator>
  <cp:lastModifiedBy>Wang, Eric</cp:lastModifiedBy>
  <dcterms:created xsi:type="dcterms:W3CDTF">2026-10-05T01:25:06Z</dcterms:created>
  <dcterms:modified xsi:type="dcterms:W3CDTF">2026-10-21T01:40:43Z</dcterms:modified>
</cp:coreProperties>
</file>